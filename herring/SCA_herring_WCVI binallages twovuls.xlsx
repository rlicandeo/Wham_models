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Cloud Sync\_wham\"/>
    </mc:Choice>
  </mc:AlternateContent>
  <xr:revisionPtr revIDLastSave="0" documentId="8_{CAF65169-742A-4FAE-9F7A-5CB60C8888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erring" sheetId="5" r:id="rId1"/>
    <sheet name="obsCat" sheetId="2" r:id="rId2"/>
    <sheet name="obsSCat" sheetId="6" r:id="rId3"/>
    <sheet name="SSLbaseQ" sheetId="7" r:id="rId4"/>
    <sheet name="wat" sheetId="8" r:id="rId5"/>
    <sheet name="pmat" sheetId="9" r:id="rId6"/>
    <sheet name="Mat" sheetId="10" r:id="rId7"/>
    <sheet name="Nagedt" sheetId="11" r:id="rId8"/>
    <sheet name="obsSSB" sheetId="12" r:id="rId9"/>
    <sheet name="vpaSSB" sheetId="13" r:id="rId10"/>
    <sheet name="vpaMt" sheetId="14" r:id="rId11"/>
  </sheets>
  <definedNames>
    <definedName name="ahv">herring!$B$22</definedName>
    <definedName name="have">herring!$B$20</definedName>
    <definedName name="initN">herring!$G$2:$O$2</definedName>
    <definedName name="lnInitPop">#REF!</definedName>
    <definedName name="lnq">herring!$B$9</definedName>
    <definedName name="Maxussl">herring!$BG$1</definedName>
    <definedName name="N1t">#REF!</definedName>
    <definedName name="pqm">herring!$B$11</definedName>
    <definedName name="pqsd">herring!$B$12</definedName>
    <definedName name="q">herring!$B$10</definedName>
    <definedName name="qfree">herring!$B$13</definedName>
    <definedName name="Rec">herring!$F$4:$F$74</definedName>
    <definedName name="Relm">herring!$P$3:$P$74</definedName>
    <definedName name="sdv">herring!$B$23</definedName>
    <definedName name="sdve">herring!$B$21</definedName>
    <definedName name="solver_adj" localSheetId="0" hidden="1">herring!$G$2:$O$2,herring!$F$4:$F$74,herring!$P$3:$P$74,herring!$B$13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herring!$B$13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herring!$B$2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hs1" localSheetId="0" hidden="1">0.01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  <definedName name="SSLQmult">herring!$B$14</definedName>
    <definedName name="SSQ">herring!$B$2</definedName>
    <definedName name="Su">herring!$B$15</definedName>
    <definedName name="tanasMsl">herring!$B$16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5" l="1"/>
  <c r="AH3" i="5" l="1"/>
  <c r="B5" i="5" a="1"/>
  <c r="B5" i="5" s="1"/>
  <c r="EH3" i="5"/>
  <c r="EQ3" i="5" a="1"/>
  <c r="EQ3" i="5" s="1"/>
  <c r="DX3" i="5"/>
  <c r="AJ3" i="5" l="1"/>
  <c r="G3" i="5"/>
  <c r="AU3" i="5" l="1"/>
  <c r="BG3" i="5"/>
  <c r="CS4" i="5"/>
  <c r="CS5" i="5"/>
  <c r="CS6" i="5"/>
  <c r="CS7" i="5"/>
  <c r="CS8" i="5"/>
  <c r="CS9" i="5"/>
  <c r="CS10" i="5"/>
  <c r="CS11" i="5"/>
  <c r="CS12" i="5"/>
  <c r="CS13" i="5"/>
  <c r="CS14" i="5"/>
  <c r="CS15" i="5"/>
  <c r="CS16" i="5"/>
  <c r="CS17" i="5"/>
  <c r="CS18" i="5"/>
  <c r="CS19" i="5"/>
  <c r="CS20" i="5"/>
  <c r="CS21" i="5"/>
  <c r="CS22" i="5"/>
  <c r="CS23" i="5"/>
  <c r="CS24" i="5"/>
  <c r="CS25" i="5"/>
  <c r="CS26" i="5"/>
  <c r="CS27" i="5"/>
  <c r="CS28" i="5"/>
  <c r="CS29" i="5"/>
  <c r="CS30" i="5"/>
  <c r="CS31" i="5"/>
  <c r="CS32" i="5"/>
  <c r="CS33" i="5"/>
  <c r="CS34" i="5"/>
  <c r="CS35" i="5"/>
  <c r="CS36" i="5"/>
  <c r="CS37" i="5"/>
  <c r="CS38" i="5"/>
  <c r="CS39" i="5"/>
  <c r="CS40" i="5"/>
  <c r="CS41" i="5"/>
  <c r="CS42" i="5"/>
  <c r="CS43" i="5"/>
  <c r="CS44" i="5"/>
  <c r="CS45" i="5"/>
  <c r="CS46" i="5"/>
  <c r="CS47" i="5"/>
  <c r="CS48" i="5"/>
  <c r="CS49" i="5"/>
  <c r="CS50" i="5"/>
  <c r="CS51" i="5"/>
  <c r="CS52" i="5"/>
  <c r="CS53" i="5"/>
  <c r="CS54" i="5"/>
  <c r="CS55" i="5"/>
  <c r="CS56" i="5"/>
  <c r="CS57" i="5"/>
  <c r="CS58" i="5"/>
  <c r="CS59" i="5"/>
  <c r="CS60" i="5"/>
  <c r="CS61" i="5"/>
  <c r="CS62" i="5"/>
  <c r="CS63" i="5"/>
  <c r="CS64" i="5"/>
  <c r="CS65" i="5"/>
  <c r="CS66" i="5"/>
  <c r="CS67" i="5"/>
  <c r="CS68" i="5"/>
  <c r="CS69" i="5"/>
  <c r="CS70" i="5"/>
  <c r="CS71" i="5"/>
  <c r="CS72" i="5"/>
  <c r="CS73" i="5"/>
  <c r="CS74" i="5"/>
  <c r="CS75" i="5"/>
  <c r="CS3" i="5"/>
  <c r="CX4" i="5"/>
  <c r="CX5" i="5" s="1"/>
  <c r="CX6" i="5" s="1"/>
  <c r="CX7" i="5" s="1"/>
  <c r="CX8" i="5" s="1"/>
  <c r="CX9" i="5" s="1"/>
  <c r="CX10" i="5" s="1"/>
  <c r="CX11" i="5" s="1"/>
  <c r="CX12" i="5" s="1"/>
  <c r="CX13" i="5" s="1"/>
  <c r="CX14" i="5" s="1"/>
  <c r="CX15" i="5" s="1"/>
  <c r="CX16" i="5" s="1"/>
  <c r="CX17" i="5" s="1"/>
  <c r="CX18" i="5" s="1"/>
  <c r="CX19" i="5" s="1"/>
  <c r="CX20" i="5" s="1"/>
  <c r="CX21" i="5" s="1"/>
  <c r="CX22" i="5" s="1"/>
  <c r="CX23" i="5" s="1"/>
  <c r="CX24" i="5" s="1"/>
  <c r="CX25" i="5" s="1"/>
  <c r="CX26" i="5" s="1"/>
  <c r="CX27" i="5" s="1"/>
  <c r="CX28" i="5" s="1"/>
  <c r="CX29" i="5" s="1"/>
  <c r="CX30" i="5" s="1"/>
  <c r="CX31" i="5" s="1"/>
  <c r="CX32" i="5" s="1"/>
  <c r="CX33" i="5" s="1"/>
  <c r="CX34" i="5" s="1"/>
  <c r="CX35" i="5" s="1"/>
  <c r="CX36" i="5" s="1"/>
  <c r="CX37" i="5" s="1"/>
  <c r="CX38" i="5" s="1"/>
  <c r="CX39" i="5" s="1"/>
  <c r="CX40" i="5" s="1"/>
  <c r="CX41" i="5" s="1"/>
  <c r="CX42" i="5" s="1"/>
  <c r="CX43" i="5" s="1"/>
  <c r="CX44" i="5" s="1"/>
  <c r="CX45" i="5" s="1"/>
  <c r="CX46" i="5" s="1"/>
  <c r="CX47" i="5" s="1"/>
  <c r="CX48" i="5" s="1"/>
  <c r="CX49" i="5" s="1"/>
  <c r="CX50" i="5" s="1"/>
  <c r="CX51" i="5" s="1"/>
  <c r="CX52" i="5" s="1"/>
  <c r="CX53" i="5" s="1"/>
  <c r="CX54" i="5" s="1"/>
  <c r="CX55" i="5" s="1"/>
  <c r="CX56" i="5" s="1"/>
  <c r="CX57" i="5" s="1"/>
  <c r="CX58" i="5" s="1"/>
  <c r="CX59" i="5" s="1"/>
  <c r="CX60" i="5" s="1"/>
  <c r="CX61" i="5" s="1"/>
  <c r="CX62" i="5" s="1"/>
  <c r="CX63" i="5" s="1"/>
  <c r="CX64" i="5" s="1"/>
  <c r="CX65" i="5" s="1"/>
  <c r="CX66" i="5" s="1"/>
  <c r="CX67" i="5" s="1"/>
  <c r="CX68" i="5" s="1"/>
  <c r="CX69" i="5" s="1"/>
  <c r="CX70" i="5" s="1"/>
  <c r="CX71" i="5" s="1"/>
  <c r="CX72" i="5" s="1"/>
  <c r="CX73" i="5" s="1"/>
  <c r="CX74" i="5" s="1"/>
  <c r="CY4" i="5"/>
  <c r="CY5" i="5" s="1"/>
  <c r="CY6" i="5" s="1"/>
  <c r="CY7" i="5" s="1"/>
  <c r="CY8" i="5" s="1"/>
  <c r="CY9" i="5" s="1"/>
  <c r="CY10" i="5" s="1"/>
  <c r="CY11" i="5" s="1"/>
  <c r="CY12" i="5" s="1"/>
  <c r="CY13" i="5" s="1"/>
  <c r="CY14" i="5" s="1"/>
  <c r="CY15" i="5" s="1"/>
  <c r="CY16" i="5" s="1"/>
  <c r="CY17" i="5" s="1"/>
  <c r="CY18" i="5" s="1"/>
  <c r="CY19" i="5" s="1"/>
  <c r="CY20" i="5" s="1"/>
  <c r="CY21" i="5" s="1"/>
  <c r="CY22" i="5" s="1"/>
  <c r="CY23" i="5" s="1"/>
  <c r="CY24" i="5" s="1"/>
  <c r="CY25" i="5" s="1"/>
  <c r="CY26" i="5" s="1"/>
  <c r="CY27" i="5" s="1"/>
  <c r="CY28" i="5" s="1"/>
  <c r="CY29" i="5" s="1"/>
  <c r="CY30" i="5" s="1"/>
  <c r="CY31" i="5" s="1"/>
  <c r="CY32" i="5" s="1"/>
  <c r="CY33" i="5" s="1"/>
  <c r="CY34" i="5" s="1"/>
  <c r="CY35" i="5" s="1"/>
  <c r="CY36" i="5" s="1"/>
  <c r="CY37" i="5" s="1"/>
  <c r="CY38" i="5" s="1"/>
  <c r="CY39" i="5" s="1"/>
  <c r="CY40" i="5" s="1"/>
  <c r="CY41" i="5" s="1"/>
  <c r="CY42" i="5" s="1"/>
  <c r="CY43" i="5" s="1"/>
  <c r="CY44" i="5" s="1"/>
  <c r="CY45" i="5" s="1"/>
  <c r="CY46" i="5" s="1"/>
  <c r="CY47" i="5" s="1"/>
  <c r="CY48" i="5" s="1"/>
  <c r="CY49" i="5" s="1"/>
  <c r="CY50" i="5" s="1"/>
  <c r="CY51" i="5" s="1"/>
  <c r="CY52" i="5" s="1"/>
  <c r="CY53" i="5" s="1"/>
  <c r="CY54" i="5" s="1"/>
  <c r="CY55" i="5" s="1"/>
  <c r="CY56" i="5" s="1"/>
  <c r="CY57" i="5" s="1"/>
  <c r="CY58" i="5" s="1"/>
  <c r="CY59" i="5" s="1"/>
  <c r="CY60" i="5" s="1"/>
  <c r="CY61" i="5" s="1"/>
  <c r="CY62" i="5" s="1"/>
  <c r="CY63" i="5" s="1"/>
  <c r="CY64" i="5" s="1"/>
  <c r="CY65" i="5" s="1"/>
  <c r="CY66" i="5" s="1"/>
  <c r="CY67" i="5" s="1"/>
  <c r="CY68" i="5" s="1"/>
  <c r="CY69" i="5" s="1"/>
  <c r="CY70" i="5" s="1"/>
  <c r="CY71" i="5" s="1"/>
  <c r="CY72" i="5" s="1"/>
  <c r="CY73" i="5" s="1"/>
  <c r="CY74" i="5" s="1"/>
  <c r="CZ4" i="5"/>
  <c r="CZ5" i="5" s="1"/>
  <c r="CZ6" i="5" s="1"/>
  <c r="CZ7" i="5" s="1"/>
  <c r="CZ8" i="5" s="1"/>
  <c r="CZ9" i="5" s="1"/>
  <c r="CZ10" i="5" s="1"/>
  <c r="CZ11" i="5" s="1"/>
  <c r="CZ12" i="5" s="1"/>
  <c r="CZ13" i="5" s="1"/>
  <c r="CZ14" i="5" s="1"/>
  <c r="CZ15" i="5" s="1"/>
  <c r="CZ16" i="5" s="1"/>
  <c r="CZ17" i="5" s="1"/>
  <c r="CZ18" i="5" s="1"/>
  <c r="CZ19" i="5" s="1"/>
  <c r="CZ20" i="5" s="1"/>
  <c r="CZ21" i="5" s="1"/>
  <c r="CZ22" i="5" s="1"/>
  <c r="CZ23" i="5" s="1"/>
  <c r="CZ24" i="5" s="1"/>
  <c r="CZ25" i="5" s="1"/>
  <c r="CZ26" i="5" s="1"/>
  <c r="CZ27" i="5" s="1"/>
  <c r="CZ28" i="5" s="1"/>
  <c r="CZ29" i="5" s="1"/>
  <c r="CZ30" i="5" s="1"/>
  <c r="CZ31" i="5" s="1"/>
  <c r="CZ32" i="5" s="1"/>
  <c r="CZ33" i="5" s="1"/>
  <c r="CZ34" i="5" s="1"/>
  <c r="CZ35" i="5" s="1"/>
  <c r="CZ36" i="5" s="1"/>
  <c r="CZ37" i="5" s="1"/>
  <c r="CZ38" i="5" s="1"/>
  <c r="CZ39" i="5" s="1"/>
  <c r="CZ40" i="5" s="1"/>
  <c r="CZ41" i="5" s="1"/>
  <c r="CZ42" i="5" s="1"/>
  <c r="CZ43" i="5" s="1"/>
  <c r="CZ44" i="5" s="1"/>
  <c r="CZ45" i="5" s="1"/>
  <c r="CZ46" i="5" s="1"/>
  <c r="CZ47" i="5" s="1"/>
  <c r="CZ48" i="5" s="1"/>
  <c r="CZ49" i="5" s="1"/>
  <c r="CZ50" i="5" s="1"/>
  <c r="CZ51" i="5" s="1"/>
  <c r="CZ52" i="5" s="1"/>
  <c r="CZ53" i="5" s="1"/>
  <c r="CZ54" i="5" s="1"/>
  <c r="CZ55" i="5" s="1"/>
  <c r="CZ56" i="5" s="1"/>
  <c r="CZ57" i="5" s="1"/>
  <c r="CZ58" i="5" s="1"/>
  <c r="CZ59" i="5" s="1"/>
  <c r="CZ60" i="5" s="1"/>
  <c r="CZ61" i="5" s="1"/>
  <c r="CZ62" i="5" s="1"/>
  <c r="CZ63" i="5" s="1"/>
  <c r="CZ64" i="5" s="1"/>
  <c r="CZ65" i="5" s="1"/>
  <c r="CZ66" i="5" s="1"/>
  <c r="CZ67" i="5" s="1"/>
  <c r="CZ68" i="5" s="1"/>
  <c r="CZ69" i="5" s="1"/>
  <c r="CZ70" i="5" s="1"/>
  <c r="CZ71" i="5" s="1"/>
  <c r="CZ72" i="5" s="1"/>
  <c r="CZ73" i="5" s="1"/>
  <c r="CZ74" i="5" s="1"/>
  <c r="DA4" i="5"/>
  <c r="DA5" i="5" s="1"/>
  <c r="DA6" i="5" s="1"/>
  <c r="DA7" i="5" s="1"/>
  <c r="DA8" i="5" s="1"/>
  <c r="DA9" i="5" s="1"/>
  <c r="DA10" i="5" s="1"/>
  <c r="DA11" i="5" s="1"/>
  <c r="DA12" i="5" s="1"/>
  <c r="DA13" i="5" s="1"/>
  <c r="DA14" i="5" s="1"/>
  <c r="DA15" i="5" s="1"/>
  <c r="DA16" i="5" s="1"/>
  <c r="DA17" i="5" s="1"/>
  <c r="DA18" i="5" s="1"/>
  <c r="DA19" i="5" s="1"/>
  <c r="DA20" i="5" s="1"/>
  <c r="DA21" i="5" s="1"/>
  <c r="DA22" i="5" s="1"/>
  <c r="DA23" i="5" s="1"/>
  <c r="DA24" i="5" s="1"/>
  <c r="DA25" i="5" s="1"/>
  <c r="DA26" i="5" s="1"/>
  <c r="DA27" i="5" s="1"/>
  <c r="DA28" i="5" s="1"/>
  <c r="DA29" i="5" s="1"/>
  <c r="DA30" i="5" s="1"/>
  <c r="DA31" i="5" s="1"/>
  <c r="DA32" i="5" s="1"/>
  <c r="DA33" i="5" s="1"/>
  <c r="DA34" i="5" s="1"/>
  <c r="DA35" i="5" s="1"/>
  <c r="DA36" i="5" s="1"/>
  <c r="DA37" i="5" s="1"/>
  <c r="DA38" i="5" s="1"/>
  <c r="DA39" i="5" s="1"/>
  <c r="DA40" i="5" s="1"/>
  <c r="DA41" i="5" s="1"/>
  <c r="DA42" i="5" s="1"/>
  <c r="DA43" i="5" s="1"/>
  <c r="DA44" i="5" s="1"/>
  <c r="DA45" i="5" s="1"/>
  <c r="DA46" i="5" s="1"/>
  <c r="DA47" i="5" s="1"/>
  <c r="DA48" i="5" s="1"/>
  <c r="DA49" i="5" s="1"/>
  <c r="DA50" i="5" s="1"/>
  <c r="DA51" i="5" s="1"/>
  <c r="DA52" i="5" s="1"/>
  <c r="DA53" i="5" s="1"/>
  <c r="DA54" i="5" s="1"/>
  <c r="DA55" i="5" s="1"/>
  <c r="DA56" i="5" s="1"/>
  <c r="DA57" i="5" s="1"/>
  <c r="DA58" i="5" s="1"/>
  <c r="DA59" i="5" s="1"/>
  <c r="DA60" i="5" s="1"/>
  <c r="DA61" i="5" s="1"/>
  <c r="DA62" i="5" s="1"/>
  <c r="DA63" i="5" s="1"/>
  <c r="DA64" i="5" s="1"/>
  <c r="DA65" i="5" s="1"/>
  <c r="DA66" i="5" s="1"/>
  <c r="DA67" i="5" s="1"/>
  <c r="DA68" i="5" s="1"/>
  <c r="DA69" i="5" s="1"/>
  <c r="DA70" i="5" s="1"/>
  <c r="DA71" i="5" s="1"/>
  <c r="DA72" i="5" s="1"/>
  <c r="DA73" i="5" s="1"/>
  <c r="DA74" i="5" s="1"/>
  <c r="DB4" i="5"/>
  <c r="DB5" i="5" s="1"/>
  <c r="DB6" i="5" s="1"/>
  <c r="DB7" i="5" s="1"/>
  <c r="DB8" i="5" s="1"/>
  <c r="DB9" i="5" s="1"/>
  <c r="DB10" i="5" s="1"/>
  <c r="DB11" i="5" s="1"/>
  <c r="DB12" i="5" s="1"/>
  <c r="DB13" i="5" s="1"/>
  <c r="DB14" i="5" s="1"/>
  <c r="DB15" i="5" s="1"/>
  <c r="DB16" i="5" s="1"/>
  <c r="DB17" i="5" s="1"/>
  <c r="DB18" i="5" s="1"/>
  <c r="DB19" i="5" s="1"/>
  <c r="DB20" i="5" s="1"/>
  <c r="DB21" i="5" s="1"/>
  <c r="DB22" i="5" s="1"/>
  <c r="DB23" i="5" s="1"/>
  <c r="DB24" i="5" s="1"/>
  <c r="DB25" i="5" s="1"/>
  <c r="DB26" i="5" s="1"/>
  <c r="DB27" i="5" s="1"/>
  <c r="DB28" i="5" s="1"/>
  <c r="DB29" i="5" s="1"/>
  <c r="DB30" i="5" s="1"/>
  <c r="DB31" i="5" s="1"/>
  <c r="DB32" i="5" s="1"/>
  <c r="DB33" i="5" s="1"/>
  <c r="DB34" i="5" s="1"/>
  <c r="DB35" i="5" s="1"/>
  <c r="DB36" i="5" s="1"/>
  <c r="DB37" i="5" s="1"/>
  <c r="DB38" i="5" s="1"/>
  <c r="DB39" i="5" s="1"/>
  <c r="DB40" i="5" s="1"/>
  <c r="DB41" i="5" s="1"/>
  <c r="DB42" i="5" s="1"/>
  <c r="DB43" i="5" s="1"/>
  <c r="DB44" i="5" s="1"/>
  <c r="DB45" i="5" s="1"/>
  <c r="DB46" i="5" s="1"/>
  <c r="DB47" i="5" s="1"/>
  <c r="DB48" i="5" s="1"/>
  <c r="DB49" i="5" s="1"/>
  <c r="DB50" i="5" s="1"/>
  <c r="DB51" i="5" s="1"/>
  <c r="DB52" i="5" s="1"/>
  <c r="DB53" i="5" s="1"/>
  <c r="DB54" i="5" s="1"/>
  <c r="DB55" i="5" s="1"/>
  <c r="DB56" i="5" s="1"/>
  <c r="DB57" i="5" s="1"/>
  <c r="DB58" i="5" s="1"/>
  <c r="DB59" i="5" s="1"/>
  <c r="DB60" i="5" s="1"/>
  <c r="DB61" i="5" s="1"/>
  <c r="DB62" i="5" s="1"/>
  <c r="DB63" i="5" s="1"/>
  <c r="DB64" i="5" s="1"/>
  <c r="DB65" i="5" s="1"/>
  <c r="DB66" i="5" s="1"/>
  <c r="DB67" i="5" s="1"/>
  <c r="DB68" i="5" s="1"/>
  <c r="DB69" i="5" s="1"/>
  <c r="DB70" i="5" s="1"/>
  <c r="DB71" i="5" s="1"/>
  <c r="DB72" i="5" s="1"/>
  <c r="DB73" i="5" s="1"/>
  <c r="DB74" i="5" s="1"/>
  <c r="EH4" i="5"/>
  <c r="EI4" i="5"/>
  <c r="EJ4" i="5"/>
  <c r="EO5" i="5"/>
  <c r="EP5" i="5"/>
  <c r="EH6" i="5"/>
  <c r="EI6" i="5"/>
  <c r="EL8" i="5"/>
  <c r="EM8" i="5"/>
  <c r="EN8" i="5"/>
  <c r="EO8" i="5"/>
  <c r="EP8" i="5"/>
  <c r="EH9" i="5"/>
  <c r="EI9" i="5"/>
  <c r="EJ9" i="5"/>
  <c r="EK9" i="5"/>
  <c r="EL9" i="5"/>
  <c r="EM9" i="5"/>
  <c r="EN9" i="5"/>
  <c r="EO9" i="5"/>
  <c r="EP9" i="5"/>
  <c r="EH10" i="5"/>
  <c r="EI10" i="5"/>
  <c r="EJ10" i="5"/>
  <c r="EK10" i="5"/>
  <c r="EL10" i="5"/>
  <c r="EM10" i="5"/>
  <c r="EN10" i="5"/>
  <c r="EO10" i="5"/>
  <c r="EP10" i="5"/>
  <c r="EH11" i="5"/>
  <c r="EI11" i="5"/>
  <c r="EJ11" i="5"/>
  <c r="EK11" i="5"/>
  <c r="EH12" i="5"/>
  <c r="EI12" i="5"/>
  <c r="EJ12" i="5"/>
  <c r="EK12" i="5"/>
  <c r="EL12" i="5"/>
  <c r="EM12" i="5"/>
  <c r="EN12" i="5"/>
  <c r="EO12" i="5"/>
  <c r="EP12" i="5"/>
  <c r="EH13" i="5"/>
  <c r="EI13" i="5"/>
  <c r="EJ13" i="5"/>
  <c r="EK13" i="5"/>
  <c r="EL13" i="5"/>
  <c r="EM13" i="5"/>
  <c r="EN13" i="5"/>
  <c r="EO13" i="5"/>
  <c r="EP13" i="5"/>
  <c r="EH14" i="5"/>
  <c r="EI14" i="5"/>
  <c r="EJ14" i="5"/>
  <c r="EK14" i="5"/>
  <c r="EL14" i="5"/>
  <c r="EM14" i="5"/>
  <c r="EN14" i="5"/>
  <c r="EO14" i="5"/>
  <c r="EP14" i="5"/>
  <c r="EP15" i="5"/>
  <c r="EH16" i="5"/>
  <c r="EI16" i="5"/>
  <c r="EJ16" i="5"/>
  <c r="EK16" i="5"/>
  <c r="EL16" i="5"/>
  <c r="EM16" i="5"/>
  <c r="EN16" i="5"/>
  <c r="EO16" i="5"/>
  <c r="EP16" i="5"/>
  <c r="EH17" i="5"/>
  <c r="EI17" i="5"/>
  <c r="EJ17" i="5"/>
  <c r="EK17" i="5"/>
  <c r="EL17" i="5"/>
  <c r="EM17" i="5"/>
  <c r="EN17" i="5"/>
  <c r="EO17" i="5"/>
  <c r="EP17" i="5"/>
  <c r="EH18" i="5"/>
  <c r="EI18" i="5"/>
  <c r="EJ18" i="5"/>
  <c r="EK18" i="5"/>
  <c r="EL18" i="5"/>
  <c r="EP19" i="5"/>
  <c r="EH20" i="5"/>
  <c r="EI20" i="5"/>
  <c r="EH24" i="5"/>
  <c r="EI24" i="5"/>
  <c r="EJ24" i="5"/>
  <c r="EK24" i="5"/>
  <c r="EL24" i="5"/>
  <c r="EM24" i="5"/>
  <c r="EN24" i="5"/>
  <c r="EO24" i="5"/>
  <c r="EP24" i="5"/>
  <c r="EH25" i="5"/>
  <c r="EI25" i="5"/>
  <c r="EL25" i="5"/>
  <c r="EM25" i="5"/>
  <c r="EI27" i="5"/>
  <c r="EJ27" i="5"/>
  <c r="EK27" i="5"/>
  <c r="EL27" i="5"/>
  <c r="EM27" i="5"/>
  <c r="EN27" i="5"/>
  <c r="EO27" i="5"/>
  <c r="EP27" i="5"/>
  <c r="EH28" i="5"/>
  <c r="EI28" i="5"/>
  <c r="EJ28" i="5"/>
  <c r="EK28" i="5"/>
  <c r="EL28" i="5"/>
  <c r="EM28" i="5"/>
  <c r="EN28" i="5"/>
  <c r="EO28" i="5"/>
  <c r="EP28" i="5"/>
  <c r="EH29" i="5"/>
  <c r="EI29" i="5"/>
  <c r="EN30" i="5"/>
  <c r="EO30" i="5"/>
  <c r="EP30" i="5"/>
  <c r="EH31" i="5"/>
  <c r="EI31" i="5"/>
  <c r="EJ31" i="5"/>
  <c r="EK31" i="5"/>
  <c r="EL31" i="5"/>
  <c r="EM31" i="5"/>
  <c r="EK34" i="5"/>
  <c r="EL34" i="5"/>
  <c r="EM34" i="5"/>
  <c r="EN34" i="5"/>
  <c r="EO34" i="5"/>
  <c r="EP34" i="5"/>
  <c r="EH35" i="5"/>
  <c r="EI35" i="5"/>
  <c r="EJ35" i="5"/>
  <c r="EK35" i="5"/>
  <c r="EL35" i="5"/>
  <c r="EM35" i="5"/>
  <c r="EN35" i="5"/>
  <c r="EO35" i="5"/>
  <c r="EP35" i="5"/>
  <c r="EH36" i="5"/>
  <c r="EI36" i="5"/>
  <c r="EJ36" i="5"/>
  <c r="EO37" i="5"/>
  <c r="EP37" i="5"/>
  <c r="EH38" i="5"/>
  <c r="EL40" i="5"/>
  <c r="EM40" i="5"/>
  <c r="EN40" i="5"/>
  <c r="EO40" i="5"/>
  <c r="EP40" i="5"/>
  <c r="EH41" i="5"/>
  <c r="EI41" i="5"/>
  <c r="EJ41" i="5"/>
  <c r="EK41" i="5"/>
  <c r="EL41" i="5"/>
  <c r="EM41" i="5"/>
  <c r="EN41" i="5"/>
  <c r="EO41" i="5"/>
  <c r="EP41" i="5"/>
  <c r="EH42" i="5"/>
  <c r="EI42" i="5"/>
  <c r="EJ42" i="5"/>
  <c r="EK42" i="5"/>
  <c r="EL42" i="5"/>
  <c r="EM42" i="5"/>
  <c r="EN42" i="5"/>
  <c r="EO42" i="5"/>
  <c r="EP42" i="5"/>
  <c r="EH43" i="5"/>
  <c r="EI43" i="5"/>
  <c r="EJ43" i="5"/>
  <c r="EK43" i="5"/>
  <c r="EH44" i="5"/>
  <c r="EI44" i="5"/>
  <c r="EJ44" i="5"/>
  <c r="EK44" i="5"/>
  <c r="EL44" i="5"/>
  <c r="EM44" i="5"/>
  <c r="EN44" i="5"/>
  <c r="EO44" i="5"/>
  <c r="EP44" i="5"/>
  <c r="EH45" i="5"/>
  <c r="EI45" i="5"/>
  <c r="EJ45" i="5"/>
  <c r="EK45" i="5"/>
  <c r="EL45" i="5"/>
  <c r="EM45" i="5"/>
  <c r="EN45" i="5"/>
  <c r="EO45" i="5"/>
  <c r="EP45" i="5"/>
  <c r="EH46" i="5"/>
  <c r="EI46" i="5"/>
  <c r="EJ46" i="5"/>
  <c r="EK46" i="5"/>
  <c r="EL46" i="5"/>
  <c r="EM46" i="5"/>
  <c r="EN46" i="5"/>
  <c r="EO46" i="5"/>
  <c r="EP46" i="5"/>
  <c r="EP47" i="5"/>
  <c r="EH48" i="5"/>
  <c r="EI48" i="5"/>
  <c r="EJ48" i="5"/>
  <c r="EK48" i="5"/>
  <c r="EL48" i="5"/>
  <c r="EM48" i="5"/>
  <c r="EN48" i="5"/>
  <c r="EO48" i="5"/>
  <c r="EP48" i="5"/>
  <c r="EH49" i="5"/>
  <c r="EI49" i="5"/>
  <c r="EJ49" i="5"/>
  <c r="EK49" i="5"/>
  <c r="EL49" i="5"/>
  <c r="EM49" i="5"/>
  <c r="EN49" i="5"/>
  <c r="EO49" i="5"/>
  <c r="EP49" i="5"/>
  <c r="EH50" i="5"/>
  <c r="EI50" i="5"/>
  <c r="EJ50" i="5"/>
  <c r="EK50" i="5"/>
  <c r="EL50" i="5"/>
  <c r="EP51" i="5"/>
  <c r="EH52" i="5"/>
  <c r="EH56" i="5"/>
  <c r="EI56" i="5"/>
  <c r="EJ56" i="5"/>
  <c r="EK56" i="5"/>
  <c r="EL56" i="5"/>
  <c r="EM56" i="5"/>
  <c r="EN56" i="5"/>
  <c r="EO56" i="5"/>
  <c r="EP56" i="5"/>
  <c r="EH57" i="5"/>
  <c r="EK57" i="5"/>
  <c r="EL57" i="5"/>
  <c r="EM57" i="5"/>
  <c r="EH59" i="5"/>
  <c r="EI59" i="5"/>
  <c r="EJ59" i="5"/>
  <c r="EK59" i="5"/>
  <c r="EL59" i="5"/>
  <c r="EM59" i="5"/>
  <c r="EN59" i="5"/>
  <c r="EO59" i="5"/>
  <c r="EP59" i="5"/>
  <c r="EH60" i="5"/>
  <c r="EI60" i="5"/>
  <c r="EJ60" i="5"/>
  <c r="EK60" i="5"/>
  <c r="EL60" i="5"/>
  <c r="EM60" i="5"/>
  <c r="EN60" i="5"/>
  <c r="EO60" i="5"/>
  <c r="EP60" i="5"/>
  <c r="EH61" i="5"/>
  <c r="EI61" i="5"/>
  <c r="EM62" i="5"/>
  <c r="EN62" i="5"/>
  <c r="EO62" i="5"/>
  <c r="EP62" i="5"/>
  <c r="EH63" i="5"/>
  <c r="EI63" i="5"/>
  <c r="EJ63" i="5"/>
  <c r="EL64" i="5"/>
  <c r="EM64" i="5"/>
  <c r="EN64" i="5"/>
  <c r="EI66" i="5"/>
  <c r="EJ66" i="5"/>
  <c r="EK66" i="5"/>
  <c r="EL66" i="5"/>
  <c r="EM66" i="5"/>
  <c r="EN66" i="5"/>
  <c r="EO66" i="5"/>
  <c r="EP66" i="5"/>
  <c r="EH67" i="5"/>
  <c r="EI67" i="5"/>
  <c r="EJ67" i="5"/>
  <c r="EK67" i="5"/>
  <c r="EL67" i="5"/>
  <c r="EM67" i="5"/>
  <c r="EN67" i="5"/>
  <c r="EO67" i="5"/>
  <c r="EP67" i="5"/>
  <c r="EH68" i="5"/>
  <c r="EI68" i="5"/>
  <c r="EK71" i="5"/>
  <c r="EL71" i="5"/>
  <c r="EN71" i="5"/>
  <c r="EO71" i="5"/>
  <c r="EL72" i="5"/>
  <c r="EM72" i="5"/>
  <c r="EN72" i="5"/>
  <c r="EO72" i="5"/>
  <c r="EP72" i="5"/>
  <c r="EH73" i="5"/>
  <c r="EI73" i="5"/>
  <c r="EJ73" i="5"/>
  <c r="EK73" i="5"/>
  <c r="EL73" i="5"/>
  <c r="EM73" i="5"/>
  <c r="EN73" i="5"/>
  <c r="EO73" i="5"/>
  <c r="EP73" i="5"/>
  <c r="EH74" i="5"/>
  <c r="EI74" i="5"/>
  <c r="EJ74" i="5"/>
  <c r="EK74" i="5"/>
  <c r="EL74" i="5"/>
  <c r="EM74" i="5"/>
  <c r="EN74" i="5"/>
  <c r="EO74" i="5"/>
  <c r="EP74" i="5"/>
  <c r="DW4" i="5"/>
  <c r="DW5" i="5"/>
  <c r="DW6" i="5"/>
  <c r="EJ6" i="5" s="1"/>
  <c r="DW7" i="5"/>
  <c r="EP7" i="5" s="1"/>
  <c r="DW8" i="5"/>
  <c r="EH8" i="5" s="1"/>
  <c r="DW9" i="5"/>
  <c r="DW10" i="5"/>
  <c r="DW11" i="5"/>
  <c r="EL11" i="5" s="1"/>
  <c r="DW12" i="5"/>
  <c r="DW13" i="5"/>
  <c r="DW14" i="5"/>
  <c r="DW15" i="5"/>
  <c r="EH15" i="5" s="1"/>
  <c r="DW16" i="5"/>
  <c r="DW17" i="5"/>
  <c r="DW18" i="5"/>
  <c r="EM18" i="5" s="1"/>
  <c r="DW19" i="5"/>
  <c r="EJ19" i="5" s="1"/>
  <c r="DW20" i="5"/>
  <c r="EJ20" i="5" s="1"/>
  <c r="DW21" i="5"/>
  <c r="EH21" i="5" s="1"/>
  <c r="DW22" i="5"/>
  <c r="EH22" i="5" s="1"/>
  <c r="DW23" i="5"/>
  <c r="EN23" i="5" s="1"/>
  <c r="DW24" i="5"/>
  <c r="DW25" i="5"/>
  <c r="DW26" i="5"/>
  <c r="DW27" i="5"/>
  <c r="EH27" i="5" s="1"/>
  <c r="DW28" i="5"/>
  <c r="DW29" i="5"/>
  <c r="DW30" i="5"/>
  <c r="DW31" i="5"/>
  <c r="EN31" i="5" s="1"/>
  <c r="DW32" i="5"/>
  <c r="EN32" i="5" s="1"/>
  <c r="DW33" i="5"/>
  <c r="DW34" i="5"/>
  <c r="EJ34" i="5" s="1"/>
  <c r="DW35" i="5"/>
  <c r="DW36" i="5"/>
  <c r="DW37" i="5"/>
  <c r="DW38" i="5"/>
  <c r="EI38" i="5" s="1"/>
  <c r="DW39" i="5"/>
  <c r="EP39" i="5" s="1"/>
  <c r="DW40" i="5"/>
  <c r="EH40" i="5" s="1"/>
  <c r="DW41" i="5"/>
  <c r="DW42" i="5"/>
  <c r="DW43" i="5"/>
  <c r="EL43" i="5" s="1"/>
  <c r="DW44" i="5"/>
  <c r="DW45" i="5"/>
  <c r="DW46" i="5"/>
  <c r="DW47" i="5"/>
  <c r="EH47" i="5" s="1"/>
  <c r="DW48" i="5"/>
  <c r="DW49" i="5"/>
  <c r="DW50" i="5"/>
  <c r="EM50" i="5" s="1"/>
  <c r="DW51" i="5"/>
  <c r="EL51" i="5" s="1"/>
  <c r="DW52" i="5"/>
  <c r="EI52" i="5" s="1"/>
  <c r="DW53" i="5"/>
  <c r="EJ53" i="5" s="1"/>
  <c r="DW54" i="5"/>
  <c r="EH54" i="5" s="1"/>
  <c r="DW55" i="5"/>
  <c r="EO55" i="5" s="1"/>
  <c r="DW56" i="5"/>
  <c r="DW57" i="5"/>
  <c r="DW58" i="5"/>
  <c r="DW59" i="5"/>
  <c r="DW60" i="5"/>
  <c r="DW61" i="5"/>
  <c r="DW62" i="5"/>
  <c r="DW63" i="5"/>
  <c r="EK63" i="5" s="1"/>
  <c r="DW64" i="5"/>
  <c r="EH64" i="5" s="1"/>
  <c r="DW65" i="5"/>
  <c r="DW66" i="5"/>
  <c r="EH66" i="5" s="1"/>
  <c r="DW67" i="5"/>
  <c r="DW68" i="5"/>
  <c r="DW69" i="5"/>
  <c r="DW70" i="5"/>
  <c r="EH70" i="5" s="1"/>
  <c r="DW71" i="5"/>
  <c r="EP71" i="5" s="1"/>
  <c r="DW72" i="5"/>
  <c r="EH72" i="5" s="1"/>
  <c r="DW73" i="5"/>
  <c r="DW74" i="5"/>
  <c r="DW3" i="5"/>
  <c r="EO23" i="5" l="1"/>
  <c r="EP23" i="5"/>
  <c r="EN55" i="5"/>
  <c r="EM71" i="5"/>
  <c r="EM55" i="5"/>
  <c r="EI23" i="5"/>
  <c r="EJ23" i="5"/>
  <c r="EK23" i="5"/>
  <c r="EL23" i="5"/>
  <c r="EH23" i="5"/>
  <c r="EP55" i="5"/>
  <c r="EO53" i="5"/>
  <c r="EI71" i="5"/>
  <c r="EJ71" i="5"/>
  <c r="EO39" i="5"/>
  <c r="EH71" i="5"/>
  <c r="EM39" i="5"/>
  <c r="EP70" i="5"/>
  <c r="EL21" i="5"/>
  <c r="EJ39" i="5"/>
  <c r="EK21" i="5"/>
  <c r="EK7" i="5"/>
  <c r="EK65" i="5"/>
  <c r="EL65" i="5"/>
  <c r="EM65" i="5"/>
  <c r="EN65" i="5"/>
  <c r="EP65" i="5"/>
  <c r="EH65" i="5"/>
  <c r="EI65" i="5"/>
  <c r="EO65" i="5"/>
  <c r="EJ65" i="5"/>
  <c r="EM33" i="5"/>
  <c r="EN33" i="5"/>
  <c r="EP33" i="5"/>
  <c r="EK33" i="5"/>
  <c r="EH33" i="5"/>
  <c r="EI33" i="5"/>
  <c r="EL33" i="5"/>
  <c r="EJ33" i="5"/>
  <c r="EO33" i="5"/>
  <c r="EM70" i="5"/>
  <c r="EK64" i="5"/>
  <c r="EI53" i="5"/>
  <c r="EI39" i="5"/>
  <c r="EJ21" i="5"/>
  <c r="EJ7" i="5"/>
  <c r="EN53" i="5"/>
  <c r="EI69" i="5"/>
  <c r="EK69" i="5"/>
  <c r="EM69" i="5"/>
  <c r="EJ69" i="5"/>
  <c r="EL69" i="5"/>
  <c r="EH69" i="5"/>
  <c r="EK4" i="5"/>
  <c r="EL4" i="5"/>
  <c r="EM4" i="5"/>
  <c r="EN4" i="5"/>
  <c r="EP4" i="5"/>
  <c r="EO4" i="5"/>
  <c r="EO32" i="5"/>
  <c r="EP32" i="5"/>
  <c r="EL70" i="5"/>
  <c r="EH53" i="5"/>
  <c r="EH39" i="5"/>
  <c r="EM32" i="5"/>
  <c r="EI21" i="5"/>
  <c r="EI7" i="5"/>
  <c r="EP21" i="5"/>
  <c r="EH37" i="5"/>
  <c r="EI37" i="5"/>
  <c r="EJ37" i="5"/>
  <c r="EK37" i="5"/>
  <c r="EL37" i="5"/>
  <c r="EM37" i="5"/>
  <c r="EN37" i="5"/>
  <c r="EO70" i="5"/>
  <c r="EP38" i="5"/>
  <c r="EH7" i="5"/>
  <c r="EH55" i="5"/>
  <c r="EI55" i="5"/>
  <c r="EK55" i="5"/>
  <c r="EL55" i="5"/>
  <c r="EJ55" i="5"/>
  <c r="EI22" i="5"/>
  <c r="EN22" i="5"/>
  <c r="EP22" i="5"/>
  <c r="EJ22" i="5"/>
  <c r="EK22" i="5"/>
  <c r="EO22" i="5"/>
  <c r="EL22" i="5"/>
  <c r="EM22" i="5"/>
  <c r="EM23" i="5"/>
  <c r="EP53" i="5"/>
  <c r="EH5" i="5"/>
  <c r="EL5" i="5"/>
  <c r="EM5" i="5"/>
  <c r="EI5" i="5"/>
  <c r="EN5" i="5"/>
  <c r="EK5" i="5"/>
  <c r="EJ5" i="5"/>
  <c r="EN21" i="5"/>
  <c r="EK36" i="5"/>
  <c r="EL36" i="5"/>
  <c r="EM36" i="5"/>
  <c r="EN36" i="5"/>
  <c r="EO36" i="5"/>
  <c r="EP36" i="5"/>
  <c r="EL53" i="5"/>
  <c r="EL39" i="5"/>
  <c r="EM21" i="5"/>
  <c r="EN70" i="5"/>
  <c r="EJ64" i="5"/>
  <c r="EI64" i="5"/>
  <c r="EP52" i="5"/>
  <c r="EL32" i="5"/>
  <c r="EI62" i="5"/>
  <c r="EJ62" i="5"/>
  <c r="EK62" i="5"/>
  <c r="EH62" i="5"/>
  <c r="EL62" i="5"/>
  <c r="EH30" i="5"/>
  <c r="EJ30" i="5"/>
  <c r="EK30" i="5"/>
  <c r="EL30" i="5"/>
  <c r="EM30" i="5"/>
  <c r="EI30" i="5"/>
  <c r="EJ70" i="5"/>
  <c r="EO52" i="5"/>
  <c r="EO38" i="5"/>
  <c r="EK32" i="5"/>
  <c r="EP20" i="5"/>
  <c r="EP6" i="5"/>
  <c r="EN39" i="5"/>
  <c r="EO7" i="5"/>
  <c r="EM53" i="5"/>
  <c r="EN7" i="5"/>
  <c r="EK68" i="5"/>
  <c r="EL68" i="5"/>
  <c r="EM68" i="5"/>
  <c r="EN68" i="5"/>
  <c r="EP68" i="5"/>
  <c r="EO68" i="5"/>
  <c r="EM7" i="5"/>
  <c r="EK53" i="5"/>
  <c r="EK39" i="5"/>
  <c r="EK70" i="5"/>
  <c r="EM52" i="5"/>
  <c r="EM38" i="5"/>
  <c r="EI32" i="5"/>
  <c r="EN20" i="5"/>
  <c r="EN6" i="5"/>
  <c r="EI54" i="5"/>
  <c r="EO54" i="5"/>
  <c r="EJ54" i="5"/>
  <c r="EN54" i="5"/>
  <c r="EK54" i="5"/>
  <c r="EL54" i="5"/>
  <c r="EP54" i="5"/>
  <c r="EM54" i="5"/>
  <c r="EO21" i="5"/>
  <c r="EL7" i="5"/>
  <c r="EH34" i="5"/>
  <c r="EI34" i="5"/>
  <c r="EO64" i="5"/>
  <c r="EP64" i="5"/>
  <c r="EJ61" i="5"/>
  <c r="EK61" i="5"/>
  <c r="EL61" i="5"/>
  <c r="EO61" i="5"/>
  <c r="EM61" i="5"/>
  <c r="EP61" i="5"/>
  <c r="EN61" i="5"/>
  <c r="EJ29" i="5"/>
  <c r="EP29" i="5"/>
  <c r="EK29" i="5"/>
  <c r="EL29" i="5"/>
  <c r="EM29" i="5"/>
  <c r="EN29" i="5"/>
  <c r="EO29" i="5"/>
  <c r="EI70" i="5"/>
  <c r="EP63" i="5"/>
  <c r="EN52" i="5"/>
  <c r="EN38" i="5"/>
  <c r="EJ32" i="5"/>
  <c r="EO20" i="5"/>
  <c r="EO6" i="5"/>
  <c r="EO63" i="5"/>
  <c r="EP69" i="5"/>
  <c r="EN63" i="5"/>
  <c r="EL52" i="5"/>
  <c r="EL38" i="5"/>
  <c r="EH32" i="5"/>
  <c r="EM20" i="5"/>
  <c r="EM6" i="5"/>
  <c r="EK58" i="5"/>
  <c r="EL58" i="5"/>
  <c r="EM58" i="5"/>
  <c r="EN58" i="5"/>
  <c r="EO58" i="5"/>
  <c r="EP58" i="5"/>
  <c r="EH58" i="5"/>
  <c r="EI58" i="5"/>
  <c r="EJ58" i="5"/>
  <c r="EL26" i="5"/>
  <c r="EM26" i="5"/>
  <c r="EN26" i="5"/>
  <c r="EO26" i="5"/>
  <c r="EP26" i="5"/>
  <c r="EK26" i="5"/>
  <c r="EH26" i="5"/>
  <c r="EJ26" i="5"/>
  <c r="EI26" i="5"/>
  <c r="EO69" i="5"/>
  <c r="EM63" i="5"/>
  <c r="EK52" i="5"/>
  <c r="EK38" i="5"/>
  <c r="EP31" i="5"/>
  <c r="EL20" i="5"/>
  <c r="EL6" i="5"/>
  <c r="EN57" i="5"/>
  <c r="EO57" i="5"/>
  <c r="EP57" i="5"/>
  <c r="EN25" i="5"/>
  <c r="EO25" i="5"/>
  <c r="EP25" i="5"/>
  <c r="EN69" i="5"/>
  <c r="EL63" i="5"/>
  <c r="EJ57" i="5"/>
  <c r="EJ52" i="5"/>
  <c r="EJ38" i="5"/>
  <c r="EO31" i="5"/>
  <c r="EK25" i="5"/>
  <c r="EK20" i="5"/>
  <c r="EK6" i="5"/>
  <c r="EJ68" i="5"/>
  <c r="EI57" i="5"/>
  <c r="EJ25" i="5"/>
  <c r="EK51" i="5"/>
  <c r="EI51" i="5"/>
  <c r="EM15" i="5"/>
  <c r="EK72" i="5"/>
  <c r="EH51" i="5"/>
  <c r="EL47" i="5"/>
  <c r="EP43" i="5"/>
  <c r="EK40" i="5"/>
  <c r="EH19" i="5"/>
  <c r="EL15" i="5"/>
  <c r="EP11" i="5"/>
  <c r="EK8" i="5"/>
  <c r="EM47" i="5"/>
  <c r="EP3" i="5"/>
  <c r="EJ72" i="5"/>
  <c r="EP50" i="5"/>
  <c r="EK47" i="5"/>
  <c r="EO43" i="5"/>
  <c r="EJ40" i="5"/>
  <c r="EP18" i="5"/>
  <c r="EK15" i="5"/>
  <c r="EO11" i="5"/>
  <c r="EJ8" i="5"/>
  <c r="EL19" i="5"/>
  <c r="EI19" i="5"/>
  <c r="EI72" i="5"/>
  <c r="EO50" i="5"/>
  <c r="EJ47" i="5"/>
  <c r="EN43" i="5"/>
  <c r="EI40" i="5"/>
  <c r="EO18" i="5"/>
  <c r="EJ15" i="5"/>
  <c r="EN11" i="5"/>
  <c r="EI8" i="5"/>
  <c r="EO51" i="5"/>
  <c r="EJ51" i="5"/>
  <c r="EN50" i="5"/>
  <c r="EI47" i="5"/>
  <c r="EM43" i="5"/>
  <c r="EN18" i="5"/>
  <c r="EI15" i="5"/>
  <c r="EM11" i="5"/>
  <c r="EO19" i="5"/>
  <c r="EN51" i="5"/>
  <c r="EN19" i="5"/>
  <c r="EM51" i="5"/>
  <c r="EM19" i="5"/>
  <c r="EO47" i="5"/>
  <c r="EK19" i="5"/>
  <c r="EO15" i="5"/>
  <c r="EN47" i="5"/>
  <c r="EN15" i="5"/>
  <c r="AH4" i="5" l="1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X75" i="5" s="1"/>
  <c r="AV3" i="5" l="1"/>
  <c r="G74" i="5" l="1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O3" i="5"/>
  <c r="N3" i="5"/>
  <c r="M3" i="5"/>
  <c r="L3" i="5"/>
  <c r="K3" i="5"/>
  <c r="J3" i="5"/>
  <c r="I3" i="5"/>
  <c r="H3" i="5"/>
  <c r="BF3" i="5" l="1"/>
  <c r="DY3" i="5"/>
  <c r="R3" i="5"/>
  <c r="U3" i="5" s="1"/>
  <c r="C3" i="5" s="1"/>
  <c r="AX3" i="5"/>
  <c r="AW3" i="5"/>
  <c r="X3" i="5" l="1"/>
  <c r="H4" i="5" s="1"/>
  <c r="J4" i="5"/>
  <c r="BE3" i="5"/>
  <c r="I4" i="5"/>
  <c r="ED3" i="5"/>
  <c r="EE3" i="5"/>
  <c r="EG3" i="5"/>
  <c r="EC3" i="5"/>
  <c r="EB3" i="5"/>
  <c r="DZ3" i="5"/>
  <c r="EA3" i="5"/>
  <c r="EF3" i="5"/>
  <c r="AY3" i="5"/>
  <c r="AZ3" i="5" s="1"/>
  <c r="BA3" i="5" s="1"/>
  <c r="BB3" i="5" s="1"/>
  <c r="BC3" i="5" s="1"/>
  <c r="BD3" i="5" s="1"/>
  <c r="AV4" i="5"/>
  <c r="AW4" i="5"/>
  <c r="AX4" i="5"/>
  <c r="AY4" i="5" s="1"/>
  <c r="AZ4" i="5" s="1"/>
  <c r="BA4" i="5" s="1"/>
  <c r="BB4" i="5" s="1"/>
  <c r="BC4" i="5" s="1"/>
  <c r="BD4" i="5" s="1"/>
  <c r="AV5" i="5"/>
  <c r="AW5" i="5"/>
  <c r="AX5" i="5"/>
  <c r="AY5" i="5" s="1"/>
  <c r="AZ5" i="5" s="1"/>
  <c r="BA5" i="5" s="1"/>
  <c r="BB5" i="5" s="1"/>
  <c r="BC5" i="5" s="1"/>
  <c r="BD5" i="5" s="1"/>
  <c r="AV6" i="5"/>
  <c r="AW6" i="5"/>
  <c r="AX6" i="5"/>
  <c r="AY6" i="5" s="1"/>
  <c r="AZ6" i="5" s="1"/>
  <c r="BA6" i="5" s="1"/>
  <c r="BB6" i="5" s="1"/>
  <c r="BC6" i="5" s="1"/>
  <c r="BD6" i="5" s="1"/>
  <c r="AV7" i="5"/>
  <c r="AW7" i="5"/>
  <c r="AX7" i="5"/>
  <c r="AY7" i="5" s="1"/>
  <c r="AZ7" i="5" s="1"/>
  <c r="BA7" i="5" s="1"/>
  <c r="BB7" i="5" s="1"/>
  <c r="BC7" i="5" s="1"/>
  <c r="BD7" i="5" s="1"/>
  <c r="AV8" i="5"/>
  <c r="AW8" i="5"/>
  <c r="AX8" i="5"/>
  <c r="AY8" i="5" s="1"/>
  <c r="AZ8" i="5" s="1"/>
  <c r="BA8" i="5" s="1"/>
  <c r="BB8" i="5" s="1"/>
  <c r="BC8" i="5" s="1"/>
  <c r="BD8" i="5" s="1"/>
  <c r="AV9" i="5"/>
  <c r="AW9" i="5"/>
  <c r="AX9" i="5"/>
  <c r="AY9" i="5" s="1"/>
  <c r="AZ9" i="5" s="1"/>
  <c r="BA9" i="5" s="1"/>
  <c r="BB9" i="5" s="1"/>
  <c r="BC9" i="5" s="1"/>
  <c r="BD9" i="5" s="1"/>
  <c r="AV10" i="5"/>
  <c r="AW10" i="5"/>
  <c r="AX10" i="5"/>
  <c r="AY10" i="5" s="1"/>
  <c r="AZ10" i="5" s="1"/>
  <c r="BA10" i="5" s="1"/>
  <c r="BB10" i="5" s="1"/>
  <c r="BC10" i="5" s="1"/>
  <c r="BD10" i="5" s="1"/>
  <c r="AV11" i="5"/>
  <c r="AW11" i="5"/>
  <c r="AX11" i="5"/>
  <c r="AY11" i="5" s="1"/>
  <c r="AZ11" i="5" s="1"/>
  <c r="BA11" i="5" s="1"/>
  <c r="BB11" i="5" s="1"/>
  <c r="BC11" i="5" s="1"/>
  <c r="BD11" i="5" s="1"/>
  <c r="AV12" i="5"/>
  <c r="AW12" i="5"/>
  <c r="AX12" i="5"/>
  <c r="AY12" i="5" s="1"/>
  <c r="AZ12" i="5" s="1"/>
  <c r="BA12" i="5" s="1"/>
  <c r="BB12" i="5" s="1"/>
  <c r="BC12" i="5" s="1"/>
  <c r="BD12" i="5" s="1"/>
  <c r="AV13" i="5"/>
  <c r="AW13" i="5"/>
  <c r="AX13" i="5"/>
  <c r="AY13" i="5" s="1"/>
  <c r="AZ13" i="5" s="1"/>
  <c r="BA13" i="5" s="1"/>
  <c r="BB13" i="5" s="1"/>
  <c r="BC13" i="5" s="1"/>
  <c r="BD13" i="5" s="1"/>
  <c r="AV14" i="5"/>
  <c r="AW14" i="5"/>
  <c r="AX14" i="5"/>
  <c r="AY14" i="5" s="1"/>
  <c r="AZ14" i="5" s="1"/>
  <c r="BA14" i="5" s="1"/>
  <c r="BB14" i="5" s="1"/>
  <c r="BC14" i="5" s="1"/>
  <c r="BD14" i="5" s="1"/>
  <c r="AV15" i="5"/>
  <c r="AW15" i="5"/>
  <c r="AX15" i="5"/>
  <c r="AY15" i="5" s="1"/>
  <c r="AZ15" i="5" s="1"/>
  <c r="BA15" i="5" s="1"/>
  <c r="BB15" i="5" s="1"/>
  <c r="BC15" i="5" s="1"/>
  <c r="BD15" i="5" s="1"/>
  <c r="AV16" i="5"/>
  <c r="AW16" i="5"/>
  <c r="AX16" i="5"/>
  <c r="AY16" i="5" s="1"/>
  <c r="AZ16" i="5" s="1"/>
  <c r="BA16" i="5" s="1"/>
  <c r="BB16" i="5" s="1"/>
  <c r="BC16" i="5" s="1"/>
  <c r="BD16" i="5" s="1"/>
  <c r="AV17" i="5"/>
  <c r="AW17" i="5"/>
  <c r="AX17" i="5"/>
  <c r="AY17" i="5" s="1"/>
  <c r="AZ17" i="5" s="1"/>
  <c r="BA17" i="5" s="1"/>
  <c r="BB17" i="5" s="1"/>
  <c r="BC17" i="5" s="1"/>
  <c r="BD17" i="5" s="1"/>
  <c r="AV18" i="5"/>
  <c r="AW18" i="5"/>
  <c r="AX18" i="5"/>
  <c r="AY18" i="5" s="1"/>
  <c r="AZ18" i="5" s="1"/>
  <c r="BA18" i="5" s="1"/>
  <c r="BB18" i="5" s="1"/>
  <c r="BC18" i="5" s="1"/>
  <c r="BD18" i="5" s="1"/>
  <c r="AV19" i="5"/>
  <c r="AW19" i="5"/>
  <c r="AX19" i="5"/>
  <c r="AY19" i="5" s="1"/>
  <c r="AZ19" i="5" s="1"/>
  <c r="BA19" i="5" s="1"/>
  <c r="BB19" i="5" s="1"/>
  <c r="BC19" i="5" s="1"/>
  <c r="BD19" i="5" s="1"/>
  <c r="AV20" i="5"/>
  <c r="AW20" i="5"/>
  <c r="AX20" i="5"/>
  <c r="AY20" i="5" s="1"/>
  <c r="AZ20" i="5" s="1"/>
  <c r="BA20" i="5" s="1"/>
  <c r="BB20" i="5" s="1"/>
  <c r="BC20" i="5" s="1"/>
  <c r="BD20" i="5" s="1"/>
  <c r="AV21" i="5"/>
  <c r="AW21" i="5"/>
  <c r="AX21" i="5"/>
  <c r="AY21" i="5" s="1"/>
  <c r="AZ21" i="5" s="1"/>
  <c r="BA21" i="5" s="1"/>
  <c r="BB21" i="5" s="1"/>
  <c r="BC21" i="5" s="1"/>
  <c r="BD21" i="5" s="1"/>
  <c r="AV22" i="5"/>
  <c r="AW22" i="5"/>
  <c r="AX22" i="5"/>
  <c r="AY22" i="5" s="1"/>
  <c r="AZ22" i="5" s="1"/>
  <c r="BA22" i="5" s="1"/>
  <c r="BB22" i="5" s="1"/>
  <c r="BC22" i="5" s="1"/>
  <c r="BD22" i="5" s="1"/>
  <c r="AV23" i="5"/>
  <c r="AW23" i="5"/>
  <c r="AX23" i="5"/>
  <c r="AY23" i="5" s="1"/>
  <c r="AZ23" i="5" s="1"/>
  <c r="BA23" i="5" s="1"/>
  <c r="BB23" i="5" s="1"/>
  <c r="BC23" i="5" s="1"/>
  <c r="BD23" i="5" s="1"/>
  <c r="AV24" i="5"/>
  <c r="AW24" i="5"/>
  <c r="AX24" i="5"/>
  <c r="AY24" i="5" s="1"/>
  <c r="AZ24" i="5" s="1"/>
  <c r="BA24" i="5" s="1"/>
  <c r="BB24" i="5" s="1"/>
  <c r="BC24" i="5" s="1"/>
  <c r="BD24" i="5" s="1"/>
  <c r="AV25" i="5"/>
  <c r="AW25" i="5"/>
  <c r="AX25" i="5"/>
  <c r="AY25" i="5" s="1"/>
  <c r="AZ25" i="5" s="1"/>
  <c r="BA25" i="5" s="1"/>
  <c r="BB25" i="5" s="1"/>
  <c r="BC25" i="5" s="1"/>
  <c r="BD25" i="5" s="1"/>
  <c r="AV26" i="5"/>
  <c r="AW26" i="5"/>
  <c r="AX26" i="5"/>
  <c r="AY26" i="5" s="1"/>
  <c r="AZ26" i="5" s="1"/>
  <c r="BA26" i="5" s="1"/>
  <c r="BB26" i="5" s="1"/>
  <c r="BC26" i="5" s="1"/>
  <c r="BD26" i="5" s="1"/>
  <c r="AV27" i="5"/>
  <c r="AW27" i="5"/>
  <c r="AX27" i="5"/>
  <c r="AY27" i="5" s="1"/>
  <c r="AZ27" i="5" s="1"/>
  <c r="BA27" i="5" s="1"/>
  <c r="BB27" i="5" s="1"/>
  <c r="BC27" i="5" s="1"/>
  <c r="BD27" i="5" s="1"/>
  <c r="AV28" i="5"/>
  <c r="AW28" i="5"/>
  <c r="AX28" i="5"/>
  <c r="AY28" i="5" s="1"/>
  <c r="AZ28" i="5" s="1"/>
  <c r="BA28" i="5" s="1"/>
  <c r="BB28" i="5" s="1"/>
  <c r="BC28" i="5" s="1"/>
  <c r="BD28" i="5" s="1"/>
  <c r="AV29" i="5"/>
  <c r="AW29" i="5"/>
  <c r="AX29" i="5"/>
  <c r="AY29" i="5" s="1"/>
  <c r="AZ29" i="5" s="1"/>
  <c r="BA29" i="5" s="1"/>
  <c r="BB29" i="5" s="1"/>
  <c r="BC29" i="5" s="1"/>
  <c r="BD29" i="5" s="1"/>
  <c r="AV30" i="5"/>
  <c r="AW30" i="5"/>
  <c r="AX30" i="5"/>
  <c r="AY30" i="5" s="1"/>
  <c r="AZ30" i="5" s="1"/>
  <c r="BA30" i="5" s="1"/>
  <c r="BB30" i="5" s="1"/>
  <c r="BC30" i="5" s="1"/>
  <c r="BD30" i="5" s="1"/>
  <c r="AV31" i="5"/>
  <c r="AW31" i="5"/>
  <c r="AX31" i="5"/>
  <c r="AY31" i="5" s="1"/>
  <c r="AZ31" i="5" s="1"/>
  <c r="BA31" i="5" s="1"/>
  <c r="BB31" i="5" s="1"/>
  <c r="BC31" i="5" s="1"/>
  <c r="BD31" i="5" s="1"/>
  <c r="AV32" i="5"/>
  <c r="AW32" i="5"/>
  <c r="AX32" i="5"/>
  <c r="AY32" i="5" s="1"/>
  <c r="AZ32" i="5" s="1"/>
  <c r="BA32" i="5" s="1"/>
  <c r="BB32" i="5" s="1"/>
  <c r="BC32" i="5" s="1"/>
  <c r="BD32" i="5" s="1"/>
  <c r="AV33" i="5"/>
  <c r="AW33" i="5"/>
  <c r="AX33" i="5"/>
  <c r="AY33" i="5" s="1"/>
  <c r="AZ33" i="5" s="1"/>
  <c r="BA33" i="5" s="1"/>
  <c r="BB33" i="5" s="1"/>
  <c r="BC33" i="5" s="1"/>
  <c r="BD33" i="5" s="1"/>
  <c r="AV34" i="5"/>
  <c r="AW34" i="5"/>
  <c r="AX34" i="5"/>
  <c r="AY34" i="5" s="1"/>
  <c r="AZ34" i="5" s="1"/>
  <c r="BA34" i="5" s="1"/>
  <c r="BB34" i="5" s="1"/>
  <c r="BC34" i="5" s="1"/>
  <c r="BD34" i="5" s="1"/>
  <c r="AV35" i="5"/>
  <c r="AW35" i="5"/>
  <c r="AX35" i="5"/>
  <c r="AY35" i="5" s="1"/>
  <c r="AZ35" i="5" s="1"/>
  <c r="BA35" i="5" s="1"/>
  <c r="BB35" i="5" s="1"/>
  <c r="BC35" i="5" s="1"/>
  <c r="BD35" i="5" s="1"/>
  <c r="AV36" i="5"/>
  <c r="AW36" i="5"/>
  <c r="AX36" i="5"/>
  <c r="AY36" i="5" s="1"/>
  <c r="AZ36" i="5" s="1"/>
  <c r="BA36" i="5" s="1"/>
  <c r="BB36" i="5" s="1"/>
  <c r="BC36" i="5" s="1"/>
  <c r="BD36" i="5" s="1"/>
  <c r="AV37" i="5"/>
  <c r="AW37" i="5"/>
  <c r="AX37" i="5"/>
  <c r="AY37" i="5" s="1"/>
  <c r="AZ37" i="5" s="1"/>
  <c r="BA37" i="5" s="1"/>
  <c r="BB37" i="5" s="1"/>
  <c r="BC37" i="5" s="1"/>
  <c r="BD37" i="5" s="1"/>
  <c r="AV38" i="5"/>
  <c r="AW38" i="5"/>
  <c r="AX38" i="5"/>
  <c r="AY38" i="5" s="1"/>
  <c r="AZ38" i="5" s="1"/>
  <c r="BA38" i="5" s="1"/>
  <c r="BB38" i="5" s="1"/>
  <c r="BC38" i="5" s="1"/>
  <c r="BD38" i="5" s="1"/>
  <c r="AV39" i="5"/>
  <c r="AW39" i="5"/>
  <c r="AX39" i="5"/>
  <c r="AY39" i="5" s="1"/>
  <c r="AZ39" i="5" s="1"/>
  <c r="BA39" i="5" s="1"/>
  <c r="BB39" i="5" s="1"/>
  <c r="BC39" i="5" s="1"/>
  <c r="BD39" i="5" s="1"/>
  <c r="AV40" i="5"/>
  <c r="AW40" i="5"/>
  <c r="AX40" i="5"/>
  <c r="AY40" i="5" s="1"/>
  <c r="AZ40" i="5" s="1"/>
  <c r="BA40" i="5" s="1"/>
  <c r="BB40" i="5" s="1"/>
  <c r="BC40" i="5" s="1"/>
  <c r="BD40" i="5" s="1"/>
  <c r="AV41" i="5"/>
  <c r="AW41" i="5"/>
  <c r="AX41" i="5"/>
  <c r="AY41" i="5" s="1"/>
  <c r="AZ41" i="5" s="1"/>
  <c r="BA41" i="5" s="1"/>
  <c r="BB41" i="5" s="1"/>
  <c r="BC41" i="5" s="1"/>
  <c r="BD41" i="5" s="1"/>
  <c r="AV42" i="5"/>
  <c r="AW42" i="5"/>
  <c r="AX42" i="5"/>
  <c r="AY42" i="5" s="1"/>
  <c r="AZ42" i="5" s="1"/>
  <c r="BA42" i="5" s="1"/>
  <c r="BB42" i="5" s="1"/>
  <c r="BC42" i="5" s="1"/>
  <c r="BD42" i="5" s="1"/>
  <c r="AV43" i="5"/>
  <c r="AW43" i="5"/>
  <c r="AX43" i="5"/>
  <c r="AY43" i="5" s="1"/>
  <c r="AZ43" i="5" s="1"/>
  <c r="BA43" i="5" s="1"/>
  <c r="BB43" i="5" s="1"/>
  <c r="BC43" i="5" s="1"/>
  <c r="BD43" i="5" s="1"/>
  <c r="AV44" i="5"/>
  <c r="AW44" i="5"/>
  <c r="AX44" i="5"/>
  <c r="AY44" i="5" s="1"/>
  <c r="AZ44" i="5" s="1"/>
  <c r="BA44" i="5" s="1"/>
  <c r="BB44" i="5" s="1"/>
  <c r="BC44" i="5" s="1"/>
  <c r="BD44" i="5" s="1"/>
  <c r="AV45" i="5"/>
  <c r="AW45" i="5"/>
  <c r="AX45" i="5"/>
  <c r="AY45" i="5" s="1"/>
  <c r="AZ45" i="5" s="1"/>
  <c r="BA45" i="5" s="1"/>
  <c r="BB45" i="5" s="1"/>
  <c r="BC45" i="5" s="1"/>
  <c r="BD45" i="5" s="1"/>
  <c r="AV46" i="5"/>
  <c r="AW46" i="5"/>
  <c r="AX46" i="5"/>
  <c r="AY46" i="5" s="1"/>
  <c r="AZ46" i="5" s="1"/>
  <c r="BA46" i="5" s="1"/>
  <c r="BB46" i="5" s="1"/>
  <c r="BC46" i="5" s="1"/>
  <c r="BD46" i="5" s="1"/>
  <c r="AV47" i="5"/>
  <c r="AW47" i="5"/>
  <c r="AX47" i="5"/>
  <c r="AY47" i="5" s="1"/>
  <c r="AZ47" i="5" s="1"/>
  <c r="BA47" i="5" s="1"/>
  <c r="BB47" i="5" s="1"/>
  <c r="BC47" i="5" s="1"/>
  <c r="BD47" i="5" s="1"/>
  <c r="AV48" i="5"/>
  <c r="AW48" i="5"/>
  <c r="AX48" i="5"/>
  <c r="AY48" i="5" s="1"/>
  <c r="AZ48" i="5" s="1"/>
  <c r="BA48" i="5" s="1"/>
  <c r="BB48" i="5" s="1"/>
  <c r="BC48" i="5" s="1"/>
  <c r="BD48" i="5" s="1"/>
  <c r="AV49" i="5"/>
  <c r="AW49" i="5"/>
  <c r="AX49" i="5"/>
  <c r="AY49" i="5" s="1"/>
  <c r="AZ49" i="5" s="1"/>
  <c r="BA49" i="5" s="1"/>
  <c r="BB49" i="5" s="1"/>
  <c r="BC49" i="5" s="1"/>
  <c r="BD49" i="5" s="1"/>
  <c r="AV50" i="5"/>
  <c r="AW50" i="5"/>
  <c r="AX50" i="5"/>
  <c r="AY50" i="5" s="1"/>
  <c r="AZ50" i="5" s="1"/>
  <c r="BA50" i="5" s="1"/>
  <c r="BB50" i="5" s="1"/>
  <c r="BC50" i="5" s="1"/>
  <c r="BD50" i="5" s="1"/>
  <c r="AV51" i="5"/>
  <c r="AW51" i="5"/>
  <c r="AX51" i="5"/>
  <c r="AY51" i="5" s="1"/>
  <c r="AZ51" i="5" s="1"/>
  <c r="BA51" i="5" s="1"/>
  <c r="BB51" i="5" s="1"/>
  <c r="BC51" i="5" s="1"/>
  <c r="BD51" i="5" s="1"/>
  <c r="AV52" i="5"/>
  <c r="AW52" i="5"/>
  <c r="AX52" i="5"/>
  <c r="AY52" i="5" s="1"/>
  <c r="AZ52" i="5" s="1"/>
  <c r="BA52" i="5" s="1"/>
  <c r="BB52" i="5" s="1"/>
  <c r="BC52" i="5" s="1"/>
  <c r="BD52" i="5" s="1"/>
  <c r="AV53" i="5"/>
  <c r="AW53" i="5"/>
  <c r="AX53" i="5"/>
  <c r="AY53" i="5" s="1"/>
  <c r="AZ53" i="5" s="1"/>
  <c r="BA53" i="5" s="1"/>
  <c r="BB53" i="5" s="1"/>
  <c r="BC53" i="5" s="1"/>
  <c r="BD53" i="5" s="1"/>
  <c r="AV54" i="5"/>
  <c r="AW54" i="5"/>
  <c r="AX54" i="5"/>
  <c r="AY54" i="5" s="1"/>
  <c r="AZ54" i="5" s="1"/>
  <c r="BA54" i="5" s="1"/>
  <c r="BB54" i="5" s="1"/>
  <c r="BC54" i="5" s="1"/>
  <c r="BD54" i="5" s="1"/>
  <c r="AV55" i="5"/>
  <c r="AW55" i="5"/>
  <c r="AX55" i="5"/>
  <c r="AY55" i="5" s="1"/>
  <c r="AZ55" i="5" s="1"/>
  <c r="BA55" i="5" s="1"/>
  <c r="BB55" i="5" s="1"/>
  <c r="BC55" i="5" s="1"/>
  <c r="BD55" i="5" s="1"/>
  <c r="AV56" i="5"/>
  <c r="AW56" i="5"/>
  <c r="AX56" i="5"/>
  <c r="AY56" i="5" s="1"/>
  <c r="AZ56" i="5" s="1"/>
  <c r="BA56" i="5" s="1"/>
  <c r="BB56" i="5" s="1"/>
  <c r="BC56" i="5" s="1"/>
  <c r="BD56" i="5" s="1"/>
  <c r="AV57" i="5"/>
  <c r="AW57" i="5"/>
  <c r="AX57" i="5"/>
  <c r="AY57" i="5" s="1"/>
  <c r="AZ57" i="5" s="1"/>
  <c r="BA57" i="5" s="1"/>
  <c r="BB57" i="5" s="1"/>
  <c r="BC57" i="5" s="1"/>
  <c r="BD57" i="5" s="1"/>
  <c r="AV58" i="5"/>
  <c r="AW58" i="5"/>
  <c r="AX58" i="5"/>
  <c r="AY58" i="5" s="1"/>
  <c r="AZ58" i="5" s="1"/>
  <c r="BA58" i="5" s="1"/>
  <c r="BB58" i="5" s="1"/>
  <c r="BC58" i="5" s="1"/>
  <c r="BD58" i="5" s="1"/>
  <c r="AV59" i="5"/>
  <c r="AW59" i="5"/>
  <c r="AX59" i="5"/>
  <c r="AY59" i="5" s="1"/>
  <c r="AZ59" i="5" s="1"/>
  <c r="BA59" i="5" s="1"/>
  <c r="BB59" i="5" s="1"/>
  <c r="BC59" i="5" s="1"/>
  <c r="BD59" i="5" s="1"/>
  <c r="AV60" i="5"/>
  <c r="AW60" i="5"/>
  <c r="AX60" i="5"/>
  <c r="AY60" i="5" s="1"/>
  <c r="AZ60" i="5" s="1"/>
  <c r="BA60" i="5" s="1"/>
  <c r="BB60" i="5" s="1"/>
  <c r="BC60" i="5" s="1"/>
  <c r="BD60" i="5" s="1"/>
  <c r="AV61" i="5"/>
  <c r="AW61" i="5"/>
  <c r="AX61" i="5"/>
  <c r="AY61" i="5" s="1"/>
  <c r="AZ61" i="5" s="1"/>
  <c r="BA61" i="5" s="1"/>
  <c r="BB61" i="5" s="1"/>
  <c r="BC61" i="5" s="1"/>
  <c r="BD61" i="5" s="1"/>
  <c r="AV62" i="5"/>
  <c r="AW62" i="5"/>
  <c r="AX62" i="5"/>
  <c r="AY62" i="5" s="1"/>
  <c r="AZ62" i="5" s="1"/>
  <c r="BA62" i="5" s="1"/>
  <c r="BB62" i="5" s="1"/>
  <c r="BC62" i="5" s="1"/>
  <c r="BD62" i="5" s="1"/>
  <c r="AV63" i="5"/>
  <c r="AW63" i="5"/>
  <c r="AX63" i="5"/>
  <c r="AY63" i="5" s="1"/>
  <c r="AZ63" i="5" s="1"/>
  <c r="BA63" i="5" s="1"/>
  <c r="BB63" i="5" s="1"/>
  <c r="BC63" i="5" s="1"/>
  <c r="BD63" i="5" s="1"/>
  <c r="AV64" i="5"/>
  <c r="AW64" i="5"/>
  <c r="AX64" i="5"/>
  <c r="AY64" i="5" s="1"/>
  <c r="AZ64" i="5" s="1"/>
  <c r="BA64" i="5" s="1"/>
  <c r="BB64" i="5" s="1"/>
  <c r="BC64" i="5" s="1"/>
  <c r="BD64" i="5" s="1"/>
  <c r="AV65" i="5"/>
  <c r="AW65" i="5"/>
  <c r="AX65" i="5"/>
  <c r="AY65" i="5" s="1"/>
  <c r="AZ65" i="5" s="1"/>
  <c r="BA65" i="5" s="1"/>
  <c r="BB65" i="5" s="1"/>
  <c r="BC65" i="5" s="1"/>
  <c r="BD65" i="5" s="1"/>
  <c r="AV66" i="5"/>
  <c r="AW66" i="5"/>
  <c r="AX66" i="5"/>
  <c r="AY66" i="5" s="1"/>
  <c r="AZ66" i="5" s="1"/>
  <c r="BA66" i="5" s="1"/>
  <c r="BB66" i="5" s="1"/>
  <c r="BC66" i="5" s="1"/>
  <c r="BD66" i="5" s="1"/>
  <c r="AV67" i="5"/>
  <c r="AW67" i="5"/>
  <c r="AX67" i="5"/>
  <c r="AY67" i="5" s="1"/>
  <c r="AZ67" i="5" s="1"/>
  <c r="BA67" i="5" s="1"/>
  <c r="BB67" i="5" s="1"/>
  <c r="BC67" i="5" s="1"/>
  <c r="BD67" i="5" s="1"/>
  <c r="AV68" i="5"/>
  <c r="AW68" i="5"/>
  <c r="AX68" i="5"/>
  <c r="AY68" i="5" s="1"/>
  <c r="AZ68" i="5" s="1"/>
  <c r="BA68" i="5" s="1"/>
  <c r="BB68" i="5" s="1"/>
  <c r="BC68" i="5" s="1"/>
  <c r="BD68" i="5" s="1"/>
  <c r="AV69" i="5"/>
  <c r="AW69" i="5"/>
  <c r="AX69" i="5"/>
  <c r="AY69" i="5" s="1"/>
  <c r="AZ69" i="5" s="1"/>
  <c r="BA69" i="5" s="1"/>
  <c r="BB69" i="5" s="1"/>
  <c r="BC69" i="5" s="1"/>
  <c r="BD69" i="5" s="1"/>
  <c r="AV70" i="5"/>
  <c r="AW70" i="5"/>
  <c r="AX70" i="5"/>
  <c r="AY70" i="5" s="1"/>
  <c r="AZ70" i="5" s="1"/>
  <c r="BA70" i="5" s="1"/>
  <c r="BB70" i="5" s="1"/>
  <c r="BC70" i="5" s="1"/>
  <c r="BD70" i="5" s="1"/>
  <c r="AV71" i="5"/>
  <c r="AW71" i="5"/>
  <c r="AX71" i="5"/>
  <c r="AY71" i="5" s="1"/>
  <c r="AZ71" i="5" s="1"/>
  <c r="BA71" i="5" s="1"/>
  <c r="BB71" i="5" s="1"/>
  <c r="BC71" i="5" s="1"/>
  <c r="BD71" i="5" s="1"/>
  <c r="AV72" i="5"/>
  <c r="AW72" i="5"/>
  <c r="AX72" i="5"/>
  <c r="AY72" i="5" s="1"/>
  <c r="AZ72" i="5" s="1"/>
  <c r="BA72" i="5" s="1"/>
  <c r="BB72" i="5" s="1"/>
  <c r="BC72" i="5" s="1"/>
  <c r="BD72" i="5" s="1"/>
  <c r="AV73" i="5"/>
  <c r="AW73" i="5"/>
  <c r="AX73" i="5"/>
  <c r="AY73" i="5" s="1"/>
  <c r="AZ73" i="5" s="1"/>
  <c r="BA73" i="5" s="1"/>
  <c r="BB73" i="5" s="1"/>
  <c r="BC73" i="5" s="1"/>
  <c r="BD73" i="5" s="1"/>
  <c r="AV74" i="5"/>
  <c r="AW74" i="5"/>
  <c r="AX74" i="5"/>
  <c r="AY74" i="5" s="1"/>
  <c r="AZ74" i="5" s="1"/>
  <c r="BA74" i="5" s="1"/>
  <c r="BB74" i="5" s="1"/>
  <c r="BC74" i="5" s="1"/>
  <c r="BD74" i="5" s="1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H80" i="5"/>
  <c r="AU54" i="5" l="1"/>
  <c r="BG54" i="5"/>
  <c r="AU30" i="5"/>
  <c r="BG30" i="5"/>
  <c r="AU6" i="5"/>
  <c r="BG6" i="5"/>
  <c r="BG68" i="5"/>
  <c r="AU68" i="5"/>
  <c r="BG60" i="5"/>
  <c r="AU60" i="5"/>
  <c r="BG52" i="5"/>
  <c r="AU52" i="5"/>
  <c r="BG44" i="5"/>
  <c r="AU44" i="5"/>
  <c r="BG36" i="5"/>
  <c r="AU36" i="5"/>
  <c r="BG28" i="5"/>
  <c r="AU28" i="5"/>
  <c r="BG20" i="5"/>
  <c r="AU20" i="5"/>
  <c r="BG12" i="5"/>
  <c r="AU12" i="5"/>
  <c r="BG4" i="5"/>
  <c r="AU4" i="5"/>
  <c r="AU38" i="5"/>
  <c r="BG38" i="5"/>
  <c r="AU14" i="5"/>
  <c r="BG14" i="5"/>
  <c r="AU67" i="5"/>
  <c r="BG67" i="5"/>
  <c r="AU59" i="5"/>
  <c r="BG59" i="5"/>
  <c r="AU51" i="5"/>
  <c r="BG51" i="5"/>
  <c r="AU43" i="5"/>
  <c r="BG43" i="5"/>
  <c r="AU35" i="5"/>
  <c r="BG35" i="5"/>
  <c r="AU27" i="5"/>
  <c r="BG27" i="5"/>
  <c r="AU19" i="5"/>
  <c r="BG19" i="5"/>
  <c r="AU11" i="5"/>
  <c r="BG11" i="5"/>
  <c r="AU26" i="5"/>
  <c r="BG26" i="5"/>
  <c r="AU70" i="5"/>
  <c r="BG70" i="5"/>
  <c r="AU66" i="5"/>
  <c r="BG66" i="5"/>
  <c r="AU34" i="5"/>
  <c r="BG34" i="5"/>
  <c r="AU73" i="5"/>
  <c r="BG73" i="5"/>
  <c r="AU65" i="5"/>
  <c r="BG65" i="5"/>
  <c r="AU57" i="5"/>
  <c r="BG57" i="5"/>
  <c r="AU49" i="5"/>
  <c r="BG49" i="5"/>
  <c r="AU41" i="5"/>
  <c r="BG41" i="5"/>
  <c r="AU33" i="5"/>
  <c r="BG33" i="5"/>
  <c r="AU25" i="5"/>
  <c r="BG25" i="5"/>
  <c r="AU17" i="5"/>
  <c r="BG17" i="5"/>
  <c r="AU9" i="5"/>
  <c r="BG9" i="5"/>
  <c r="AU62" i="5"/>
  <c r="BG62" i="5"/>
  <c r="AU58" i="5"/>
  <c r="BG58" i="5"/>
  <c r="AU42" i="5"/>
  <c r="BG42" i="5"/>
  <c r="AU18" i="5"/>
  <c r="BG18" i="5"/>
  <c r="AU72" i="5"/>
  <c r="BG72" i="5"/>
  <c r="AU64" i="5"/>
  <c r="BG64" i="5"/>
  <c r="AU56" i="5"/>
  <c r="BG56" i="5"/>
  <c r="AU48" i="5"/>
  <c r="BG48" i="5"/>
  <c r="AU40" i="5"/>
  <c r="BG40" i="5"/>
  <c r="AU32" i="5"/>
  <c r="BG32" i="5"/>
  <c r="AU24" i="5"/>
  <c r="BG24" i="5"/>
  <c r="AU16" i="5"/>
  <c r="BG16" i="5"/>
  <c r="AU8" i="5"/>
  <c r="BG8" i="5"/>
  <c r="AU46" i="5"/>
  <c r="BG46" i="5"/>
  <c r="BG74" i="5"/>
  <c r="AU74" i="5"/>
  <c r="AU50" i="5"/>
  <c r="BG50" i="5"/>
  <c r="AU10" i="5"/>
  <c r="BG10" i="5"/>
  <c r="AU71" i="5"/>
  <c r="BG71" i="5"/>
  <c r="AU63" i="5"/>
  <c r="BG63" i="5"/>
  <c r="AU55" i="5"/>
  <c r="BG55" i="5"/>
  <c r="AU47" i="5"/>
  <c r="BG47" i="5"/>
  <c r="AU39" i="5"/>
  <c r="BG39" i="5"/>
  <c r="AU31" i="5"/>
  <c r="BG31" i="5"/>
  <c r="AU23" i="5"/>
  <c r="BG23" i="5"/>
  <c r="AU15" i="5"/>
  <c r="BG15" i="5"/>
  <c r="AU7" i="5"/>
  <c r="BG7" i="5"/>
  <c r="AU22" i="5"/>
  <c r="BG22" i="5"/>
  <c r="AU69" i="5"/>
  <c r="BG69" i="5"/>
  <c r="BG61" i="5"/>
  <c r="AU61" i="5"/>
  <c r="BG53" i="5"/>
  <c r="AU53" i="5"/>
  <c r="BG45" i="5"/>
  <c r="AU45" i="5"/>
  <c r="BG37" i="5"/>
  <c r="AU37" i="5"/>
  <c r="AU29" i="5"/>
  <c r="BG29" i="5"/>
  <c r="BG21" i="5"/>
  <c r="AU21" i="5"/>
  <c r="BG13" i="5"/>
  <c r="AU13" i="5"/>
  <c r="AU5" i="5"/>
  <c r="BG5" i="5"/>
  <c r="DL3" i="5"/>
  <c r="AK3" i="5" s="1"/>
  <c r="M4" i="5" l="1"/>
  <c r="L4" i="5"/>
  <c r="O4" i="5"/>
  <c r="K4" i="5"/>
  <c r="N4" i="5"/>
  <c r="AM3" i="5"/>
  <c r="AO3" i="5"/>
  <c r="AP3" i="5"/>
  <c r="AN3" i="5"/>
  <c r="AQ3" i="5"/>
  <c r="AR3" i="5"/>
  <c r="AS3" i="5"/>
  <c r="AL3" i="5"/>
  <c r="EK3" i="5"/>
  <c r="EL3" i="5"/>
  <c r="EM3" i="5"/>
  <c r="EN3" i="5"/>
  <c r="EO3" i="5"/>
  <c r="DX4" i="5" l="1"/>
  <c r="AT4" i="5"/>
  <c r="DL73" i="5"/>
  <c r="DL65" i="5"/>
  <c r="DL57" i="5"/>
  <c r="DL49" i="5"/>
  <c r="DL41" i="5"/>
  <c r="DL33" i="5"/>
  <c r="DL25" i="5"/>
  <c r="DL17" i="5"/>
  <c r="DL9" i="5"/>
  <c r="DL72" i="5"/>
  <c r="DL64" i="5"/>
  <c r="DL56" i="5"/>
  <c r="DL48" i="5"/>
  <c r="DL40" i="5"/>
  <c r="DL32" i="5"/>
  <c r="DL24" i="5"/>
  <c r="DL16" i="5"/>
  <c r="DL8" i="5"/>
  <c r="DL71" i="5"/>
  <c r="DL63" i="5"/>
  <c r="DL55" i="5"/>
  <c r="DL47" i="5"/>
  <c r="DL39" i="5"/>
  <c r="DL31" i="5"/>
  <c r="DL23" i="5"/>
  <c r="DL15" i="5"/>
  <c r="DL7" i="5"/>
  <c r="DL70" i="5"/>
  <c r="DL62" i="5"/>
  <c r="DL54" i="5"/>
  <c r="DL46" i="5"/>
  <c r="DL38" i="5"/>
  <c r="DL30" i="5"/>
  <c r="DL22" i="5"/>
  <c r="DL14" i="5"/>
  <c r="DL6" i="5"/>
  <c r="DL69" i="5"/>
  <c r="DL61" i="5"/>
  <c r="DL53" i="5"/>
  <c r="DL45" i="5"/>
  <c r="DL37" i="5"/>
  <c r="DL29" i="5"/>
  <c r="DL21" i="5"/>
  <c r="DL13" i="5"/>
  <c r="DL5" i="5"/>
  <c r="DL68" i="5"/>
  <c r="DL60" i="5"/>
  <c r="DL52" i="5"/>
  <c r="DL44" i="5"/>
  <c r="DL36" i="5"/>
  <c r="DL28" i="5"/>
  <c r="DL20" i="5"/>
  <c r="DL12" i="5"/>
  <c r="DL4" i="5"/>
  <c r="DL67" i="5"/>
  <c r="DL59" i="5"/>
  <c r="DL51" i="5"/>
  <c r="DL43" i="5"/>
  <c r="DL35" i="5"/>
  <c r="DL27" i="5"/>
  <c r="DL19" i="5"/>
  <c r="DL11" i="5"/>
  <c r="DL74" i="5"/>
  <c r="DL66" i="5"/>
  <c r="DL58" i="5"/>
  <c r="DL50" i="5"/>
  <c r="DL42" i="5"/>
  <c r="DL34" i="5"/>
  <c r="DL26" i="5"/>
  <c r="DL18" i="5"/>
  <c r="DL10" i="5"/>
  <c r="EI3" i="5"/>
  <c r="EJ3" i="5"/>
  <c r="EC4" i="5" l="1"/>
  <c r="DY4" i="5"/>
  <c r="BF4" i="5"/>
  <c r="X4" i="5" s="1"/>
  <c r="EE4" i="5"/>
  <c r="ED4" i="5"/>
  <c r="EG4" i="5"/>
  <c r="EF4" i="5"/>
  <c r="EA4" i="5"/>
  <c r="DZ4" i="5"/>
  <c r="EB4" i="5"/>
  <c r="S3" i="5"/>
  <c r="R4" i="5"/>
  <c r="U4" i="5" s="1"/>
  <c r="AP43" i="5"/>
  <c r="AO43" i="5"/>
  <c r="AN43" i="5"/>
  <c r="AL43" i="5"/>
  <c r="AM43" i="5"/>
  <c r="AS43" i="5"/>
  <c r="AQ43" i="5"/>
  <c r="AR43" i="5"/>
  <c r="AK43" i="5"/>
  <c r="AN32" i="5"/>
  <c r="AO32" i="5"/>
  <c r="AM32" i="5"/>
  <c r="AL32" i="5"/>
  <c r="AS32" i="5"/>
  <c r="AK32" i="5"/>
  <c r="AR32" i="5"/>
  <c r="AP32" i="5"/>
  <c r="AQ32" i="5"/>
  <c r="AN14" i="5"/>
  <c r="AM14" i="5"/>
  <c r="AL14" i="5"/>
  <c r="AS14" i="5"/>
  <c r="AK14" i="5"/>
  <c r="AO14" i="5"/>
  <c r="AP14" i="5"/>
  <c r="AQ14" i="5"/>
  <c r="AR14" i="5"/>
  <c r="AQ46" i="5"/>
  <c r="AP46" i="5"/>
  <c r="AO46" i="5"/>
  <c r="AN46" i="5"/>
  <c r="AM46" i="5"/>
  <c r="AK46" i="5"/>
  <c r="AR46" i="5"/>
  <c r="AL46" i="5"/>
  <c r="AS46" i="5"/>
  <c r="AO17" i="5"/>
  <c r="AM17" i="5"/>
  <c r="AL17" i="5"/>
  <c r="AS17" i="5"/>
  <c r="AK17" i="5"/>
  <c r="AR17" i="5"/>
  <c r="AP17" i="5"/>
  <c r="AN17" i="5"/>
  <c r="AQ17" i="5"/>
  <c r="AN49" i="5"/>
  <c r="AL49" i="5"/>
  <c r="AS49" i="5"/>
  <c r="AK49" i="5"/>
  <c r="AR49" i="5"/>
  <c r="AQ49" i="5"/>
  <c r="AP49" i="5"/>
  <c r="AO49" i="5"/>
  <c r="AM49" i="5"/>
  <c r="AO36" i="5"/>
  <c r="AK36" i="5"/>
  <c r="AN36" i="5"/>
  <c r="AM36" i="5"/>
  <c r="AL36" i="5"/>
  <c r="AS36" i="5"/>
  <c r="AR36" i="5"/>
  <c r="AP36" i="5"/>
  <c r="AQ36" i="5"/>
  <c r="AR61" i="5"/>
  <c r="AQ61" i="5"/>
  <c r="AP61" i="5"/>
  <c r="AO61" i="5"/>
  <c r="AN61" i="5"/>
  <c r="AM61" i="5"/>
  <c r="AK61" i="5"/>
  <c r="AL61" i="5"/>
  <c r="AS61" i="5"/>
  <c r="AM22" i="5"/>
  <c r="AL22" i="5"/>
  <c r="AS22" i="5"/>
  <c r="AK22" i="5"/>
  <c r="AR22" i="5"/>
  <c r="AQ22" i="5"/>
  <c r="AP22" i="5"/>
  <c r="AN22" i="5"/>
  <c r="AO22" i="5"/>
  <c r="AQ54" i="5"/>
  <c r="AP54" i="5"/>
  <c r="AO54" i="5"/>
  <c r="AN54" i="5"/>
  <c r="AM54" i="5"/>
  <c r="AL54" i="5"/>
  <c r="AS54" i="5"/>
  <c r="AK54" i="5"/>
  <c r="AR54" i="5"/>
  <c r="AM25" i="5"/>
  <c r="AL25" i="5"/>
  <c r="AS25" i="5"/>
  <c r="AK25" i="5"/>
  <c r="AR25" i="5"/>
  <c r="AN25" i="5"/>
  <c r="AQ25" i="5"/>
  <c r="AO25" i="5"/>
  <c r="AP25" i="5"/>
  <c r="AK57" i="5"/>
  <c r="AR57" i="5"/>
  <c r="AQ57" i="5"/>
  <c r="AP57" i="5"/>
  <c r="AO57" i="5"/>
  <c r="AN57" i="5"/>
  <c r="AL57" i="5"/>
  <c r="AS57" i="5"/>
  <c r="AM57" i="5"/>
  <c r="AP58" i="5"/>
  <c r="AO58" i="5"/>
  <c r="AN58" i="5"/>
  <c r="AM58" i="5"/>
  <c r="AL58" i="5"/>
  <c r="AS58" i="5"/>
  <c r="AQ58" i="5"/>
  <c r="AR58" i="5"/>
  <c r="AK58" i="5"/>
  <c r="AM7" i="5"/>
  <c r="AL7" i="5"/>
  <c r="AS7" i="5"/>
  <c r="AP7" i="5"/>
  <c r="AK7" i="5"/>
  <c r="AR7" i="5"/>
  <c r="AN7" i="5"/>
  <c r="AO7" i="5"/>
  <c r="AQ7" i="5"/>
  <c r="AM34" i="5"/>
  <c r="AL34" i="5"/>
  <c r="AS34" i="5"/>
  <c r="AK34" i="5"/>
  <c r="AR34" i="5"/>
  <c r="AQ34" i="5"/>
  <c r="AP34" i="5"/>
  <c r="AO34" i="5"/>
  <c r="AN34" i="5"/>
  <c r="AO66" i="5"/>
  <c r="AN66" i="5"/>
  <c r="AM66" i="5"/>
  <c r="AL66" i="5"/>
  <c r="AS66" i="5"/>
  <c r="AK66" i="5"/>
  <c r="AR66" i="5"/>
  <c r="AP66" i="5"/>
  <c r="AQ66" i="5"/>
  <c r="AS19" i="5"/>
  <c r="AK19" i="5"/>
  <c r="AR19" i="5"/>
  <c r="AQ19" i="5"/>
  <c r="AP19" i="5"/>
  <c r="AO19" i="5"/>
  <c r="AN19" i="5"/>
  <c r="AM19" i="5"/>
  <c r="AL19" i="5"/>
  <c r="AO51" i="5"/>
  <c r="AN51" i="5"/>
  <c r="AL51" i="5"/>
  <c r="AM51" i="5"/>
  <c r="AS51" i="5"/>
  <c r="AK51" i="5"/>
  <c r="AR51" i="5"/>
  <c r="AP51" i="5"/>
  <c r="AQ51" i="5"/>
  <c r="AR12" i="5"/>
  <c r="AQ12" i="5"/>
  <c r="AP12" i="5"/>
  <c r="AK12" i="5"/>
  <c r="AO12" i="5"/>
  <c r="AN12" i="5"/>
  <c r="AM12" i="5"/>
  <c r="AS12" i="5"/>
  <c r="AL12" i="5"/>
  <c r="AN44" i="5"/>
  <c r="AK44" i="5"/>
  <c r="AM44" i="5"/>
  <c r="AL44" i="5"/>
  <c r="AR44" i="5"/>
  <c r="AQ44" i="5"/>
  <c r="AO44" i="5"/>
  <c r="AS44" i="5"/>
  <c r="AP44" i="5"/>
  <c r="AR5" i="5"/>
  <c r="AQ5" i="5"/>
  <c r="AP5" i="5"/>
  <c r="AO5" i="5"/>
  <c r="AN5" i="5"/>
  <c r="AM5" i="5"/>
  <c r="AL5" i="5"/>
  <c r="AS5" i="5"/>
  <c r="AK5" i="5"/>
  <c r="AM37" i="5"/>
  <c r="AL37" i="5"/>
  <c r="AS37" i="5"/>
  <c r="AK37" i="5"/>
  <c r="AR37" i="5"/>
  <c r="AQ37" i="5"/>
  <c r="AP37" i="5"/>
  <c r="AN37" i="5"/>
  <c r="AO37" i="5"/>
  <c r="AR69" i="5"/>
  <c r="AQ69" i="5"/>
  <c r="AP69" i="5"/>
  <c r="AO69" i="5"/>
  <c r="AN69" i="5"/>
  <c r="AM69" i="5"/>
  <c r="AL69" i="5"/>
  <c r="AS69" i="5"/>
  <c r="AK69" i="5"/>
  <c r="AL15" i="5"/>
  <c r="AS15" i="5"/>
  <c r="AP15" i="5"/>
  <c r="AK15" i="5"/>
  <c r="AR15" i="5"/>
  <c r="AQ15" i="5"/>
  <c r="AO15" i="5"/>
  <c r="AM15" i="5"/>
  <c r="AN15" i="5"/>
  <c r="AO47" i="5"/>
  <c r="AN47" i="5"/>
  <c r="AM47" i="5"/>
  <c r="AL47" i="5"/>
  <c r="AS47" i="5"/>
  <c r="AP47" i="5"/>
  <c r="AK47" i="5"/>
  <c r="AR47" i="5"/>
  <c r="AQ47" i="5"/>
  <c r="AK8" i="5"/>
  <c r="AR8" i="5"/>
  <c r="AQ8" i="5"/>
  <c r="AP8" i="5"/>
  <c r="AN8" i="5"/>
  <c r="AL8" i="5"/>
  <c r="AS8" i="5"/>
  <c r="AO8" i="5"/>
  <c r="AM8" i="5"/>
  <c r="AN40" i="5"/>
  <c r="AM40" i="5"/>
  <c r="AL40" i="5"/>
  <c r="AS40" i="5"/>
  <c r="AK40" i="5"/>
  <c r="AR40" i="5"/>
  <c r="AQ40" i="5"/>
  <c r="AO40" i="5"/>
  <c r="AP40" i="5"/>
  <c r="AK72" i="5"/>
  <c r="AR72" i="5"/>
  <c r="AQ72" i="5"/>
  <c r="AP72" i="5"/>
  <c r="AO72" i="5"/>
  <c r="AN72" i="5"/>
  <c r="AL72" i="5"/>
  <c r="AS72" i="5"/>
  <c r="AM72" i="5"/>
  <c r="AM26" i="5"/>
  <c r="AL26" i="5"/>
  <c r="AS26" i="5"/>
  <c r="AK26" i="5"/>
  <c r="AR26" i="5"/>
  <c r="AQ26" i="5"/>
  <c r="AP26" i="5"/>
  <c r="AO26" i="5"/>
  <c r="AN26" i="5"/>
  <c r="AN29" i="5"/>
  <c r="AM29" i="5"/>
  <c r="AL29" i="5"/>
  <c r="AS29" i="5"/>
  <c r="AK29" i="5"/>
  <c r="AR29" i="5"/>
  <c r="AQ29" i="5"/>
  <c r="AO29" i="5"/>
  <c r="AP29" i="5"/>
  <c r="AL30" i="5"/>
  <c r="AS30" i="5"/>
  <c r="AK30" i="5"/>
  <c r="AR30" i="5"/>
  <c r="AQ30" i="5"/>
  <c r="AP30" i="5"/>
  <c r="AO30" i="5"/>
  <c r="AM30" i="5"/>
  <c r="AN30" i="5"/>
  <c r="AQ62" i="5"/>
  <c r="AP62" i="5"/>
  <c r="AO62" i="5"/>
  <c r="AN62" i="5"/>
  <c r="AM62" i="5"/>
  <c r="AL62" i="5"/>
  <c r="AS62" i="5"/>
  <c r="AK62" i="5"/>
  <c r="AR62" i="5"/>
  <c r="AM33" i="5"/>
  <c r="AL33" i="5"/>
  <c r="AS33" i="5"/>
  <c r="AK33" i="5"/>
  <c r="AR33" i="5"/>
  <c r="AN33" i="5"/>
  <c r="AQ33" i="5"/>
  <c r="AP33" i="5"/>
  <c r="AO33" i="5"/>
  <c r="AQ65" i="5"/>
  <c r="AP65" i="5"/>
  <c r="AO65" i="5"/>
  <c r="AM65" i="5"/>
  <c r="AN65" i="5"/>
  <c r="AK65" i="5"/>
  <c r="AR65" i="5"/>
  <c r="AS65" i="5"/>
  <c r="AL65" i="5"/>
  <c r="AS11" i="5"/>
  <c r="AK11" i="5"/>
  <c r="AR11" i="5"/>
  <c r="AQ11" i="5"/>
  <c r="AP11" i="5"/>
  <c r="AO11" i="5"/>
  <c r="AL11" i="5"/>
  <c r="AM11" i="5"/>
  <c r="AN11" i="5"/>
  <c r="AO39" i="5"/>
  <c r="AN39" i="5"/>
  <c r="AM39" i="5"/>
  <c r="AL39" i="5"/>
  <c r="AS39" i="5"/>
  <c r="AQ39" i="5"/>
  <c r="AK39" i="5"/>
  <c r="AP39" i="5"/>
  <c r="AR39" i="5"/>
  <c r="AM10" i="5"/>
  <c r="AL10" i="5"/>
  <c r="AS10" i="5"/>
  <c r="AK10" i="5"/>
  <c r="AR10" i="5"/>
  <c r="AQ10" i="5"/>
  <c r="AO10" i="5"/>
  <c r="AN10" i="5"/>
  <c r="AP10" i="5"/>
  <c r="AK42" i="5"/>
  <c r="AR42" i="5"/>
  <c r="AQ42" i="5"/>
  <c r="AP42" i="5"/>
  <c r="AO42" i="5"/>
  <c r="AN42" i="5"/>
  <c r="AM42" i="5"/>
  <c r="AL42" i="5"/>
  <c r="AS42" i="5"/>
  <c r="AN74" i="5"/>
  <c r="AM74" i="5"/>
  <c r="AL74" i="5"/>
  <c r="AS74" i="5"/>
  <c r="AK74" i="5"/>
  <c r="AR74" i="5"/>
  <c r="AQ74" i="5"/>
  <c r="AO74" i="5"/>
  <c r="AP74" i="5"/>
  <c r="AK27" i="5"/>
  <c r="AR27" i="5"/>
  <c r="AQ27" i="5"/>
  <c r="AP27" i="5"/>
  <c r="AO27" i="5"/>
  <c r="AN27" i="5"/>
  <c r="AM27" i="5"/>
  <c r="AL27" i="5"/>
  <c r="AS27" i="5"/>
  <c r="AN59" i="5"/>
  <c r="AL59" i="5"/>
  <c r="AM59" i="5"/>
  <c r="AS59" i="5"/>
  <c r="AK59" i="5"/>
  <c r="AR59" i="5"/>
  <c r="AQ59" i="5"/>
  <c r="AO59" i="5"/>
  <c r="AP59" i="5"/>
  <c r="AQ20" i="5"/>
  <c r="AP20" i="5"/>
  <c r="AK20" i="5"/>
  <c r="AO20" i="5"/>
  <c r="AN20" i="5"/>
  <c r="AM20" i="5"/>
  <c r="AL20" i="5"/>
  <c r="AR20" i="5"/>
  <c r="AS20" i="5"/>
  <c r="AM52" i="5"/>
  <c r="AL52" i="5"/>
  <c r="AS52" i="5"/>
  <c r="AR52" i="5"/>
  <c r="AQ52" i="5"/>
  <c r="AK52" i="5"/>
  <c r="AP52" i="5"/>
  <c r="AN52" i="5"/>
  <c r="AO52" i="5"/>
  <c r="AP13" i="5"/>
  <c r="AO13" i="5"/>
  <c r="AN13" i="5"/>
  <c r="AM13" i="5"/>
  <c r="AL13" i="5"/>
  <c r="AS13" i="5"/>
  <c r="AK13" i="5"/>
  <c r="AR13" i="5"/>
  <c r="AQ13" i="5"/>
  <c r="AL45" i="5"/>
  <c r="AS45" i="5"/>
  <c r="AK45" i="5"/>
  <c r="AR45" i="5"/>
  <c r="AQ45" i="5"/>
  <c r="AP45" i="5"/>
  <c r="AO45" i="5"/>
  <c r="AM45" i="5"/>
  <c r="AN45" i="5"/>
  <c r="AP23" i="5"/>
  <c r="AK23" i="5"/>
  <c r="AR23" i="5"/>
  <c r="AQ23" i="5"/>
  <c r="AO23" i="5"/>
  <c r="AN23" i="5"/>
  <c r="AL23" i="5"/>
  <c r="AS23" i="5"/>
  <c r="AM23" i="5"/>
  <c r="AO55" i="5"/>
  <c r="AN55" i="5"/>
  <c r="AM55" i="5"/>
  <c r="AL55" i="5"/>
  <c r="AS55" i="5"/>
  <c r="AP55" i="5"/>
  <c r="AK55" i="5"/>
  <c r="AR55" i="5"/>
  <c r="AQ55" i="5"/>
  <c r="AQ16" i="5"/>
  <c r="AP16" i="5"/>
  <c r="AN16" i="5"/>
  <c r="AO16" i="5"/>
  <c r="AM16" i="5"/>
  <c r="AK16" i="5"/>
  <c r="AR16" i="5"/>
  <c r="AS16" i="5"/>
  <c r="AL16" i="5"/>
  <c r="AN48" i="5"/>
  <c r="AM48" i="5"/>
  <c r="AO48" i="5"/>
  <c r="AL48" i="5"/>
  <c r="AS48" i="5"/>
  <c r="AK48" i="5"/>
  <c r="AR48" i="5"/>
  <c r="AQ48" i="5"/>
  <c r="AP48" i="5"/>
  <c r="AS68" i="5"/>
  <c r="AR68" i="5"/>
  <c r="AQ68" i="5"/>
  <c r="AP68" i="5"/>
  <c r="AK68" i="5"/>
  <c r="AO68" i="5"/>
  <c r="AN68" i="5"/>
  <c r="AL68" i="5"/>
  <c r="AM68" i="5"/>
  <c r="AM71" i="5"/>
  <c r="AL71" i="5"/>
  <c r="AS71" i="5"/>
  <c r="AP71" i="5"/>
  <c r="AK71" i="5"/>
  <c r="AR71" i="5"/>
  <c r="AQ71" i="5"/>
  <c r="AN71" i="5"/>
  <c r="AO71" i="5"/>
  <c r="AO6" i="5"/>
  <c r="AN6" i="5"/>
  <c r="AM6" i="5"/>
  <c r="AL6" i="5"/>
  <c r="AS6" i="5"/>
  <c r="AK6" i="5"/>
  <c r="AR6" i="5"/>
  <c r="AQ6" i="5"/>
  <c r="AP6" i="5"/>
  <c r="AK38" i="5"/>
  <c r="AQ38" i="5"/>
  <c r="AP38" i="5"/>
  <c r="AO38" i="5"/>
  <c r="AN38" i="5"/>
  <c r="AL38" i="5"/>
  <c r="AS38" i="5"/>
  <c r="AR38" i="5"/>
  <c r="AM38" i="5"/>
  <c r="AO70" i="5"/>
  <c r="AN70" i="5"/>
  <c r="AM70" i="5"/>
  <c r="AL70" i="5"/>
  <c r="AS70" i="5"/>
  <c r="AK70" i="5"/>
  <c r="AR70" i="5"/>
  <c r="AQ70" i="5"/>
  <c r="AP70" i="5"/>
  <c r="AP9" i="5"/>
  <c r="AO9" i="5"/>
  <c r="AM9" i="5"/>
  <c r="AL9" i="5"/>
  <c r="AS9" i="5"/>
  <c r="AN9" i="5"/>
  <c r="AQ9" i="5"/>
  <c r="AK9" i="5"/>
  <c r="AR9" i="5"/>
  <c r="AN41" i="5"/>
  <c r="AM41" i="5"/>
  <c r="AL41" i="5"/>
  <c r="AS41" i="5"/>
  <c r="AK41" i="5"/>
  <c r="AR41" i="5"/>
  <c r="AQ41" i="5"/>
  <c r="AP41" i="5"/>
  <c r="AO41" i="5"/>
  <c r="AP73" i="5"/>
  <c r="AO73" i="5"/>
  <c r="AN73" i="5"/>
  <c r="AM73" i="5"/>
  <c r="AL73" i="5"/>
  <c r="AS73" i="5"/>
  <c r="AQ73" i="5"/>
  <c r="AR73" i="5"/>
  <c r="AK73" i="5"/>
  <c r="AR4" i="5"/>
  <c r="AQ4" i="5"/>
  <c r="AP4" i="5"/>
  <c r="AO4" i="5"/>
  <c r="AN4" i="5"/>
  <c r="AK4" i="5"/>
  <c r="AL4" i="5"/>
  <c r="AS4" i="5"/>
  <c r="AM4" i="5"/>
  <c r="AL64" i="5"/>
  <c r="AS64" i="5"/>
  <c r="AO64" i="5"/>
  <c r="AK64" i="5"/>
  <c r="AR64" i="5"/>
  <c r="AQ64" i="5"/>
  <c r="AP64" i="5"/>
  <c r="AM64" i="5"/>
  <c r="AN64" i="5"/>
  <c r="AM18" i="5"/>
  <c r="AL18" i="5"/>
  <c r="AS18" i="5"/>
  <c r="AK18" i="5"/>
  <c r="AR18" i="5"/>
  <c r="AQ18" i="5"/>
  <c r="AP18" i="5"/>
  <c r="AN18" i="5"/>
  <c r="AO18" i="5"/>
  <c r="AQ50" i="5"/>
  <c r="AP50" i="5"/>
  <c r="AO50" i="5"/>
  <c r="AN50" i="5"/>
  <c r="AK50" i="5"/>
  <c r="AR50" i="5"/>
  <c r="AM50" i="5"/>
  <c r="AS50" i="5"/>
  <c r="AL50" i="5"/>
  <c r="AQ35" i="5"/>
  <c r="AP35" i="5"/>
  <c r="AO35" i="5"/>
  <c r="AN35" i="5"/>
  <c r="AL35" i="5"/>
  <c r="AM35" i="5"/>
  <c r="AK35" i="5"/>
  <c r="AR35" i="5"/>
  <c r="AS35" i="5"/>
  <c r="AM67" i="5"/>
  <c r="AL67" i="5"/>
  <c r="AS67" i="5"/>
  <c r="AK67" i="5"/>
  <c r="AR67" i="5"/>
  <c r="AQ67" i="5"/>
  <c r="AP67" i="5"/>
  <c r="AN67" i="5"/>
  <c r="AO67" i="5"/>
  <c r="AP28" i="5"/>
  <c r="AO28" i="5"/>
  <c r="AN28" i="5"/>
  <c r="AM28" i="5"/>
  <c r="AL28" i="5"/>
  <c r="AS28" i="5"/>
  <c r="AQ28" i="5"/>
  <c r="AR28" i="5"/>
  <c r="AK28" i="5"/>
  <c r="AK60" i="5"/>
  <c r="AL60" i="5"/>
  <c r="AR60" i="5"/>
  <c r="AQ60" i="5"/>
  <c r="AP60" i="5"/>
  <c r="AO60" i="5"/>
  <c r="AM60" i="5"/>
  <c r="AS60" i="5"/>
  <c r="AN60" i="5"/>
  <c r="AO21" i="5"/>
  <c r="AN21" i="5"/>
  <c r="AM21" i="5"/>
  <c r="AL21" i="5"/>
  <c r="AK21" i="5"/>
  <c r="AP21" i="5"/>
  <c r="AQ21" i="5"/>
  <c r="AS21" i="5"/>
  <c r="AR21" i="5"/>
  <c r="AK53" i="5"/>
  <c r="AR53" i="5"/>
  <c r="AQ53" i="5"/>
  <c r="AP53" i="5"/>
  <c r="AO53" i="5"/>
  <c r="AN53" i="5"/>
  <c r="AL53" i="5"/>
  <c r="AS53" i="5"/>
  <c r="AM53" i="5"/>
  <c r="AQ31" i="5"/>
  <c r="AO31" i="5"/>
  <c r="AN31" i="5"/>
  <c r="AM31" i="5"/>
  <c r="AP31" i="5"/>
  <c r="AK31" i="5"/>
  <c r="AR31" i="5"/>
  <c r="AL31" i="5"/>
  <c r="AS31" i="5"/>
  <c r="AN63" i="5"/>
  <c r="AM63" i="5"/>
  <c r="AL63" i="5"/>
  <c r="AS63" i="5"/>
  <c r="AP63" i="5"/>
  <c r="AK63" i="5"/>
  <c r="AR63" i="5"/>
  <c r="AQ63" i="5"/>
  <c r="AO63" i="5"/>
  <c r="AN24" i="5"/>
  <c r="AO24" i="5"/>
  <c r="AM24" i="5"/>
  <c r="AL24" i="5"/>
  <c r="AS24" i="5"/>
  <c r="AQ24" i="5"/>
  <c r="AP24" i="5"/>
  <c r="AK24" i="5"/>
  <c r="AR24" i="5"/>
  <c r="AM56" i="5"/>
  <c r="AO56" i="5"/>
  <c r="AL56" i="5"/>
  <c r="AS56" i="5"/>
  <c r="AK56" i="5"/>
  <c r="AR56" i="5"/>
  <c r="AQ56" i="5"/>
  <c r="AP56" i="5"/>
  <c r="AN56" i="5"/>
  <c r="C4" i="5" l="1"/>
  <c r="EQ4" i="5"/>
  <c r="BE4" i="5"/>
  <c r="H5" i="5"/>
  <c r="K5" i="5"/>
  <c r="O5" i="5"/>
  <c r="L5" i="5"/>
  <c r="I5" i="5"/>
  <c r="N5" i="5"/>
  <c r="M5" i="5"/>
  <c r="J5" i="5"/>
  <c r="S4" i="5"/>
  <c r="R5" i="5" l="1"/>
  <c r="DX5" i="5"/>
  <c r="DY5" i="5" s="1"/>
  <c r="AT5" i="5"/>
  <c r="BF5" i="5" l="1"/>
  <c r="X5" i="5" s="1"/>
  <c r="DZ5" i="5"/>
  <c r="EC5" i="5"/>
  <c r="ED5" i="5"/>
  <c r="EF5" i="5"/>
  <c r="EG5" i="5"/>
  <c r="EA5" i="5"/>
  <c r="EE5" i="5"/>
  <c r="EB5" i="5"/>
  <c r="U5" i="5"/>
  <c r="C5" i="5" s="1"/>
  <c r="EQ5" i="5" l="1"/>
  <c r="BE5" i="5"/>
  <c r="H6" i="5"/>
  <c r="L6" i="5"/>
  <c r="M6" i="5"/>
  <c r="O6" i="5"/>
  <c r="N6" i="5"/>
  <c r="K6" i="5"/>
  <c r="J6" i="5"/>
  <c r="I6" i="5"/>
  <c r="S5" i="5"/>
  <c r="DX6" i="5" l="1"/>
  <c r="DY6" i="5" s="1"/>
  <c r="AT6" i="5"/>
  <c r="R6" i="5"/>
  <c r="U6" i="5" l="1"/>
  <c r="C6" i="5" s="1"/>
  <c r="BF6" i="5"/>
  <c r="X6" i="5" s="1"/>
  <c r="DZ6" i="5"/>
  <c r="EF6" i="5"/>
  <c r="ED6" i="5"/>
  <c r="EG6" i="5"/>
  <c r="EC6" i="5"/>
  <c r="EB6" i="5"/>
  <c r="EE6" i="5"/>
  <c r="EA6" i="5"/>
  <c r="S6" i="5"/>
  <c r="EQ6" i="5" l="1"/>
  <c r="BE6" i="5"/>
  <c r="H7" i="5"/>
  <c r="L7" i="5"/>
  <c r="N7" i="5"/>
  <c r="J7" i="5"/>
  <c r="K7" i="5"/>
  <c r="I7" i="5"/>
  <c r="M7" i="5"/>
  <c r="O7" i="5"/>
  <c r="DX7" i="5" l="1"/>
  <c r="DY7" i="5" s="1"/>
  <c r="R7" i="5"/>
  <c r="AT7" i="5"/>
  <c r="U7" i="5" l="1"/>
  <c r="C7" i="5" s="1"/>
  <c r="BF7" i="5"/>
  <c r="X7" i="5" s="1"/>
  <c r="H8" i="5" s="1"/>
  <c r="DZ7" i="5"/>
  <c r="EF7" i="5"/>
  <c r="EE7" i="5"/>
  <c r="EA7" i="5"/>
  <c r="EB7" i="5"/>
  <c r="EC7" i="5"/>
  <c r="ED7" i="5"/>
  <c r="EG7" i="5"/>
  <c r="S7" i="5"/>
  <c r="EQ7" i="5" l="1"/>
  <c r="BE7" i="5"/>
  <c r="K8" i="5"/>
  <c r="O8" i="5"/>
  <c r="M8" i="5"/>
  <c r="N8" i="5"/>
  <c r="I8" i="5"/>
  <c r="J8" i="5"/>
  <c r="L8" i="5"/>
  <c r="DX8" i="5" l="1"/>
  <c r="EE8" i="5" s="1"/>
  <c r="AT8" i="5"/>
  <c r="R8" i="5"/>
  <c r="U8" i="5" s="1"/>
  <c r="C8" i="5" s="1"/>
  <c r="BF8" i="5" l="1"/>
  <c r="EC8" i="5"/>
  <c r="EF8" i="5"/>
  <c r="EG8" i="5"/>
  <c r="EA8" i="5"/>
  <c r="DY8" i="5"/>
  <c r="DZ8" i="5"/>
  <c r="EB8" i="5"/>
  <c r="ED8" i="5"/>
  <c r="S8" i="5"/>
  <c r="EQ8" i="5" l="1"/>
  <c r="X8" i="5"/>
  <c r="I9" i="5" s="1"/>
  <c r="BE8" i="5"/>
  <c r="H9" i="5" l="1"/>
  <c r="M9" i="5"/>
  <c r="O9" i="5"/>
  <c r="K9" i="5"/>
  <c r="N9" i="5"/>
  <c r="L9" i="5"/>
  <c r="J9" i="5"/>
  <c r="DX9" i="5" l="1"/>
  <c r="ED9" i="5" s="1"/>
  <c r="R9" i="5"/>
  <c r="U9" i="5" s="1"/>
  <c r="C9" i="5" s="1"/>
  <c r="AT9" i="5"/>
  <c r="BF9" i="5" s="1"/>
  <c r="EG9" i="5" l="1"/>
  <c r="DZ9" i="5"/>
  <c r="EF9" i="5"/>
  <c r="EB9" i="5"/>
  <c r="EE9" i="5"/>
  <c r="DY9" i="5"/>
  <c r="EA9" i="5"/>
  <c r="EC9" i="5"/>
  <c r="S9" i="5"/>
  <c r="X9" i="5"/>
  <c r="J10" i="5" s="1"/>
  <c r="BE9" i="5"/>
  <c r="EQ9" i="5" l="1"/>
  <c r="O10" i="5"/>
  <c r="N10" i="5"/>
  <c r="H10" i="5"/>
  <c r="L10" i="5"/>
  <c r="K10" i="5"/>
  <c r="I10" i="5"/>
  <c r="M10" i="5"/>
  <c r="DX10" i="5" l="1"/>
  <c r="EG10" i="5" s="1"/>
  <c r="AT10" i="5"/>
  <c r="BF10" i="5" s="1"/>
  <c r="R10" i="5"/>
  <c r="U10" i="5" s="1"/>
  <c r="C10" i="5" s="1"/>
  <c r="DZ10" i="5" l="1"/>
  <c r="EF10" i="5"/>
  <c r="EC10" i="5"/>
  <c r="DY10" i="5"/>
  <c r="EB10" i="5"/>
  <c r="ED10" i="5"/>
  <c r="EE10" i="5"/>
  <c r="EA10" i="5"/>
  <c r="X10" i="5"/>
  <c r="S10" i="5"/>
  <c r="EQ10" i="5" l="1"/>
  <c r="L11" i="5"/>
  <c r="K11" i="5"/>
  <c r="I11" i="5"/>
  <c r="N11" i="5"/>
  <c r="M11" i="5"/>
  <c r="O11" i="5"/>
  <c r="BE10" i="5"/>
  <c r="H11" i="5"/>
  <c r="J11" i="5"/>
  <c r="DX11" i="5" l="1"/>
  <c r="DY11" i="5" s="1"/>
  <c r="R11" i="5"/>
  <c r="U11" i="5" s="1"/>
  <c r="C11" i="5" s="1"/>
  <c r="AT11" i="5"/>
  <c r="BF11" i="5" s="1"/>
  <c r="ED11" i="5" l="1"/>
  <c r="EE11" i="5"/>
  <c r="EC11" i="5"/>
  <c r="EF11" i="5"/>
  <c r="EB11" i="5"/>
  <c r="EA11" i="5"/>
  <c r="DZ11" i="5"/>
  <c r="EG11" i="5"/>
  <c r="S11" i="5"/>
  <c r="X11" i="5"/>
  <c r="M12" i="5" s="1"/>
  <c r="BE11" i="5"/>
  <c r="EQ11" i="5" l="1"/>
  <c r="N12" i="5"/>
  <c r="L12" i="5"/>
  <c r="H12" i="5"/>
  <c r="I12" i="5"/>
  <c r="K12" i="5"/>
  <c r="J12" i="5"/>
  <c r="O12" i="5"/>
  <c r="DX12" i="5" l="1"/>
  <c r="EA12" i="5" s="1"/>
  <c r="R12" i="5"/>
  <c r="U12" i="5" s="1"/>
  <c r="C12" i="5" s="1"/>
  <c r="AT12" i="5"/>
  <c r="BF12" i="5" s="1"/>
  <c r="EB12" i="5" l="1"/>
  <c r="DY12" i="5"/>
  <c r="EE12" i="5"/>
  <c r="EG12" i="5"/>
  <c r="EF12" i="5"/>
  <c r="DZ12" i="5"/>
  <c r="ED12" i="5"/>
  <c r="EC12" i="5"/>
  <c r="S12" i="5"/>
  <c r="X12" i="5"/>
  <c r="N13" i="5" s="1"/>
  <c r="BE12" i="5"/>
  <c r="EQ12" i="5" l="1"/>
  <c r="H13" i="5"/>
  <c r="O13" i="5"/>
  <c r="M13" i="5"/>
  <c r="L13" i="5"/>
  <c r="I13" i="5"/>
  <c r="J13" i="5"/>
  <c r="K13" i="5"/>
  <c r="DX13" i="5" l="1"/>
  <c r="R13" i="5"/>
  <c r="S13" i="5" s="1"/>
  <c r="AT13" i="5"/>
  <c r="DY13" i="5" l="1"/>
  <c r="EF13" i="5"/>
  <c r="EB13" i="5"/>
  <c r="DZ13" i="5"/>
  <c r="EC13" i="5"/>
  <c r="EA13" i="5"/>
  <c r="ED13" i="5"/>
  <c r="EE13" i="5"/>
  <c r="EG13" i="5"/>
  <c r="BF13" i="5"/>
  <c r="BE13" i="5" s="1"/>
  <c r="U13" i="5"/>
  <c r="C13" i="5" s="1"/>
  <c r="EQ13" i="5" l="1"/>
  <c r="X13" i="5"/>
  <c r="M14" i="5" s="1"/>
  <c r="I14" i="5" l="1"/>
  <c r="H14" i="5"/>
  <c r="N14" i="5"/>
  <c r="O14" i="5"/>
  <c r="J14" i="5"/>
  <c r="K14" i="5"/>
  <c r="L14" i="5"/>
  <c r="DX14" i="5" l="1"/>
  <c r="ED14" i="5" s="1"/>
  <c r="R14" i="5"/>
  <c r="U14" i="5" s="1"/>
  <c r="C14" i="5" s="1"/>
  <c r="AT14" i="5"/>
  <c r="BF14" i="5" s="1"/>
  <c r="EF14" i="5" l="1"/>
  <c r="DY14" i="5"/>
  <c r="EE14" i="5"/>
  <c r="EB14" i="5"/>
  <c r="EC14" i="5"/>
  <c r="EG14" i="5"/>
  <c r="EA14" i="5"/>
  <c r="DZ14" i="5"/>
  <c r="S14" i="5"/>
  <c r="X14" i="5"/>
  <c r="M15" i="5" s="1"/>
  <c r="BE14" i="5"/>
  <c r="EQ14" i="5" l="1"/>
  <c r="I15" i="5"/>
  <c r="H15" i="5"/>
  <c r="N15" i="5"/>
  <c r="J15" i="5"/>
  <c r="L15" i="5"/>
  <c r="K15" i="5"/>
  <c r="O15" i="5"/>
  <c r="DX15" i="5" l="1"/>
  <c r="DZ15" i="5" s="1"/>
  <c r="R15" i="5"/>
  <c r="S15" i="5" s="1"/>
  <c r="AT15" i="5"/>
  <c r="BF15" i="5" s="1"/>
  <c r="EG15" i="5" l="1"/>
  <c r="EA15" i="5"/>
  <c r="ED15" i="5"/>
  <c r="DY15" i="5"/>
  <c r="EE15" i="5"/>
  <c r="EC15" i="5"/>
  <c r="EB15" i="5"/>
  <c r="EF15" i="5"/>
  <c r="U15" i="5"/>
  <c r="C15" i="5" s="1"/>
  <c r="X15" i="5"/>
  <c r="O16" i="5" s="1"/>
  <c r="BE15" i="5"/>
  <c r="EQ15" i="5" l="1"/>
  <c r="I16" i="5"/>
  <c r="H16" i="5"/>
  <c r="N16" i="5"/>
  <c r="M16" i="5"/>
  <c r="J16" i="5"/>
  <c r="L16" i="5"/>
  <c r="K16" i="5"/>
  <c r="DX16" i="5" l="1"/>
  <c r="EF16" i="5" s="1"/>
  <c r="AT16" i="5"/>
  <c r="BF16" i="5" s="1"/>
  <c r="X16" i="5" s="1"/>
  <c r="N17" i="5" s="1"/>
  <c r="R16" i="5"/>
  <c r="U16" i="5" s="1"/>
  <c r="C16" i="5" s="1"/>
  <c r="EA16" i="5" l="1"/>
  <c r="DY16" i="5"/>
  <c r="EG16" i="5"/>
  <c r="EE16" i="5"/>
  <c r="EC16" i="5"/>
  <c r="DZ16" i="5"/>
  <c r="ED16" i="5"/>
  <c r="EB16" i="5"/>
  <c r="S16" i="5"/>
  <c r="BE16" i="5"/>
  <c r="O17" i="5"/>
  <c r="I17" i="5"/>
  <c r="M17" i="5"/>
  <c r="L17" i="5"/>
  <c r="H17" i="5"/>
  <c r="J17" i="5"/>
  <c r="K17" i="5"/>
  <c r="DX17" i="5" l="1"/>
  <c r="EE17" i="5" s="1"/>
  <c r="EQ16" i="5"/>
  <c r="R17" i="5"/>
  <c r="U17" i="5" s="1"/>
  <c r="C17" i="5" s="1"/>
  <c r="AT17" i="5"/>
  <c r="EB17" i="5" l="1"/>
  <c r="ED17" i="5"/>
  <c r="EG17" i="5"/>
  <c r="EC17" i="5"/>
  <c r="EA17" i="5"/>
  <c r="DY17" i="5"/>
  <c r="EF17" i="5"/>
  <c r="DZ17" i="5"/>
  <c r="BF17" i="5"/>
  <c r="X17" i="5" s="1"/>
  <c r="S17" i="5"/>
  <c r="EQ17" i="5" l="1"/>
  <c r="BE17" i="5"/>
  <c r="L18" i="5"/>
  <c r="K18" i="5"/>
  <c r="O18" i="5"/>
  <c r="M18" i="5"/>
  <c r="I18" i="5"/>
  <c r="H18" i="5"/>
  <c r="J18" i="5"/>
  <c r="N18" i="5"/>
  <c r="DX18" i="5" l="1"/>
  <c r="DY18" i="5" s="1"/>
  <c r="AT18" i="5"/>
  <c r="BF18" i="5" s="1"/>
  <c r="X18" i="5" s="1"/>
  <c r="R18" i="5"/>
  <c r="U18" i="5" s="1"/>
  <c r="C18" i="5" s="1"/>
  <c r="EE18" i="5" l="1"/>
  <c r="EB18" i="5"/>
  <c r="ED18" i="5"/>
  <c r="EG18" i="5"/>
  <c r="EA18" i="5"/>
  <c r="EC18" i="5"/>
  <c r="EF18" i="5"/>
  <c r="DZ18" i="5"/>
  <c r="BE18" i="5"/>
  <c r="S18" i="5"/>
  <c r="I19" i="5"/>
  <c r="J19" i="5"/>
  <c r="L19" i="5"/>
  <c r="H19" i="5"/>
  <c r="N19" i="5"/>
  <c r="O19" i="5"/>
  <c r="M19" i="5"/>
  <c r="K19" i="5"/>
  <c r="EQ18" i="5" l="1"/>
  <c r="DX19" i="5"/>
  <c r="DY19" i="5" s="1"/>
  <c r="AT19" i="5"/>
  <c r="BF19" i="5" s="1"/>
  <c r="X19" i="5" s="1"/>
  <c r="R19" i="5"/>
  <c r="U19" i="5" s="1"/>
  <c r="C19" i="5" s="1"/>
  <c r="EB19" i="5" l="1"/>
  <c r="EG19" i="5"/>
  <c r="EA19" i="5"/>
  <c r="EF19" i="5"/>
  <c r="ED19" i="5"/>
  <c r="EE19" i="5"/>
  <c r="DZ19" i="5"/>
  <c r="EC19" i="5"/>
  <c r="S19" i="5"/>
  <c r="BE19" i="5"/>
  <c r="H20" i="5"/>
  <c r="N20" i="5"/>
  <c r="K20" i="5"/>
  <c r="O20" i="5"/>
  <c r="M20" i="5"/>
  <c r="L20" i="5"/>
  <c r="J20" i="5"/>
  <c r="I20" i="5"/>
  <c r="EQ19" i="5" l="1"/>
  <c r="DX20" i="5"/>
  <c r="DY20" i="5" s="1"/>
  <c r="R20" i="5"/>
  <c r="AT20" i="5"/>
  <c r="BF20" i="5" s="1"/>
  <c r="EF20" i="5" l="1"/>
  <c r="EC20" i="5"/>
  <c r="EE20" i="5"/>
  <c r="EG20" i="5"/>
  <c r="EB20" i="5"/>
  <c r="ED20" i="5"/>
  <c r="DZ20" i="5"/>
  <c r="EA20" i="5"/>
  <c r="U20" i="5"/>
  <c r="C20" i="5" s="1"/>
  <c r="S20" i="5"/>
  <c r="X20" i="5"/>
  <c r="EQ20" i="5" l="1"/>
  <c r="BE20" i="5"/>
  <c r="H21" i="5"/>
  <c r="M21" i="5"/>
  <c r="I21" i="5"/>
  <c r="J21" i="5"/>
  <c r="K21" i="5"/>
  <c r="L21" i="5"/>
  <c r="N21" i="5"/>
  <c r="O21" i="5"/>
  <c r="DX21" i="5" l="1"/>
  <c r="DY21" i="5" s="1"/>
  <c r="AT21" i="5"/>
  <c r="BF21" i="5" s="1"/>
  <c r="R21" i="5"/>
  <c r="EF21" i="5" l="1"/>
  <c r="ED21" i="5"/>
  <c r="EB21" i="5"/>
  <c r="EE21" i="5"/>
  <c r="EC21" i="5"/>
  <c r="DZ21" i="5"/>
  <c r="EA21" i="5"/>
  <c r="EG21" i="5"/>
  <c r="U21" i="5"/>
  <c r="C21" i="5" s="1"/>
  <c r="S21" i="5"/>
  <c r="X21" i="5"/>
  <c r="EQ21" i="5" l="1"/>
  <c r="BE21" i="5"/>
  <c r="H22" i="5"/>
  <c r="O22" i="5"/>
  <c r="M22" i="5"/>
  <c r="K22" i="5"/>
  <c r="J22" i="5"/>
  <c r="L22" i="5"/>
  <c r="I22" i="5"/>
  <c r="N22" i="5"/>
  <c r="DX22" i="5" l="1"/>
  <c r="DY22" i="5" s="1"/>
  <c r="AT22" i="5"/>
  <c r="BF22" i="5" s="1"/>
  <c r="R22" i="5"/>
  <c r="EG22" i="5" l="1"/>
  <c r="EF22" i="5"/>
  <c r="EA22" i="5"/>
  <c r="EE22" i="5"/>
  <c r="EC22" i="5"/>
  <c r="DZ22" i="5"/>
  <c r="EB22" i="5"/>
  <c r="ED22" i="5"/>
  <c r="U22" i="5"/>
  <c r="C22" i="5" s="1"/>
  <c r="S22" i="5"/>
  <c r="X22" i="5"/>
  <c r="EQ22" i="5" l="1"/>
  <c r="BE22" i="5"/>
  <c r="H23" i="5"/>
  <c r="J23" i="5"/>
  <c r="M23" i="5"/>
  <c r="N23" i="5"/>
  <c r="L23" i="5"/>
  <c r="O23" i="5"/>
  <c r="K23" i="5"/>
  <c r="I23" i="5"/>
  <c r="DX23" i="5" l="1"/>
  <c r="DY23" i="5" s="1"/>
  <c r="R23" i="5"/>
  <c r="AT23" i="5"/>
  <c r="BF23" i="5" s="1"/>
  <c r="EC23" i="5" l="1"/>
  <c r="EE23" i="5"/>
  <c r="ED23" i="5"/>
  <c r="DZ23" i="5"/>
  <c r="EA23" i="5"/>
  <c r="EF23" i="5"/>
  <c r="EB23" i="5"/>
  <c r="EG23" i="5"/>
  <c r="U23" i="5"/>
  <c r="C23" i="5" s="1"/>
  <c r="S23" i="5"/>
  <c r="X23" i="5"/>
  <c r="EQ23" i="5" l="1"/>
  <c r="BE23" i="5"/>
  <c r="H24" i="5"/>
  <c r="J24" i="5"/>
  <c r="N24" i="5"/>
  <c r="M24" i="5"/>
  <c r="I24" i="5"/>
  <c r="O24" i="5"/>
  <c r="L24" i="5"/>
  <c r="K24" i="5"/>
  <c r="DX24" i="5" l="1"/>
  <c r="DY24" i="5" s="1"/>
  <c r="R24" i="5"/>
  <c r="AT24" i="5"/>
  <c r="BF24" i="5" s="1"/>
  <c r="EG24" i="5" l="1"/>
  <c r="EC24" i="5"/>
  <c r="EF24" i="5"/>
  <c r="EA24" i="5"/>
  <c r="EE24" i="5"/>
  <c r="DZ24" i="5"/>
  <c r="EB24" i="5"/>
  <c r="ED24" i="5"/>
  <c r="X24" i="5"/>
  <c r="U24" i="5"/>
  <c r="C24" i="5" s="1"/>
  <c r="S24" i="5"/>
  <c r="EQ24" i="5" l="1"/>
  <c r="BE24" i="5"/>
  <c r="H25" i="5"/>
  <c r="J25" i="5"/>
  <c r="L25" i="5"/>
  <c r="M25" i="5"/>
  <c r="I25" i="5"/>
  <c r="K25" i="5"/>
  <c r="O25" i="5"/>
  <c r="N25" i="5"/>
  <c r="DX25" i="5" l="1"/>
  <c r="DY25" i="5" s="1"/>
  <c r="AT25" i="5"/>
  <c r="BF25" i="5" s="1"/>
  <c r="R25" i="5"/>
  <c r="ED25" i="5" l="1"/>
  <c r="EA25" i="5"/>
  <c r="EB25" i="5"/>
  <c r="EC25" i="5"/>
  <c r="EE25" i="5"/>
  <c r="DZ25" i="5"/>
  <c r="EG25" i="5"/>
  <c r="EF25" i="5"/>
  <c r="X25" i="5"/>
  <c r="U25" i="5"/>
  <c r="C25" i="5" s="1"/>
  <c r="S25" i="5"/>
  <c r="EQ25" i="5" l="1"/>
  <c r="BE25" i="5"/>
  <c r="H26" i="5"/>
  <c r="I26" i="5"/>
  <c r="J26" i="5"/>
  <c r="L26" i="5"/>
  <c r="K26" i="5"/>
  <c r="O26" i="5"/>
  <c r="M26" i="5"/>
  <c r="N26" i="5"/>
  <c r="DX26" i="5" l="1"/>
  <c r="DY26" i="5" s="1"/>
  <c r="AT26" i="5"/>
  <c r="BF26" i="5" s="1"/>
  <c r="R26" i="5"/>
  <c r="EB26" i="5" l="1"/>
  <c r="DZ26" i="5"/>
  <c r="EF26" i="5"/>
  <c r="EA26" i="5"/>
  <c r="ED26" i="5"/>
  <c r="EC26" i="5"/>
  <c r="EG26" i="5"/>
  <c r="EE26" i="5"/>
  <c r="X26" i="5"/>
  <c r="S26" i="5"/>
  <c r="U26" i="5"/>
  <c r="C26" i="5" s="1"/>
  <c r="EQ26" i="5" l="1"/>
  <c r="BE26" i="5"/>
  <c r="H27" i="5"/>
  <c r="L27" i="5"/>
  <c r="K27" i="5"/>
  <c r="O27" i="5"/>
  <c r="N27" i="5"/>
  <c r="I27" i="5"/>
  <c r="M27" i="5"/>
  <c r="J27" i="5"/>
  <c r="DX27" i="5" l="1"/>
  <c r="DY27" i="5" s="1"/>
  <c r="R27" i="5"/>
  <c r="AT27" i="5"/>
  <c r="BF27" i="5" s="1"/>
  <c r="ED27" i="5" l="1"/>
  <c r="EE27" i="5"/>
  <c r="DZ27" i="5"/>
  <c r="EG27" i="5"/>
  <c r="EF27" i="5"/>
  <c r="EC27" i="5"/>
  <c r="EB27" i="5"/>
  <c r="EA27" i="5"/>
  <c r="X27" i="5"/>
  <c r="U27" i="5"/>
  <c r="C27" i="5" s="1"/>
  <c r="S27" i="5"/>
  <c r="EQ27" i="5" l="1"/>
  <c r="BE27" i="5"/>
  <c r="H28" i="5"/>
  <c r="N28" i="5"/>
  <c r="I28" i="5"/>
  <c r="K28" i="5"/>
  <c r="O28" i="5"/>
  <c r="L28" i="5"/>
  <c r="M28" i="5"/>
  <c r="J28" i="5"/>
  <c r="DX28" i="5" l="1"/>
  <c r="DY28" i="5" s="1"/>
  <c r="R28" i="5"/>
  <c r="AT28" i="5"/>
  <c r="BF28" i="5" s="1"/>
  <c r="EF28" i="5" l="1"/>
  <c r="EB28" i="5"/>
  <c r="DZ28" i="5"/>
  <c r="EE28" i="5"/>
  <c r="EG28" i="5"/>
  <c r="EC28" i="5"/>
  <c r="EA28" i="5"/>
  <c r="ED28" i="5"/>
  <c r="U28" i="5"/>
  <c r="C28" i="5" s="1"/>
  <c r="S28" i="5"/>
  <c r="X28" i="5"/>
  <c r="EQ28" i="5" l="1"/>
  <c r="BE28" i="5"/>
  <c r="H29" i="5"/>
  <c r="M29" i="5"/>
  <c r="K29" i="5"/>
  <c r="L29" i="5"/>
  <c r="J29" i="5"/>
  <c r="N29" i="5"/>
  <c r="O29" i="5"/>
  <c r="I29" i="5"/>
  <c r="B10" i="5"/>
  <c r="DX29" i="5" l="1"/>
  <c r="DY29" i="5" s="1"/>
  <c r="B7" i="5"/>
  <c r="BH4" i="5"/>
  <c r="BH20" i="5"/>
  <c r="BH36" i="5"/>
  <c r="BH52" i="5"/>
  <c r="BH68" i="5"/>
  <c r="BH5" i="5"/>
  <c r="BH21" i="5"/>
  <c r="BH37" i="5"/>
  <c r="BH53" i="5"/>
  <c r="BH69" i="5"/>
  <c r="BH22" i="5"/>
  <c r="BH38" i="5"/>
  <c r="BH54" i="5"/>
  <c r="BH70" i="5"/>
  <c r="BH25" i="5"/>
  <c r="BH57" i="5"/>
  <c r="BH31" i="5"/>
  <c r="BH64" i="5"/>
  <c r="BH35" i="5"/>
  <c r="BH6" i="5"/>
  <c r="BH7" i="5"/>
  <c r="BH23" i="5"/>
  <c r="BH39" i="5"/>
  <c r="BH55" i="5"/>
  <c r="BH71" i="5"/>
  <c r="BH8" i="5"/>
  <c r="BH24" i="5"/>
  <c r="BH40" i="5"/>
  <c r="BH56" i="5"/>
  <c r="BH72" i="5"/>
  <c r="BH9" i="5"/>
  <c r="BH41" i="5"/>
  <c r="BH73" i="5"/>
  <c r="BH32" i="5"/>
  <c r="BH49" i="5"/>
  <c r="BH10" i="5"/>
  <c r="BH26" i="5"/>
  <c r="BH42" i="5"/>
  <c r="BH58" i="5"/>
  <c r="BH74" i="5"/>
  <c r="BH13" i="5"/>
  <c r="BH61" i="5"/>
  <c r="BH62" i="5"/>
  <c r="BH63" i="5"/>
  <c r="BH33" i="5"/>
  <c r="BH11" i="5"/>
  <c r="BH27" i="5"/>
  <c r="BH43" i="5"/>
  <c r="BH59" i="5"/>
  <c r="BH44" i="5"/>
  <c r="BH45" i="5"/>
  <c r="BH14" i="5"/>
  <c r="BH46" i="5"/>
  <c r="BH48" i="5"/>
  <c r="BH65" i="5"/>
  <c r="BH12" i="5"/>
  <c r="BH28" i="5"/>
  <c r="BH60" i="5"/>
  <c r="BH29" i="5"/>
  <c r="BH30" i="5"/>
  <c r="BH47" i="5"/>
  <c r="BH17" i="5"/>
  <c r="BH15" i="5"/>
  <c r="BH51" i="5"/>
  <c r="BH16" i="5"/>
  <c r="BH18" i="5"/>
  <c r="BH34" i="5"/>
  <c r="BH50" i="5"/>
  <c r="BH66" i="5"/>
  <c r="BH19" i="5"/>
  <c r="BH67" i="5"/>
  <c r="R29" i="5"/>
  <c r="AT29" i="5"/>
  <c r="BF29" i="5" s="1"/>
  <c r="DZ29" i="5" l="1"/>
  <c r="EC29" i="5"/>
  <c r="EB29" i="5"/>
  <c r="EA29" i="5"/>
  <c r="EE29" i="5"/>
  <c r="EF29" i="5"/>
  <c r="ED29" i="5"/>
  <c r="EG29" i="5"/>
  <c r="BH3" i="5"/>
  <c r="X29" i="5"/>
  <c r="S29" i="5"/>
  <c r="U29" i="5"/>
  <c r="C29" i="5" s="1"/>
  <c r="EQ29" i="5" l="1"/>
  <c r="BE29" i="5"/>
  <c r="H30" i="5"/>
  <c r="O30" i="5"/>
  <c r="K30" i="5"/>
  <c r="L30" i="5"/>
  <c r="I30" i="5"/>
  <c r="M30" i="5"/>
  <c r="N30" i="5"/>
  <c r="J30" i="5"/>
  <c r="DX30" i="5" l="1"/>
  <c r="DY30" i="5" s="1"/>
  <c r="R30" i="5"/>
  <c r="AT30" i="5"/>
  <c r="BF30" i="5" s="1"/>
  <c r="DZ30" i="5" l="1"/>
  <c r="EC30" i="5"/>
  <c r="ED30" i="5"/>
  <c r="EA30" i="5"/>
  <c r="EB30" i="5"/>
  <c r="EG30" i="5"/>
  <c r="EE30" i="5"/>
  <c r="EF30" i="5"/>
  <c r="U30" i="5"/>
  <c r="C30" i="5" s="1"/>
  <c r="S30" i="5"/>
  <c r="EQ30" i="5" l="1"/>
  <c r="X30" i="5"/>
  <c r="N31" i="5" s="1"/>
  <c r="BE30" i="5"/>
  <c r="K31" i="5" l="1"/>
  <c r="O31" i="5"/>
  <c r="I31" i="5"/>
  <c r="L31" i="5"/>
  <c r="M31" i="5"/>
  <c r="H31" i="5"/>
  <c r="J31" i="5"/>
  <c r="DX31" i="5" l="1"/>
  <c r="DZ31" i="5" s="1"/>
  <c r="R31" i="5"/>
  <c r="U31" i="5" s="1"/>
  <c r="C31" i="5" s="1"/>
  <c r="AT31" i="5"/>
  <c r="BF31" i="5" s="1"/>
  <c r="EG31" i="5" l="1"/>
  <c r="DY31" i="5"/>
  <c r="EF31" i="5"/>
  <c r="EA31" i="5"/>
  <c r="ED31" i="5"/>
  <c r="EB31" i="5"/>
  <c r="EE31" i="5"/>
  <c r="EC31" i="5"/>
  <c r="S31" i="5"/>
  <c r="X31" i="5"/>
  <c r="H32" i="5" s="1"/>
  <c r="BE31" i="5"/>
  <c r="EQ31" i="5" l="1"/>
  <c r="N32" i="5"/>
  <c r="J32" i="5"/>
  <c r="I32" i="5"/>
  <c r="O32" i="5"/>
  <c r="K32" i="5"/>
  <c r="M32" i="5"/>
  <c r="L32" i="5"/>
  <c r="DX32" i="5" l="1"/>
  <c r="AT32" i="5"/>
  <c r="BF32" i="5" s="1"/>
  <c r="R32" i="5"/>
  <c r="S32" i="5" s="1"/>
  <c r="DY32" i="5" l="1"/>
  <c r="DZ32" i="5"/>
  <c r="EB32" i="5"/>
  <c r="EC32" i="5"/>
  <c r="EF32" i="5"/>
  <c r="EE32" i="5"/>
  <c r="EA32" i="5"/>
  <c r="EG32" i="5"/>
  <c r="ED32" i="5"/>
  <c r="X32" i="5"/>
  <c r="U32" i="5"/>
  <c r="C32" i="5" s="1"/>
  <c r="EQ32" i="5" l="1"/>
  <c r="BE32" i="5"/>
  <c r="H33" i="5"/>
  <c r="O33" i="5"/>
  <c r="N33" i="5"/>
  <c r="J33" i="5"/>
  <c r="M33" i="5"/>
  <c r="L33" i="5"/>
  <c r="K33" i="5"/>
  <c r="I33" i="5"/>
  <c r="DX33" i="5" l="1"/>
  <c r="DY33" i="5" s="1"/>
  <c r="R33" i="5"/>
  <c r="S33" i="5" s="1"/>
  <c r="AT33" i="5"/>
  <c r="BF33" i="5" s="1"/>
  <c r="EF33" i="5" l="1"/>
  <c r="EA33" i="5"/>
  <c r="EG33" i="5"/>
  <c r="EB33" i="5"/>
  <c r="EE33" i="5"/>
  <c r="DZ33" i="5"/>
  <c r="EC33" i="5"/>
  <c r="ED33" i="5"/>
  <c r="U33" i="5"/>
  <c r="C33" i="5" s="1"/>
  <c r="X33" i="5"/>
  <c r="I34" i="5" s="1"/>
  <c r="BE33" i="5"/>
  <c r="EQ33" i="5" l="1"/>
  <c r="N34" i="5"/>
  <c r="O34" i="5"/>
  <c r="L34" i="5"/>
  <c r="H34" i="5"/>
  <c r="K34" i="5"/>
  <c r="J34" i="5"/>
  <c r="M34" i="5"/>
  <c r="DX34" i="5" l="1"/>
  <c r="EC34" i="5" s="1"/>
  <c r="R34" i="5"/>
  <c r="S34" i="5" s="1"/>
  <c r="AT34" i="5"/>
  <c r="BF34" i="5" s="1"/>
  <c r="EF34" i="5" l="1"/>
  <c r="ED34" i="5"/>
  <c r="EB34" i="5"/>
  <c r="EG34" i="5"/>
  <c r="DZ34" i="5"/>
  <c r="EE34" i="5"/>
  <c r="DY34" i="5"/>
  <c r="EA34" i="5"/>
  <c r="U34" i="5"/>
  <c r="C34" i="5" s="1"/>
  <c r="X34" i="5"/>
  <c r="H35" i="5" s="1"/>
  <c r="BE34" i="5"/>
  <c r="EQ34" i="5" l="1"/>
  <c r="O35" i="5"/>
  <c r="L35" i="5"/>
  <c r="J35" i="5"/>
  <c r="K35" i="5"/>
  <c r="M35" i="5"/>
  <c r="I35" i="5"/>
  <c r="N35" i="5"/>
  <c r="DX35" i="5" l="1"/>
  <c r="AT35" i="5"/>
  <c r="BF35" i="5" s="1"/>
  <c r="R35" i="5"/>
  <c r="S35" i="5" s="1"/>
  <c r="DY35" i="5" l="1"/>
  <c r="DZ35" i="5"/>
  <c r="EG35" i="5"/>
  <c r="EE35" i="5"/>
  <c r="ED35" i="5"/>
  <c r="EB35" i="5"/>
  <c r="EF35" i="5"/>
  <c r="EA35" i="5"/>
  <c r="EC35" i="5"/>
  <c r="U35" i="5"/>
  <c r="C35" i="5" s="1"/>
  <c r="X35" i="5"/>
  <c r="O36" i="5" s="1"/>
  <c r="BE35" i="5"/>
  <c r="EQ35" i="5" l="1"/>
  <c r="J36" i="5"/>
  <c r="I36" i="5"/>
  <c r="M36" i="5"/>
  <c r="K36" i="5"/>
  <c r="N36" i="5"/>
  <c r="H36" i="5"/>
  <c r="L36" i="5"/>
  <c r="DX36" i="5" l="1"/>
  <c r="DZ36" i="5" s="1"/>
  <c r="AT36" i="5"/>
  <c r="R36" i="5"/>
  <c r="S36" i="5" s="1"/>
  <c r="ED36" i="5" l="1"/>
  <c r="EB36" i="5"/>
  <c r="EE36" i="5"/>
  <c r="EC36" i="5"/>
  <c r="DY36" i="5"/>
  <c r="EG36" i="5"/>
  <c r="EF36" i="5"/>
  <c r="EA36" i="5"/>
  <c r="BF36" i="5"/>
  <c r="X36" i="5" s="1"/>
  <c r="U36" i="5"/>
  <c r="C36" i="5" s="1"/>
  <c r="EQ36" i="5" l="1"/>
  <c r="BE36" i="5"/>
  <c r="N37" i="5"/>
  <c r="M37" i="5"/>
  <c r="O37" i="5"/>
  <c r="H37" i="5"/>
  <c r="I37" i="5"/>
  <c r="K37" i="5"/>
  <c r="J37" i="5"/>
  <c r="L37" i="5"/>
  <c r="DX37" i="5" l="1"/>
  <c r="DY37" i="5" s="1"/>
  <c r="AT37" i="5"/>
  <c r="BF37" i="5" s="1"/>
  <c r="X37" i="5" s="1"/>
  <c r="R37" i="5"/>
  <c r="U37" i="5" s="1"/>
  <c r="C37" i="5" s="1"/>
  <c r="EF37" i="5" l="1"/>
  <c r="DZ37" i="5"/>
  <c r="EG37" i="5"/>
  <c r="EB37" i="5"/>
  <c r="EE37" i="5"/>
  <c r="EC37" i="5"/>
  <c r="ED37" i="5"/>
  <c r="EA37" i="5"/>
  <c r="S37" i="5"/>
  <c r="BE37" i="5"/>
  <c r="H38" i="5"/>
  <c r="K38" i="5"/>
  <c r="N38" i="5"/>
  <c r="O38" i="5"/>
  <c r="L38" i="5"/>
  <c r="J38" i="5"/>
  <c r="I38" i="5"/>
  <c r="M38" i="5"/>
  <c r="EQ37" i="5" l="1"/>
  <c r="DX38" i="5"/>
  <c r="DY38" i="5" s="1"/>
  <c r="R38" i="5"/>
  <c r="AT38" i="5"/>
  <c r="BF38" i="5" s="1"/>
  <c r="EB38" i="5" l="1"/>
  <c r="EE38" i="5"/>
  <c r="EF38" i="5"/>
  <c r="DZ38" i="5"/>
  <c r="ED38" i="5"/>
  <c r="EA38" i="5"/>
  <c r="EG38" i="5"/>
  <c r="EC38" i="5"/>
  <c r="U38" i="5"/>
  <c r="C38" i="5" s="1"/>
  <c r="S38" i="5"/>
  <c r="X38" i="5"/>
  <c r="EQ38" i="5" l="1"/>
  <c r="BE38" i="5"/>
  <c r="H39" i="5"/>
  <c r="K39" i="5"/>
  <c r="M39" i="5"/>
  <c r="L39" i="5"/>
  <c r="N39" i="5"/>
  <c r="I39" i="5"/>
  <c r="J39" i="5"/>
  <c r="O39" i="5"/>
  <c r="DX39" i="5" l="1"/>
  <c r="DY39" i="5" s="1"/>
  <c r="R39" i="5"/>
  <c r="AT39" i="5"/>
  <c r="BF39" i="5" s="1"/>
  <c r="EC39" i="5" l="1"/>
  <c r="DZ39" i="5"/>
  <c r="EG39" i="5"/>
  <c r="EF39" i="5"/>
  <c r="EB39" i="5"/>
  <c r="ED39" i="5"/>
  <c r="EE39" i="5"/>
  <c r="EA39" i="5"/>
  <c r="X39" i="5"/>
  <c r="U39" i="5"/>
  <c r="C39" i="5" s="1"/>
  <c r="S39" i="5"/>
  <c r="EQ39" i="5" l="1"/>
  <c r="BE39" i="5"/>
  <c r="H40" i="5"/>
  <c r="K40" i="5"/>
  <c r="N40" i="5"/>
  <c r="I40" i="5"/>
  <c r="J40" i="5"/>
  <c r="L40" i="5"/>
  <c r="O40" i="5"/>
  <c r="M40" i="5"/>
  <c r="DX40" i="5" l="1"/>
  <c r="DY40" i="5" s="1"/>
  <c r="AT40" i="5"/>
  <c r="BF40" i="5" s="1"/>
  <c r="R40" i="5"/>
  <c r="DZ40" i="5" l="1"/>
  <c r="EC40" i="5"/>
  <c r="ED40" i="5"/>
  <c r="EA40" i="5"/>
  <c r="EF40" i="5"/>
  <c r="EB40" i="5"/>
  <c r="EE40" i="5"/>
  <c r="EG40" i="5"/>
  <c r="S40" i="5"/>
  <c r="U40" i="5"/>
  <c r="C40" i="5" s="1"/>
  <c r="X40" i="5"/>
  <c r="EQ40" i="5" l="1"/>
  <c r="BE40" i="5"/>
  <c r="H41" i="5"/>
  <c r="M41" i="5"/>
  <c r="L41" i="5"/>
  <c r="K41" i="5"/>
  <c r="N41" i="5"/>
  <c r="O41" i="5"/>
  <c r="I41" i="5"/>
  <c r="J41" i="5"/>
  <c r="DX41" i="5" l="1"/>
  <c r="DY41" i="5" s="1"/>
  <c r="AT41" i="5"/>
  <c r="BF41" i="5" s="1"/>
  <c r="R41" i="5"/>
  <c r="ED41" i="5" l="1"/>
  <c r="EB41" i="5"/>
  <c r="EG41" i="5"/>
  <c r="EF41" i="5"/>
  <c r="EC41" i="5"/>
  <c r="DZ41" i="5"/>
  <c r="EE41" i="5"/>
  <c r="EA41" i="5"/>
  <c r="U41" i="5"/>
  <c r="C41" i="5" s="1"/>
  <c r="S41" i="5"/>
  <c r="X41" i="5"/>
  <c r="EQ41" i="5" l="1"/>
  <c r="BE41" i="5"/>
  <c r="H42" i="5"/>
  <c r="J42" i="5"/>
  <c r="O42" i="5"/>
  <c r="L42" i="5"/>
  <c r="M42" i="5"/>
  <c r="N42" i="5"/>
  <c r="K42" i="5"/>
  <c r="I42" i="5"/>
  <c r="DX42" i="5" l="1"/>
  <c r="DY42" i="5" s="1"/>
  <c r="R42" i="5"/>
  <c r="AT42" i="5"/>
  <c r="BF42" i="5" s="1"/>
  <c r="EB42" i="5" l="1"/>
  <c r="EG42" i="5"/>
  <c r="ED42" i="5"/>
  <c r="EE42" i="5"/>
  <c r="EC42" i="5"/>
  <c r="DZ42" i="5"/>
  <c r="EF42" i="5"/>
  <c r="EA42" i="5"/>
  <c r="U42" i="5"/>
  <c r="C42" i="5" s="1"/>
  <c r="S42" i="5"/>
  <c r="X42" i="5"/>
  <c r="EQ42" i="5" l="1"/>
  <c r="BE42" i="5"/>
  <c r="H43" i="5"/>
  <c r="J43" i="5"/>
  <c r="M43" i="5"/>
  <c r="O43" i="5"/>
  <c r="K43" i="5"/>
  <c r="L43" i="5"/>
  <c r="N43" i="5"/>
  <c r="I43" i="5"/>
  <c r="DX43" i="5" l="1"/>
  <c r="DY43" i="5" s="1"/>
  <c r="R43" i="5"/>
  <c r="AT43" i="5"/>
  <c r="BF43" i="5" s="1"/>
  <c r="EF43" i="5" l="1"/>
  <c r="EB43" i="5"/>
  <c r="EC43" i="5"/>
  <c r="EG43" i="5"/>
  <c r="DZ43" i="5"/>
  <c r="EE43" i="5"/>
  <c r="ED43" i="5"/>
  <c r="EA43" i="5"/>
  <c r="X43" i="5"/>
  <c r="U43" i="5"/>
  <c r="C43" i="5" s="1"/>
  <c r="S43" i="5"/>
  <c r="EQ43" i="5" l="1"/>
  <c r="BE43" i="5"/>
  <c r="H44" i="5"/>
  <c r="J44" i="5"/>
  <c r="I44" i="5"/>
  <c r="L44" i="5"/>
  <c r="O44" i="5"/>
  <c r="N44" i="5"/>
  <c r="K44" i="5"/>
  <c r="M44" i="5"/>
  <c r="DX44" i="5" l="1"/>
  <c r="DY44" i="5" s="1"/>
  <c r="AT44" i="5"/>
  <c r="BF44" i="5" s="1"/>
  <c r="R44" i="5"/>
  <c r="ED44" i="5" l="1"/>
  <c r="EB44" i="5"/>
  <c r="EF44" i="5"/>
  <c r="DZ44" i="5"/>
  <c r="EA44" i="5"/>
  <c r="EC44" i="5"/>
  <c r="EG44" i="5"/>
  <c r="EE44" i="5"/>
  <c r="X44" i="5"/>
  <c r="U44" i="5"/>
  <c r="C44" i="5" s="1"/>
  <c r="S44" i="5"/>
  <c r="EQ44" i="5" l="1"/>
  <c r="BE44" i="5"/>
  <c r="H45" i="5"/>
  <c r="L45" i="5"/>
  <c r="M45" i="5"/>
  <c r="N45" i="5"/>
  <c r="K45" i="5"/>
  <c r="J45" i="5"/>
  <c r="I45" i="5"/>
  <c r="O45" i="5"/>
  <c r="DX45" i="5" l="1"/>
  <c r="DY45" i="5" s="1"/>
  <c r="R45" i="5"/>
  <c r="AT45" i="5"/>
  <c r="BF45" i="5" s="1"/>
  <c r="ED45" i="5" l="1"/>
  <c r="EC45" i="5"/>
  <c r="EB45" i="5"/>
  <c r="EG45" i="5"/>
  <c r="EF45" i="5"/>
  <c r="DZ45" i="5"/>
  <c r="EE45" i="5"/>
  <c r="EA45" i="5"/>
  <c r="X45" i="5"/>
  <c r="U45" i="5"/>
  <c r="C45" i="5" s="1"/>
  <c r="S45" i="5"/>
  <c r="EQ45" i="5" l="1"/>
  <c r="BE45" i="5"/>
  <c r="H46" i="5"/>
  <c r="J46" i="5"/>
  <c r="L46" i="5"/>
  <c r="N46" i="5"/>
  <c r="O46" i="5"/>
  <c r="M46" i="5"/>
  <c r="K46" i="5"/>
  <c r="I46" i="5"/>
  <c r="DX46" i="5" l="1"/>
  <c r="DY46" i="5" s="1"/>
  <c r="AT46" i="5"/>
  <c r="BF46" i="5" s="1"/>
  <c r="R46" i="5"/>
  <c r="EC46" i="5" l="1"/>
  <c r="EB46" i="5"/>
  <c r="DZ46" i="5"/>
  <c r="EA46" i="5"/>
  <c r="EF46" i="5"/>
  <c r="ED46" i="5"/>
  <c r="EG46" i="5"/>
  <c r="EE46" i="5"/>
  <c r="X46" i="5"/>
  <c r="S46" i="5"/>
  <c r="U46" i="5"/>
  <c r="C46" i="5" s="1"/>
  <c r="EQ46" i="5" l="1"/>
  <c r="BE46" i="5"/>
  <c r="H47" i="5"/>
  <c r="J47" i="5"/>
  <c r="O47" i="5"/>
  <c r="I47" i="5"/>
  <c r="L47" i="5"/>
  <c r="K47" i="5"/>
  <c r="N47" i="5"/>
  <c r="M47" i="5"/>
  <c r="DX47" i="5" l="1"/>
  <c r="DY47" i="5" s="1"/>
  <c r="AT47" i="5"/>
  <c r="BF47" i="5" s="1"/>
  <c r="R47" i="5"/>
  <c r="EC47" i="5" l="1"/>
  <c r="EB47" i="5"/>
  <c r="ED47" i="5"/>
  <c r="EG47" i="5"/>
  <c r="DZ47" i="5"/>
  <c r="EA47" i="5"/>
  <c r="EF47" i="5"/>
  <c r="EE47" i="5"/>
  <c r="U47" i="5"/>
  <c r="C47" i="5" s="1"/>
  <c r="S47" i="5"/>
  <c r="X47" i="5"/>
  <c r="EQ47" i="5" l="1"/>
  <c r="BE47" i="5"/>
  <c r="H48" i="5"/>
  <c r="N48" i="5"/>
  <c r="L48" i="5"/>
  <c r="M48" i="5"/>
  <c r="J48" i="5"/>
  <c r="K48" i="5"/>
  <c r="O48" i="5"/>
  <c r="I48" i="5"/>
  <c r="DX48" i="5" l="1"/>
  <c r="DY48" i="5" s="1"/>
  <c r="R48" i="5"/>
  <c r="AT48" i="5"/>
  <c r="BF48" i="5" s="1"/>
  <c r="EF48" i="5" l="1"/>
  <c r="EA48" i="5"/>
  <c r="EC48" i="5"/>
  <c r="DZ48" i="5"/>
  <c r="ED48" i="5"/>
  <c r="EE48" i="5"/>
  <c r="EB48" i="5"/>
  <c r="EG48" i="5"/>
  <c r="S48" i="5"/>
  <c r="U48" i="5"/>
  <c r="C48" i="5" s="1"/>
  <c r="X48" i="5"/>
  <c r="EQ48" i="5" l="1"/>
  <c r="BE48" i="5"/>
  <c r="H49" i="5"/>
  <c r="J49" i="5"/>
  <c r="M49" i="5"/>
  <c r="O49" i="5"/>
  <c r="L49" i="5"/>
  <c r="N49" i="5"/>
  <c r="K49" i="5"/>
  <c r="I49" i="5"/>
  <c r="DX49" i="5" l="1"/>
  <c r="DY49" i="5" s="1"/>
  <c r="R49" i="5"/>
  <c r="AT49" i="5"/>
  <c r="BF49" i="5" s="1"/>
  <c r="EB49" i="5" l="1"/>
  <c r="EA49" i="5"/>
  <c r="EE49" i="5"/>
  <c r="ED49" i="5"/>
  <c r="EG49" i="5"/>
  <c r="EF49" i="5"/>
  <c r="DZ49" i="5"/>
  <c r="EC49" i="5"/>
  <c r="U49" i="5"/>
  <c r="C49" i="5" s="1"/>
  <c r="S49" i="5"/>
  <c r="X49" i="5"/>
  <c r="EQ49" i="5" l="1"/>
  <c r="BE49" i="5"/>
  <c r="H50" i="5"/>
  <c r="J50" i="5"/>
  <c r="M50" i="5"/>
  <c r="K50" i="5"/>
  <c r="I50" i="5"/>
  <c r="L50" i="5"/>
  <c r="O50" i="5"/>
  <c r="N50" i="5"/>
  <c r="DX50" i="5" l="1"/>
  <c r="DY50" i="5" s="1"/>
  <c r="R50" i="5"/>
  <c r="AT50" i="5"/>
  <c r="BF50" i="5" s="1"/>
  <c r="EC50" i="5" l="1"/>
  <c r="EE50" i="5"/>
  <c r="DZ50" i="5"/>
  <c r="EA50" i="5"/>
  <c r="EF50" i="5"/>
  <c r="EB50" i="5"/>
  <c r="EG50" i="5"/>
  <c r="ED50" i="5"/>
  <c r="S50" i="5"/>
  <c r="U50" i="5"/>
  <c r="C50" i="5" s="1"/>
  <c r="X50" i="5"/>
  <c r="EQ50" i="5" l="1"/>
  <c r="BE50" i="5"/>
  <c r="H51" i="5"/>
  <c r="M51" i="5"/>
  <c r="J51" i="5"/>
  <c r="O51" i="5"/>
  <c r="L51" i="5"/>
  <c r="N51" i="5"/>
  <c r="K51" i="5"/>
  <c r="I51" i="5"/>
  <c r="DX51" i="5" l="1"/>
  <c r="DY51" i="5" s="1"/>
  <c r="AT51" i="5"/>
  <c r="BF51" i="5" s="1"/>
  <c r="R51" i="5"/>
  <c r="EB51" i="5" l="1"/>
  <c r="EE51" i="5"/>
  <c r="EF51" i="5"/>
  <c r="DZ51" i="5"/>
  <c r="ED51" i="5"/>
  <c r="EG51" i="5"/>
  <c r="EA51" i="5"/>
  <c r="EC51" i="5"/>
  <c r="S51" i="5"/>
  <c r="U51" i="5"/>
  <c r="C51" i="5" s="1"/>
  <c r="X51" i="5"/>
  <c r="EQ51" i="5" l="1"/>
  <c r="BE51" i="5"/>
  <c r="H52" i="5"/>
  <c r="L52" i="5"/>
  <c r="K52" i="5"/>
  <c r="O52" i="5"/>
  <c r="J52" i="5"/>
  <c r="M52" i="5"/>
  <c r="N52" i="5"/>
  <c r="I52" i="5"/>
  <c r="DX52" i="5" l="1"/>
  <c r="DY52" i="5" s="1"/>
  <c r="R52" i="5"/>
  <c r="AT52" i="5"/>
  <c r="BF52" i="5" s="1"/>
  <c r="EF52" i="5" l="1"/>
  <c r="EA52" i="5"/>
  <c r="ED52" i="5"/>
  <c r="DZ52" i="5"/>
  <c r="EC52" i="5"/>
  <c r="EE52" i="5"/>
  <c r="EG52" i="5"/>
  <c r="EB52" i="5"/>
  <c r="X52" i="5"/>
  <c r="U52" i="5"/>
  <c r="C52" i="5" s="1"/>
  <c r="S52" i="5"/>
  <c r="EQ52" i="5" l="1"/>
  <c r="BE52" i="5"/>
  <c r="H53" i="5"/>
  <c r="O53" i="5"/>
  <c r="M53" i="5"/>
  <c r="K53" i="5"/>
  <c r="I53" i="5"/>
  <c r="N53" i="5"/>
  <c r="J53" i="5"/>
  <c r="L53" i="5"/>
  <c r="DX53" i="5" l="1"/>
  <c r="DY53" i="5" s="1"/>
  <c r="R53" i="5"/>
  <c r="AT53" i="5"/>
  <c r="BF53" i="5" s="1"/>
  <c r="DZ53" i="5" l="1"/>
  <c r="EE53" i="5"/>
  <c r="EA53" i="5"/>
  <c r="EF53" i="5"/>
  <c r="ED53" i="5"/>
  <c r="EG53" i="5"/>
  <c r="EC53" i="5"/>
  <c r="EB53" i="5"/>
  <c r="X53" i="5"/>
  <c r="S53" i="5"/>
  <c r="U53" i="5"/>
  <c r="C53" i="5" s="1"/>
  <c r="EQ53" i="5" l="1"/>
  <c r="BE53" i="5"/>
  <c r="H54" i="5"/>
  <c r="M54" i="5"/>
  <c r="O54" i="5"/>
  <c r="J54" i="5"/>
  <c r="L54" i="5"/>
  <c r="K54" i="5"/>
  <c r="N54" i="5"/>
  <c r="I54" i="5"/>
  <c r="DX54" i="5" l="1"/>
  <c r="DY54" i="5" s="1"/>
  <c r="R54" i="5"/>
  <c r="AT54" i="5"/>
  <c r="BF54" i="5" s="1"/>
  <c r="EA54" i="5" l="1"/>
  <c r="EB54" i="5"/>
  <c r="EE54" i="5"/>
  <c r="DZ54" i="5"/>
  <c r="EF54" i="5"/>
  <c r="EG54" i="5"/>
  <c r="EC54" i="5"/>
  <c r="ED54" i="5"/>
  <c r="X54" i="5"/>
  <c r="S54" i="5"/>
  <c r="U54" i="5"/>
  <c r="C54" i="5" s="1"/>
  <c r="EQ54" i="5" l="1"/>
  <c r="BE54" i="5"/>
  <c r="H55" i="5"/>
  <c r="M55" i="5"/>
  <c r="O55" i="5"/>
  <c r="J55" i="5"/>
  <c r="N55" i="5"/>
  <c r="I55" i="5"/>
  <c r="L55" i="5"/>
  <c r="K55" i="5"/>
  <c r="DX55" i="5" l="1"/>
  <c r="DY55" i="5" s="1"/>
  <c r="AT55" i="5"/>
  <c r="BF55" i="5" s="1"/>
  <c r="R55" i="5"/>
  <c r="EE55" i="5" l="1"/>
  <c r="EA55" i="5"/>
  <c r="EB55" i="5"/>
  <c r="EC55" i="5"/>
  <c r="DZ55" i="5"/>
  <c r="ED55" i="5"/>
  <c r="EG55" i="5"/>
  <c r="EF55" i="5"/>
  <c r="X55" i="5"/>
  <c r="S55" i="5"/>
  <c r="U55" i="5"/>
  <c r="C55" i="5" s="1"/>
  <c r="EQ55" i="5" l="1"/>
  <c r="BE55" i="5"/>
  <c r="H56" i="5"/>
  <c r="M56" i="5"/>
  <c r="J56" i="5"/>
  <c r="I56" i="5"/>
  <c r="L56" i="5"/>
  <c r="O56" i="5"/>
  <c r="N56" i="5"/>
  <c r="K56" i="5"/>
  <c r="DX56" i="5" l="1"/>
  <c r="DY56" i="5" s="1"/>
  <c r="AT56" i="5"/>
  <c r="BF56" i="5" s="1"/>
  <c r="R56" i="5"/>
  <c r="ED56" i="5" l="1"/>
  <c r="EC56" i="5"/>
  <c r="DZ56" i="5"/>
  <c r="EF56" i="5"/>
  <c r="EB56" i="5"/>
  <c r="EA56" i="5"/>
  <c r="EE56" i="5"/>
  <c r="EG56" i="5"/>
  <c r="S56" i="5"/>
  <c r="U56" i="5"/>
  <c r="C56" i="5" s="1"/>
  <c r="X56" i="5"/>
  <c r="EQ56" i="5" l="1"/>
  <c r="BE56" i="5"/>
  <c r="H57" i="5"/>
  <c r="L57" i="5"/>
  <c r="J57" i="5"/>
  <c r="M57" i="5"/>
  <c r="O57" i="5"/>
  <c r="K57" i="5"/>
  <c r="I57" i="5"/>
  <c r="N57" i="5"/>
  <c r="DX57" i="5" l="1"/>
  <c r="DY57" i="5" s="1"/>
  <c r="R57" i="5"/>
  <c r="AT57" i="5"/>
  <c r="BF57" i="5" s="1"/>
  <c r="DZ57" i="5" l="1"/>
  <c r="EB57" i="5"/>
  <c r="EF57" i="5"/>
  <c r="EG57" i="5"/>
  <c r="EC57" i="5"/>
  <c r="EE57" i="5"/>
  <c r="ED57" i="5"/>
  <c r="EA57" i="5"/>
  <c r="X57" i="5"/>
  <c r="U57" i="5"/>
  <c r="C57" i="5" s="1"/>
  <c r="S57" i="5"/>
  <c r="EQ57" i="5" l="1"/>
  <c r="BE57" i="5"/>
  <c r="H58" i="5"/>
  <c r="O58" i="5"/>
  <c r="K58" i="5"/>
  <c r="L58" i="5"/>
  <c r="J58" i="5"/>
  <c r="N58" i="5"/>
  <c r="M58" i="5"/>
  <c r="I58" i="5"/>
  <c r="DX58" i="5" l="1"/>
  <c r="DY58" i="5" s="1"/>
  <c r="R58" i="5"/>
  <c r="AT58" i="5"/>
  <c r="BF58" i="5" s="1"/>
  <c r="EG58" i="5" l="1"/>
  <c r="EB58" i="5"/>
  <c r="EE58" i="5"/>
  <c r="DZ58" i="5"/>
  <c r="EC58" i="5"/>
  <c r="EA58" i="5"/>
  <c r="ED58" i="5"/>
  <c r="EF58" i="5"/>
  <c r="X58" i="5"/>
  <c r="S58" i="5"/>
  <c r="U58" i="5"/>
  <c r="C58" i="5" s="1"/>
  <c r="EQ58" i="5" l="1"/>
  <c r="BE58" i="5"/>
  <c r="H59" i="5"/>
  <c r="J59" i="5"/>
  <c r="I59" i="5"/>
  <c r="K59" i="5"/>
  <c r="L59" i="5"/>
  <c r="M59" i="5"/>
  <c r="N59" i="5"/>
  <c r="O59" i="5"/>
  <c r="DX59" i="5" l="1"/>
  <c r="DY59" i="5" s="1"/>
  <c r="AT59" i="5"/>
  <c r="BF59" i="5" s="1"/>
  <c r="R59" i="5"/>
  <c r="ED59" i="5" l="1"/>
  <c r="EB59" i="5"/>
  <c r="DZ59" i="5"/>
  <c r="EC59" i="5"/>
  <c r="EA59" i="5"/>
  <c r="EG59" i="5"/>
  <c r="EE59" i="5"/>
  <c r="EF59" i="5"/>
  <c r="X59" i="5"/>
  <c r="U59" i="5"/>
  <c r="C59" i="5" s="1"/>
  <c r="S59" i="5"/>
  <c r="EQ59" i="5" l="1"/>
  <c r="BE59" i="5"/>
  <c r="H60" i="5"/>
  <c r="O60" i="5"/>
  <c r="M60" i="5"/>
  <c r="K60" i="5"/>
  <c r="J60" i="5"/>
  <c r="N60" i="5"/>
  <c r="L60" i="5"/>
  <c r="I60" i="5"/>
  <c r="DX60" i="5" l="1"/>
  <c r="DY60" i="5" s="1"/>
  <c r="R60" i="5"/>
  <c r="AT60" i="5"/>
  <c r="BF60" i="5" s="1"/>
  <c r="EA60" i="5" l="1"/>
  <c r="EF60" i="5"/>
  <c r="DZ60" i="5"/>
  <c r="EB60" i="5"/>
  <c r="EG60" i="5"/>
  <c r="EC60" i="5"/>
  <c r="EE60" i="5"/>
  <c r="ED60" i="5"/>
  <c r="X60" i="5"/>
  <c r="U60" i="5"/>
  <c r="C60" i="5" s="1"/>
  <c r="S60" i="5"/>
  <c r="EQ60" i="5" l="1"/>
  <c r="BE60" i="5"/>
  <c r="H61" i="5"/>
  <c r="K61" i="5"/>
  <c r="O61" i="5"/>
  <c r="I61" i="5"/>
  <c r="J61" i="5"/>
  <c r="L61" i="5"/>
  <c r="N61" i="5"/>
  <c r="M61" i="5"/>
  <c r="DX61" i="5" l="1"/>
  <c r="DY61" i="5" s="1"/>
  <c r="AT61" i="5"/>
  <c r="BF61" i="5" s="1"/>
  <c r="R61" i="5"/>
  <c r="EE61" i="5" l="1"/>
  <c r="EC61" i="5"/>
  <c r="ED61" i="5"/>
  <c r="EG61" i="5"/>
  <c r="EB61" i="5"/>
  <c r="EA61" i="5"/>
  <c r="DZ61" i="5"/>
  <c r="EF61" i="5"/>
  <c r="S61" i="5"/>
  <c r="U61" i="5"/>
  <c r="C61" i="5" s="1"/>
  <c r="X61" i="5"/>
  <c r="EQ61" i="5" l="1"/>
  <c r="BE61" i="5"/>
  <c r="H62" i="5"/>
  <c r="M62" i="5"/>
  <c r="I62" i="5"/>
  <c r="J62" i="5"/>
  <c r="O62" i="5"/>
  <c r="N62" i="5"/>
  <c r="L62" i="5"/>
  <c r="K62" i="5"/>
  <c r="DX62" i="5" l="1"/>
  <c r="DY62" i="5" s="1"/>
  <c r="R62" i="5"/>
  <c r="AT62" i="5"/>
  <c r="BF62" i="5" s="1"/>
  <c r="ED62" i="5" l="1"/>
  <c r="DZ62" i="5"/>
  <c r="EA62" i="5"/>
  <c r="EB62" i="5"/>
  <c r="EE62" i="5"/>
  <c r="EG62" i="5"/>
  <c r="EF62" i="5"/>
  <c r="EC62" i="5"/>
  <c r="U62" i="5"/>
  <c r="C62" i="5" s="1"/>
  <c r="S62" i="5"/>
  <c r="X62" i="5"/>
  <c r="EQ62" i="5" l="1"/>
  <c r="BE62" i="5"/>
  <c r="H63" i="5"/>
  <c r="M63" i="5"/>
  <c r="J63" i="5"/>
  <c r="I63" i="5"/>
  <c r="N63" i="5"/>
  <c r="K63" i="5"/>
  <c r="L63" i="5"/>
  <c r="O63" i="5"/>
  <c r="DX63" i="5" l="1"/>
  <c r="DY63" i="5" s="1"/>
  <c r="AT63" i="5"/>
  <c r="BF63" i="5" s="1"/>
  <c r="R63" i="5"/>
  <c r="EE63" i="5" l="1"/>
  <c r="EF63" i="5"/>
  <c r="DZ63" i="5"/>
  <c r="EC63" i="5"/>
  <c r="EG63" i="5"/>
  <c r="EA63" i="5"/>
  <c r="EB63" i="5"/>
  <c r="ED63" i="5"/>
  <c r="X63" i="5"/>
  <c r="U63" i="5"/>
  <c r="C63" i="5" s="1"/>
  <c r="S63" i="5"/>
  <c r="EQ63" i="5" l="1"/>
  <c r="BE63" i="5"/>
  <c r="H64" i="5"/>
  <c r="L64" i="5"/>
  <c r="J64" i="5"/>
  <c r="O64" i="5"/>
  <c r="K64" i="5"/>
  <c r="M64" i="5"/>
  <c r="N64" i="5"/>
  <c r="I64" i="5"/>
  <c r="DX64" i="5" l="1"/>
  <c r="DY64" i="5" s="1"/>
  <c r="R64" i="5"/>
  <c r="AT64" i="5"/>
  <c r="BF64" i="5" s="1"/>
  <c r="EF64" i="5" l="1"/>
  <c r="EB64" i="5"/>
  <c r="EE64" i="5"/>
  <c r="ED64" i="5"/>
  <c r="DZ64" i="5"/>
  <c r="EG64" i="5"/>
  <c r="EC64" i="5"/>
  <c r="EA64" i="5"/>
  <c r="X64" i="5"/>
  <c r="U64" i="5"/>
  <c r="C64" i="5" s="1"/>
  <c r="S64" i="5"/>
  <c r="EQ64" i="5" l="1"/>
  <c r="BE64" i="5"/>
  <c r="H65" i="5"/>
  <c r="O65" i="5"/>
  <c r="N65" i="5"/>
  <c r="L65" i="5"/>
  <c r="J65" i="5"/>
  <c r="I65" i="5"/>
  <c r="K65" i="5"/>
  <c r="M65" i="5"/>
  <c r="DX65" i="5" l="1"/>
  <c r="DY65" i="5" s="1"/>
  <c r="R65" i="5"/>
  <c r="AT65" i="5"/>
  <c r="BF65" i="5" s="1"/>
  <c r="EF65" i="5" l="1"/>
  <c r="EG65" i="5"/>
  <c r="EA65" i="5"/>
  <c r="ED65" i="5"/>
  <c r="DZ65" i="5"/>
  <c r="EB65" i="5"/>
  <c r="EE65" i="5"/>
  <c r="EC65" i="5"/>
  <c r="S65" i="5"/>
  <c r="U65" i="5"/>
  <c r="C65" i="5" s="1"/>
  <c r="X65" i="5"/>
  <c r="EQ65" i="5" l="1"/>
  <c r="BE65" i="5"/>
  <c r="H66" i="5"/>
  <c r="K66" i="5"/>
  <c r="J66" i="5"/>
  <c r="I66" i="5"/>
  <c r="L66" i="5"/>
  <c r="O66" i="5"/>
  <c r="N66" i="5"/>
  <c r="M66" i="5"/>
  <c r="DX66" i="5" l="1"/>
  <c r="DY66" i="5" s="1"/>
  <c r="AT66" i="5"/>
  <c r="BF66" i="5" s="1"/>
  <c r="R66" i="5"/>
  <c r="EC66" i="5" l="1"/>
  <c r="EB66" i="5"/>
  <c r="EF66" i="5"/>
  <c r="EE66" i="5"/>
  <c r="EA66" i="5"/>
  <c r="DZ66" i="5"/>
  <c r="ED66" i="5"/>
  <c r="EG66" i="5"/>
  <c r="X66" i="5"/>
  <c r="U66" i="5"/>
  <c r="C66" i="5" s="1"/>
  <c r="S66" i="5"/>
  <c r="EQ66" i="5" l="1"/>
  <c r="BE66" i="5"/>
  <c r="H67" i="5"/>
  <c r="N67" i="5"/>
  <c r="K67" i="5"/>
  <c r="O67" i="5"/>
  <c r="M67" i="5"/>
  <c r="J67" i="5"/>
  <c r="I67" i="5"/>
  <c r="L67" i="5"/>
  <c r="DX67" i="5" l="1"/>
  <c r="DY67" i="5" s="1"/>
  <c r="R67" i="5"/>
  <c r="AT67" i="5"/>
  <c r="BF67" i="5" s="1"/>
  <c r="DZ67" i="5" l="1"/>
  <c r="EE67" i="5"/>
  <c r="EB67" i="5"/>
  <c r="ED67" i="5"/>
  <c r="EF67" i="5"/>
  <c r="EG67" i="5"/>
  <c r="EC67" i="5"/>
  <c r="EA67" i="5"/>
  <c r="U67" i="5"/>
  <c r="C67" i="5" s="1"/>
  <c r="S67" i="5"/>
  <c r="X67" i="5"/>
  <c r="EQ67" i="5" l="1"/>
  <c r="BE67" i="5"/>
  <c r="H68" i="5"/>
  <c r="M68" i="5"/>
  <c r="J68" i="5"/>
  <c r="K68" i="5"/>
  <c r="L68" i="5"/>
  <c r="I68" i="5"/>
  <c r="O68" i="5"/>
  <c r="N68" i="5"/>
  <c r="DX68" i="5" l="1"/>
  <c r="DY68" i="5" s="1"/>
  <c r="AT68" i="5"/>
  <c r="BF68" i="5" s="1"/>
  <c r="R68" i="5"/>
  <c r="ED68" i="5" l="1"/>
  <c r="EF68" i="5"/>
  <c r="EB68" i="5"/>
  <c r="EC68" i="5"/>
  <c r="DZ68" i="5"/>
  <c r="EE68" i="5"/>
  <c r="EA68" i="5"/>
  <c r="EG68" i="5"/>
  <c r="S68" i="5"/>
  <c r="U68" i="5"/>
  <c r="C68" i="5" s="1"/>
  <c r="X68" i="5"/>
  <c r="EQ68" i="5" l="1"/>
  <c r="BE68" i="5"/>
  <c r="H69" i="5"/>
  <c r="O69" i="5"/>
  <c r="K69" i="5"/>
  <c r="J69" i="5"/>
  <c r="M69" i="5"/>
  <c r="L69" i="5"/>
  <c r="N69" i="5"/>
  <c r="I69" i="5"/>
  <c r="DX69" i="5" l="1"/>
  <c r="DY69" i="5" s="1"/>
  <c r="R69" i="5"/>
  <c r="AT69" i="5"/>
  <c r="BF69" i="5" s="1"/>
  <c r="EG69" i="5" l="1"/>
  <c r="EE69" i="5"/>
  <c r="DZ69" i="5"/>
  <c r="EB69" i="5"/>
  <c r="EF69" i="5"/>
  <c r="EC69" i="5"/>
  <c r="EA69" i="5"/>
  <c r="ED69" i="5"/>
  <c r="S69" i="5"/>
  <c r="U69" i="5"/>
  <c r="C69" i="5" s="1"/>
  <c r="X69" i="5"/>
  <c r="EQ69" i="5" l="1" a="1"/>
  <c r="EQ69" i="5" s="1"/>
  <c r="BE69" i="5"/>
  <c r="H70" i="5"/>
  <c r="J70" i="5"/>
  <c r="M70" i="5"/>
  <c r="O70" i="5"/>
  <c r="I70" i="5"/>
  <c r="K70" i="5"/>
  <c r="N70" i="5"/>
  <c r="L70" i="5"/>
  <c r="DX70" i="5" l="1"/>
  <c r="DY70" i="5" s="1"/>
  <c r="R70" i="5"/>
  <c r="AT70" i="5"/>
  <c r="BF70" i="5" s="1"/>
  <c r="EB70" i="5" l="1"/>
  <c r="EG70" i="5"/>
  <c r="ED70" i="5"/>
  <c r="DZ70" i="5"/>
  <c r="EE70" i="5"/>
  <c r="EA70" i="5"/>
  <c r="EF70" i="5"/>
  <c r="EC70" i="5"/>
  <c r="S70" i="5"/>
  <c r="U70" i="5"/>
  <c r="C70" i="5" s="1"/>
  <c r="X70" i="5"/>
  <c r="EQ70" i="5" l="1"/>
  <c r="BE70" i="5"/>
  <c r="H71" i="5"/>
  <c r="O71" i="5"/>
  <c r="L71" i="5"/>
  <c r="N71" i="5"/>
  <c r="M71" i="5"/>
  <c r="I71" i="5"/>
  <c r="J71" i="5"/>
  <c r="K71" i="5"/>
  <c r="DX71" i="5" l="1"/>
  <c r="DY71" i="5" s="1"/>
  <c r="R71" i="5"/>
  <c r="AT71" i="5"/>
  <c r="BF71" i="5" s="1"/>
  <c r="EG71" i="5" l="1"/>
  <c r="EC71" i="5"/>
  <c r="EA71" i="5"/>
  <c r="EF71" i="5"/>
  <c r="EE71" i="5"/>
  <c r="ED71" i="5"/>
  <c r="DZ71" i="5"/>
  <c r="EB71" i="5"/>
  <c r="U71" i="5"/>
  <c r="C71" i="5" s="1"/>
  <c r="S71" i="5"/>
  <c r="X71" i="5"/>
  <c r="EQ71" i="5" l="1"/>
  <c r="BE71" i="5"/>
  <c r="H72" i="5"/>
  <c r="K72" i="5"/>
  <c r="O72" i="5"/>
  <c r="M72" i="5"/>
  <c r="I72" i="5"/>
  <c r="J72" i="5"/>
  <c r="L72" i="5"/>
  <c r="N72" i="5"/>
  <c r="DX72" i="5" l="1"/>
  <c r="DY72" i="5" s="1"/>
  <c r="R72" i="5"/>
  <c r="AT72" i="5"/>
  <c r="BF72" i="5" s="1"/>
  <c r="EG72" i="5" l="1"/>
  <c r="EC72" i="5"/>
  <c r="EF72" i="5"/>
  <c r="DZ72" i="5"/>
  <c r="EB72" i="5"/>
  <c r="EE72" i="5"/>
  <c r="EA72" i="5"/>
  <c r="ED72" i="5"/>
  <c r="U72" i="5"/>
  <c r="C72" i="5" s="1"/>
  <c r="S72" i="5"/>
  <c r="X72" i="5"/>
  <c r="EQ72" i="5" l="1"/>
  <c r="BE72" i="5"/>
  <c r="H73" i="5"/>
  <c r="O73" i="5"/>
  <c r="L73" i="5"/>
  <c r="J73" i="5"/>
  <c r="M73" i="5"/>
  <c r="K73" i="5"/>
  <c r="I73" i="5"/>
  <c r="N73" i="5"/>
  <c r="DX73" i="5" l="1"/>
  <c r="DY73" i="5" s="1"/>
  <c r="AT73" i="5"/>
  <c r="BF73" i="5" s="1"/>
  <c r="R73" i="5"/>
  <c r="EE73" i="5" l="1"/>
  <c r="EF73" i="5"/>
  <c r="DZ73" i="5"/>
  <c r="EC73" i="5"/>
  <c r="ED73" i="5"/>
  <c r="EB73" i="5"/>
  <c r="EG73" i="5"/>
  <c r="EA73" i="5"/>
  <c r="X73" i="5"/>
  <c r="U73" i="5"/>
  <c r="C73" i="5" s="1"/>
  <c r="S73" i="5"/>
  <c r="EQ73" i="5" l="1"/>
  <c r="BE73" i="5"/>
  <c r="H74" i="5"/>
  <c r="O74" i="5"/>
  <c r="L74" i="5"/>
  <c r="J74" i="5"/>
  <c r="M74" i="5"/>
  <c r="N74" i="5"/>
  <c r="K74" i="5"/>
  <c r="I74" i="5"/>
  <c r="DX74" i="5" l="1"/>
  <c r="DY74" i="5" s="1"/>
  <c r="R74" i="5"/>
  <c r="B4" i="5" s="1"/>
  <c r="AT74" i="5"/>
  <c r="B17" i="5" s="1" a="1"/>
  <c r="B17" i="5" s="1"/>
  <c r="BF74" i="5" l="1"/>
  <c r="EE74" i="5"/>
  <c r="ED74" i="5"/>
  <c r="EG74" i="5"/>
  <c r="EF74" i="5"/>
  <c r="EA74" i="5"/>
  <c r="EB74" i="5"/>
  <c r="DZ74" i="5"/>
  <c r="EC74" i="5"/>
  <c r="U74" i="5"/>
  <c r="C74" i="5" s="1"/>
  <c r="C1" i="5" s="1"/>
  <c r="S74" i="5"/>
  <c r="EQ74" i="5" l="1"/>
  <c r="B6" i="5" s="1"/>
  <c r="B2" i="5" s="1"/>
  <c r="BE74" i="5"/>
  <c r="X7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Walters, Carl</author>
  </authors>
  <commentList>
    <comment ref="CT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Walters, Carl:</t>
        </r>
        <r>
          <rPr>
            <sz val="9"/>
            <color indexed="81"/>
            <rFont val="Tahoma"/>
            <family val="2"/>
          </rPr>
          <t xml:space="preserve">
estimated, later years set to these four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Walters, Carl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Walters, Carl:</t>
        </r>
        <r>
          <rPr>
            <sz val="9"/>
            <color indexed="81"/>
            <rFont val="Tahoma"/>
            <family val="2"/>
          </rPr>
          <t xml:space="preserve">
estimated, later years set to these four values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<sst xmlns="http://schemas.openxmlformats.org/spreadsheetml/2006/main" count="136" uniqueCount="134">
  <si>
    <t>SSQ</t>
  </si>
  <si>
    <t>pmad_a2</t>
  </si>
  <si>
    <t>pmad_a3</t>
  </si>
  <si>
    <t>pmad_a4</t>
  </si>
  <si>
    <t>pmad_a5</t>
  </si>
  <si>
    <t>pmad_a6</t>
  </si>
  <si>
    <t>pmad_a7</t>
  </si>
  <si>
    <t>wa2</t>
  </si>
  <si>
    <t>predSBt</t>
  </si>
  <si>
    <t>Ma2</t>
  </si>
  <si>
    <t>Ma3</t>
  </si>
  <si>
    <t>Ma4</t>
  </si>
  <si>
    <t>Ma5</t>
  </si>
  <si>
    <t>Ma6</t>
  </si>
  <si>
    <t>Ma7</t>
  </si>
  <si>
    <t>pred_na2</t>
  </si>
  <si>
    <t>pred_na3</t>
  </si>
  <si>
    <t>pred_na4</t>
  </si>
  <si>
    <t>pred_na5</t>
  </si>
  <si>
    <t>pred_na6</t>
  </si>
  <si>
    <t>pred_na7</t>
  </si>
  <si>
    <t>pred_na8</t>
  </si>
  <si>
    <t>pred_na9</t>
  </si>
  <si>
    <t>pred_na10</t>
  </si>
  <si>
    <t>Ma8</t>
  </si>
  <si>
    <t>Ma9</t>
  </si>
  <si>
    <t>Ma10</t>
  </si>
  <si>
    <t>wa3</t>
  </si>
  <si>
    <t>wa4</t>
  </si>
  <si>
    <t>wa5</t>
  </si>
  <si>
    <t>wa6</t>
  </si>
  <si>
    <t>wa7</t>
  </si>
  <si>
    <t>wa8</t>
  </si>
  <si>
    <t>wa9</t>
  </si>
  <si>
    <t>wa10</t>
  </si>
  <si>
    <t>pmad_a8</t>
  </si>
  <si>
    <t>pmad_a9</t>
  </si>
  <si>
    <t>pmad_a10</t>
  </si>
  <si>
    <t>obs_Sa2</t>
  </si>
  <si>
    <t>obs_Sa3</t>
  </si>
  <si>
    <t>obs_Sa4</t>
  </si>
  <si>
    <t>obs_Sa5</t>
  </si>
  <si>
    <t>obs_Sa6</t>
  </si>
  <si>
    <t>obs_Sa7</t>
  </si>
  <si>
    <t>obs_Sa8</t>
  </si>
  <si>
    <t>obs_Sa9</t>
  </si>
  <si>
    <t>obs_Sa10</t>
  </si>
  <si>
    <t>vpa ssb</t>
  </si>
  <si>
    <t>Relm</t>
  </si>
  <si>
    <t>obs_Ca2</t>
  </si>
  <si>
    <t>obs_Ca3</t>
  </si>
  <si>
    <t>obs_Ca4</t>
  </si>
  <si>
    <t>obs_Ca5</t>
  </si>
  <si>
    <t>obs_Ca6</t>
  </si>
  <si>
    <t>obs_Ca7</t>
  </si>
  <si>
    <t>obs_Ca8</t>
  </si>
  <si>
    <t>obs_Ca9</t>
  </si>
  <si>
    <t>obs_Ca10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</si>
  <si>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</si>
  <si>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</si>
  <si>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</si>
  <si>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</si>
  <si>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</si>
  <si>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</si>
  <si>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</si>
  <si>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</si>
  <si>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</si>
  <si>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SSB raw</t>
  </si>
  <si>
    <t>Ssrelm</t>
  </si>
  <si>
    <t>Naged2</t>
  </si>
  <si>
    <t>Naged3</t>
  </si>
  <si>
    <t>Naged4</t>
  </si>
  <si>
    <t>Naged5</t>
  </si>
  <si>
    <t>Naged6</t>
  </si>
  <si>
    <t>Naged7</t>
  </si>
  <si>
    <t>Naged8</t>
  </si>
  <si>
    <t>Naged9</t>
  </si>
  <si>
    <t>Naged10</t>
  </si>
  <si>
    <t>pNpred4</t>
  </si>
  <si>
    <t>pNpred5</t>
  </si>
  <si>
    <t>pNpred6</t>
  </si>
  <si>
    <t>pNpred7</t>
  </si>
  <si>
    <t>pNpred8</t>
  </si>
  <si>
    <t>pNpred9</t>
  </si>
  <si>
    <t>pNpred10</t>
  </si>
  <si>
    <t>pNpred2</t>
  </si>
  <si>
    <t>pNpred3</t>
  </si>
  <si>
    <t>pNaged2</t>
  </si>
  <si>
    <t>pNaged3</t>
  </si>
  <si>
    <t>pNaged4</t>
  </si>
  <si>
    <t>pNaged5</t>
  </si>
  <si>
    <t>pNaged6</t>
  </si>
  <si>
    <t>pNaged7</t>
  </si>
  <si>
    <t>pNaged8</t>
  </si>
  <si>
    <t>pNaged9</t>
  </si>
  <si>
    <t>pNaged10</t>
  </si>
  <si>
    <t>Lnbin</t>
  </si>
  <si>
    <t>Neff</t>
  </si>
  <si>
    <t>survey_sbt</t>
  </si>
  <si>
    <t>Zt</t>
  </si>
  <si>
    <t>lnq</t>
  </si>
  <si>
    <t>q</t>
  </si>
  <si>
    <t>q*predSBt</t>
  </si>
  <si>
    <t>pqm</t>
  </si>
  <si>
    <t>pqsd</t>
  </si>
  <si>
    <t>qprior</t>
  </si>
  <si>
    <t>qfree</t>
  </si>
  <si>
    <t>survey_cat_Multinomial</t>
  </si>
  <si>
    <t>SSL base Q</t>
  </si>
  <si>
    <t>SSLQmult</t>
  </si>
  <si>
    <t>SSL Q</t>
  </si>
  <si>
    <t>Wbar</t>
  </si>
  <si>
    <t>Su</t>
  </si>
  <si>
    <t>tanasMsl</t>
  </si>
  <si>
    <t>Years</t>
  </si>
  <si>
    <t>survey_cat_qa (lognormal)</t>
  </si>
  <si>
    <t>Mtot</t>
  </si>
  <si>
    <t>vulB</t>
  </si>
  <si>
    <t>Tot Yield</t>
  </si>
  <si>
    <t>Alt Ut</t>
  </si>
  <si>
    <t>Ussl</t>
  </si>
  <si>
    <t>alt Ussl</t>
  </si>
  <si>
    <t>alt Mtot</t>
  </si>
  <si>
    <t>alt vulB</t>
  </si>
  <si>
    <t>Ssvulb</t>
  </si>
  <si>
    <t>VPA est M</t>
  </si>
  <si>
    <t>Maxussl</t>
  </si>
  <si>
    <t>vulnPred</t>
  </si>
  <si>
    <t>Naged</t>
  </si>
  <si>
    <t>ahv</t>
  </si>
  <si>
    <t>have</t>
  </si>
  <si>
    <t>sdve</t>
  </si>
  <si>
    <t xml:space="preserve">sdv </t>
  </si>
  <si>
    <t>old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</si>
</sst>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0"/>
    <numFmt numFmtId="166" formatCode="0.00000"/>
    <numFmt numFmtId="167" formatCode="0.000"/>
    <numFmt numFmtId="168" formatCode="0.0"/>
  </numFmts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6" fillId="5" borderId="0" applyNumberFormat="0" applyBorder="0" applyAlignment="0" applyProtection="0"/>
    <xf numFmtId="0" fontId="8" fillId="6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0" borderId="0" xfId="2"/>
    <xf numFmtId="2" fontId="1" fillId="2" borderId="0" xfId="1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1" fillId="2" borderId="0" xfId="1" applyNumberFormat="1"/>
    <xf numFmtId="11" fontId="3" fillId="0" borderId="0" xfId="2" applyNumberFormat="1"/>
    <xf numFmtId="165" fontId="3" fillId="0" borderId="0" xfId="2" applyNumberFormat="1"/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1" fillId="2" borderId="0" xfId="1"/>
    <xf numFmtId="0" fontId="0" fillId="0" borderId="0" xfId="0" applyAlignment="1">
      <alignment horizontal="left"/>
    </xf>
    <xf numFmtId="1" fontId="1" fillId="2" borderId="0" xfId="1" applyNumberFormat="1" applyAlignment="1">
      <alignment horizontal="center"/>
    </xf>
    <xf numFmtId="164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5" fillId="0" borderId="0" xfId="0" applyFont="1"/>
    <xf numFmtId="2" fontId="4" fillId="4" borderId="0" xfId="3" applyNumberFormat="1" applyFill="1" applyAlignment="1">
      <alignment horizontal="center"/>
    </xf>
    <xf numFmtId="2" fontId="0" fillId="0" borderId="0" xfId="0" applyNumberFormat="1"/>
    <xf numFmtId="166" fontId="0" fillId="0" borderId="0" xfId="0" applyNumberFormat="1" applyAlignment="1">
      <alignment horizontal="left"/>
    </xf>
    <xf numFmtId="0" fontId="7" fillId="0" borderId="0" xfId="2" applyFont="1"/>
    <xf numFmtId="164" fontId="6" fillId="5" borderId="0" xfId="4" applyNumberFormat="1"/>
    <xf numFmtId="168" fontId="0" fillId="0" borderId="0" xfId="0" applyNumberFormat="1" applyAlignment="1">
      <alignment horizontal="center"/>
    </xf>
    <xf numFmtId="2" fontId="8" fillId="6" borderId="0" xfId="5" applyNumberFormat="1" applyAlignment="1">
      <alignment horizontal="center"/>
    </xf>
    <xf numFmtId="0" fontId="2" fillId="0" borderId="0" xfId="0" applyFont="1"/>
    <xf numFmtId="0" fontId="9" fillId="0" borderId="0" xfId="0" applyFont="1"/>
    <xf numFmtId="2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/>
    <xf numFmtId="166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</cellXfs>
  <cellStyles count="6">
    <cellStyle name="20% - Accent1" xfId="5" builtinId="30"/>
    <cellStyle name="60% - Accent3" xfId="4" builtinId="40"/>
    <cellStyle name="Explanatory Text" xfId="2" builtinId="5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Ut-multinomial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herring!$E$3:$E$74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herring!$X$3:$X$75</c:f>
              <c:numCache>
                <c:formatCode>0.00</c:formatCode>
                <c:ptCount val="73"/>
                <c:pt idx="0" formatCode="0.00000">
                  <c:v>0.89155297065973105</c:v>
                </c:pt>
                <c:pt idx="1">
                  <c:v>0.99</c:v>
                </c:pt>
                <c:pt idx="2">
                  <c:v>8.8866004731268902E-4</c:v>
                </c:pt>
                <c:pt idx="3">
                  <c:v>0.98992808750632089</c:v>
                </c:pt>
                <c:pt idx="4">
                  <c:v>0.35501553282622139</c:v>
                </c:pt>
                <c:pt idx="5">
                  <c:v>0.56879152227974084</c:v>
                </c:pt>
                <c:pt idx="6">
                  <c:v>7.602019791662569E-2</c:v>
                </c:pt>
                <c:pt idx="7">
                  <c:v>2.0785721296608689E-2</c:v>
                </c:pt>
                <c:pt idx="8">
                  <c:v>0.99</c:v>
                </c:pt>
                <c:pt idx="9">
                  <c:v>0.99</c:v>
                </c:pt>
                <c:pt idx="10">
                  <c:v>0.99</c:v>
                </c:pt>
                <c:pt idx="11">
                  <c:v>0.94155938594892863</c:v>
                </c:pt>
                <c:pt idx="12">
                  <c:v>0.743768774874076</c:v>
                </c:pt>
                <c:pt idx="13">
                  <c:v>0.91232793714799298</c:v>
                </c:pt>
                <c:pt idx="14">
                  <c:v>0.99</c:v>
                </c:pt>
                <c:pt idx="15">
                  <c:v>0.99</c:v>
                </c:pt>
                <c:pt idx="16">
                  <c:v>0.99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0.13806563214442796</c:v>
                </c:pt>
                <c:pt idx="22">
                  <c:v>0.46217856639135085</c:v>
                </c:pt>
                <c:pt idx="23">
                  <c:v>0.43983815369937279</c:v>
                </c:pt>
                <c:pt idx="24">
                  <c:v>0.38281397381180077</c:v>
                </c:pt>
                <c:pt idx="25">
                  <c:v>0.4260668842538094</c:v>
                </c:pt>
                <c:pt idx="26">
                  <c:v>0.3654042136102838</c:v>
                </c:pt>
                <c:pt idx="27">
                  <c:v>0.31633751941700028</c:v>
                </c:pt>
                <c:pt idx="28">
                  <c:v>0.22669924090012911</c:v>
                </c:pt>
                <c:pt idx="29">
                  <c:v>5.4592537353044035E-2</c:v>
                </c:pt>
                <c:pt idx="30">
                  <c:v>0.12559868953824826</c:v>
                </c:pt>
                <c:pt idx="31">
                  <c:v>0.12749130618757748</c:v>
                </c:pt>
                <c:pt idx="32">
                  <c:v>0.28865499527202937</c:v>
                </c:pt>
                <c:pt idx="33">
                  <c:v>0.24485835959609184</c:v>
                </c:pt>
                <c:pt idx="34">
                  <c:v>5.4750746450506422E-3</c:v>
                </c:pt>
                <c:pt idx="35">
                  <c:v>4.8369223721612719E-3</c:v>
                </c:pt>
                <c:pt idx="36">
                  <c:v>0.39286501841244137</c:v>
                </c:pt>
                <c:pt idx="37">
                  <c:v>0.18847346054919842</c:v>
                </c:pt>
                <c:pt idx="38">
                  <c:v>0.20358427045068755</c:v>
                </c:pt>
                <c:pt idx="39">
                  <c:v>0.15895522488560748</c:v>
                </c:pt>
                <c:pt idx="40">
                  <c:v>0.18917182245405376</c:v>
                </c:pt>
                <c:pt idx="41">
                  <c:v>7.9209055050388333E-2</c:v>
                </c:pt>
                <c:pt idx="42">
                  <c:v>0.12085266506898204</c:v>
                </c:pt>
                <c:pt idx="43">
                  <c:v>0.15101894523761675</c:v>
                </c:pt>
                <c:pt idx="44">
                  <c:v>5.0903754382614574E-2</c:v>
                </c:pt>
                <c:pt idx="45">
                  <c:v>2.0784017774358721E-2</c:v>
                </c:pt>
                <c:pt idx="46">
                  <c:v>0.13975513207769968</c:v>
                </c:pt>
                <c:pt idx="47">
                  <c:v>0.16283074392317987</c:v>
                </c:pt>
                <c:pt idx="48">
                  <c:v>0.1612020360182945</c:v>
                </c:pt>
                <c:pt idx="49">
                  <c:v>9.8058483063013735E-2</c:v>
                </c:pt>
                <c:pt idx="50">
                  <c:v>0</c:v>
                </c:pt>
                <c:pt idx="51">
                  <c:v>3.7798245615837556E-2</c:v>
                </c:pt>
                <c:pt idx="52">
                  <c:v>0.12772991790104685</c:v>
                </c:pt>
                <c:pt idx="53">
                  <c:v>0.25547912963205571</c:v>
                </c:pt>
                <c:pt idx="54">
                  <c:v>0.71423872899902008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3-4298-A551-C0181AD1D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11520"/>
        <c:axId val="189609088"/>
      </c:lineChart>
      <c:catAx>
        <c:axId val="178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609088"/>
        <c:crosses val="autoZero"/>
        <c:auto val="1"/>
        <c:lblAlgn val="ctr"/>
        <c:lblOffset val="100"/>
        <c:noMultiLvlLbl val="0"/>
      </c:catAx>
      <c:valAx>
        <c:axId val="189609088"/>
        <c:scaling>
          <c:orientation val="minMax"/>
          <c:max val="2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178011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herring!$E$3:$E$74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cat>
          <c:val>
            <c:numRef>
              <c:f>herring!$P$3:$P$74</c:f>
              <c:numCache>
                <c:formatCode>0.0000</c:formatCode>
                <c:ptCount val="72"/>
                <c:pt idx="0">
                  <c:v>1.0524741371340878</c:v>
                </c:pt>
                <c:pt idx="1">
                  <c:v>0.74139599168922998</c:v>
                </c:pt>
                <c:pt idx="2">
                  <c:v>1.6572996974260588</c:v>
                </c:pt>
                <c:pt idx="3">
                  <c:v>1.1251405237369818</c:v>
                </c:pt>
                <c:pt idx="4">
                  <c:v>1.0285205070782</c:v>
                </c:pt>
                <c:pt idx="5">
                  <c:v>1.1245094154553115</c:v>
                </c:pt>
                <c:pt idx="6">
                  <c:v>1.7318384982809956</c:v>
                </c:pt>
                <c:pt idx="7">
                  <c:v>1.5701839023455406</c:v>
                </c:pt>
                <c:pt idx="8">
                  <c:v>1.1031425681387741</c:v>
                </c:pt>
                <c:pt idx="9">
                  <c:v>0.97523400100225799</c:v>
                </c:pt>
                <c:pt idx="10">
                  <c:v>1.0439035561952446</c:v>
                </c:pt>
                <c:pt idx="11">
                  <c:v>1.5054172213902424</c:v>
                </c:pt>
                <c:pt idx="12">
                  <c:v>0.84619042032492442</c:v>
                </c:pt>
                <c:pt idx="13">
                  <c:v>1.1603973497973039</c:v>
                </c:pt>
                <c:pt idx="14">
                  <c:v>1.1630265295788151</c:v>
                </c:pt>
                <c:pt idx="15">
                  <c:v>0.79108497379395648</c:v>
                </c:pt>
                <c:pt idx="16">
                  <c:v>0.74493758314533631</c:v>
                </c:pt>
                <c:pt idx="17">
                  <c:v>1.2138346043107993</c:v>
                </c:pt>
                <c:pt idx="18">
                  <c:v>0.84196676311365704</c:v>
                </c:pt>
                <c:pt idx="19">
                  <c:v>1.0730150662493978</c:v>
                </c:pt>
                <c:pt idx="20">
                  <c:v>1.2688540365562315</c:v>
                </c:pt>
                <c:pt idx="21">
                  <c:v>1.4443290029292244</c:v>
                </c:pt>
                <c:pt idx="22">
                  <c:v>0.81063839957757011</c:v>
                </c:pt>
                <c:pt idx="23">
                  <c:v>0.76289957534302832</c:v>
                </c:pt>
                <c:pt idx="24">
                  <c:v>0.79817918756157213</c:v>
                </c:pt>
                <c:pt idx="25">
                  <c:v>0.8531491425008435</c:v>
                </c:pt>
                <c:pt idx="26">
                  <c:v>0.86092147627973115</c:v>
                </c:pt>
                <c:pt idx="27">
                  <c:v>0.69212162578441605</c:v>
                </c:pt>
                <c:pt idx="28">
                  <c:v>0.88737443620102274</c:v>
                </c:pt>
                <c:pt idx="29">
                  <c:v>1.1440797552245341</c:v>
                </c:pt>
                <c:pt idx="30">
                  <c:v>1.2685322864489299</c:v>
                </c:pt>
                <c:pt idx="31">
                  <c:v>1.3240989779268961</c:v>
                </c:pt>
                <c:pt idx="32">
                  <c:v>0.78687768388876922</c:v>
                </c:pt>
                <c:pt idx="33">
                  <c:v>1.0338659476069392</c:v>
                </c:pt>
                <c:pt idx="34">
                  <c:v>1.2772409321142566</c:v>
                </c:pt>
                <c:pt idx="35">
                  <c:v>1.6103248923863926</c:v>
                </c:pt>
                <c:pt idx="36">
                  <c:v>0.75557908396372409</c:v>
                </c:pt>
                <c:pt idx="37">
                  <c:v>1.0308023987097366</c:v>
                </c:pt>
                <c:pt idx="38">
                  <c:v>0.98824486741976525</c:v>
                </c:pt>
                <c:pt idx="39">
                  <c:v>1.0099775349868614</c:v>
                </c:pt>
                <c:pt idx="40">
                  <c:v>0.75937004203800307</c:v>
                </c:pt>
                <c:pt idx="41">
                  <c:v>1.0571735120598611</c:v>
                </c:pt>
                <c:pt idx="42">
                  <c:v>1.1252135380045774</c:v>
                </c:pt>
                <c:pt idx="43">
                  <c:v>0.81191312816902639</c:v>
                </c:pt>
                <c:pt idx="44">
                  <c:v>0.68491721261708782</c:v>
                </c:pt>
                <c:pt idx="45">
                  <c:v>0.87230741642768617</c:v>
                </c:pt>
                <c:pt idx="46">
                  <c:v>1.2065365747110248</c:v>
                </c:pt>
                <c:pt idx="47">
                  <c:v>1.4697022933879234</c:v>
                </c:pt>
                <c:pt idx="48">
                  <c:v>1.257503812555709</c:v>
                </c:pt>
                <c:pt idx="49">
                  <c:v>0.95829926896317907</c:v>
                </c:pt>
                <c:pt idx="50">
                  <c:v>0.86191430861140517</c:v>
                </c:pt>
                <c:pt idx="51">
                  <c:v>1.0230386138998224</c:v>
                </c:pt>
                <c:pt idx="52">
                  <c:v>1.4226208588041873</c:v>
                </c:pt>
                <c:pt idx="53">
                  <c:v>1.29025697619668</c:v>
                </c:pt>
                <c:pt idx="54">
                  <c:v>1.1363592189047462</c:v>
                </c:pt>
                <c:pt idx="55">
                  <c:v>1.2168307864271792</c:v>
                </c:pt>
                <c:pt idx="56">
                  <c:v>0.9530369135450194</c:v>
                </c:pt>
                <c:pt idx="57">
                  <c:v>0.66531170331047806</c:v>
                </c:pt>
                <c:pt idx="58">
                  <c:v>1.7028489665872244</c:v>
                </c:pt>
                <c:pt idx="59">
                  <c:v>0.77278534152795386</c:v>
                </c:pt>
                <c:pt idx="60">
                  <c:v>1.2886284422981311</c:v>
                </c:pt>
                <c:pt idx="61">
                  <c:v>0.64499375279027549</c:v>
                </c:pt>
                <c:pt idx="62">
                  <c:v>1.0588809076989607</c:v>
                </c:pt>
                <c:pt idx="63">
                  <c:v>1.1820812491043429</c:v>
                </c:pt>
                <c:pt idx="64">
                  <c:v>0.92846369669137696</c:v>
                </c:pt>
                <c:pt idx="65">
                  <c:v>1.0469219273117292</c:v>
                </c:pt>
                <c:pt idx="66">
                  <c:v>0.65825304775715288</c:v>
                </c:pt>
                <c:pt idx="67">
                  <c:v>1.0102404720396969</c:v>
                </c:pt>
                <c:pt idx="68">
                  <c:v>0.95682485170652365</c:v>
                </c:pt>
                <c:pt idx="69">
                  <c:v>0.97699780098817224</c:v>
                </c:pt>
                <c:pt idx="70">
                  <c:v>1.2832737164269343</c:v>
                </c:pt>
                <c:pt idx="71">
                  <c:v>0.99999899403873183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A1-4219-A077-2B54ADBB3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33664"/>
        <c:axId val="189635200"/>
      </c:lineChart>
      <c:catAx>
        <c:axId val="1896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9635200"/>
        <c:crosses val="autoZero"/>
        <c:auto val="1"/>
        <c:lblAlgn val="ctr"/>
        <c:lblOffset val="100"/>
        <c:noMultiLvlLbl val="0"/>
      </c:catAx>
      <c:valAx>
        <c:axId val="189635200"/>
        <c:scaling>
          <c:orientation val="minMax"/>
        </c:scaling>
        <c:delete val="0"/>
        <c:axPos val="l"/>
        <c:majorGridlines/>
        <c:numFmt formatCode="0.00" sourceLinked="0"/>
        <c:majorTickMark val="out"/>
        <c:minorTickMark val="none"/>
        <c:tickLblPos val="nextTo"/>
        <c:crossAx val="189633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multinomial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herring!$V$1</c:f>
              <c:strCache>
                <c:ptCount val="1"/>
                <c:pt idx="0">
                  <c:v>SSB raw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herring!$E$3:$E$74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herring!$V$3:$V$74</c:f>
              <c:numCache>
                <c:formatCode>0</c:formatCode>
                <c:ptCount val="72"/>
                <c:pt idx="0">
                  <c:v>19.597000000000001</c:v>
                </c:pt>
                <c:pt idx="1">
                  <c:v>13.31</c:v>
                </c:pt>
                <c:pt idx="2">
                  <c:v>39.570999999999998</c:v>
                </c:pt>
                <c:pt idx="3">
                  <c:v>20.648</c:v>
                </c:pt>
                <c:pt idx="4">
                  <c:v>15.112</c:v>
                </c:pt>
                <c:pt idx="5">
                  <c:v>27.183</c:v>
                </c:pt>
                <c:pt idx="6">
                  <c:v>44.113999999999997</c:v>
                </c:pt>
                <c:pt idx="7">
                  <c:v>18.986000000000001</c:v>
                </c:pt>
                <c:pt idx="8">
                  <c:v>12.978999999999999</c:v>
                </c:pt>
                <c:pt idx="9">
                  <c:v>6.0149999999999997</c:v>
                </c:pt>
                <c:pt idx="10">
                  <c:v>10.555999999999999</c:v>
                </c:pt>
                <c:pt idx="11">
                  <c:v>34.47</c:v>
                </c:pt>
                <c:pt idx="12">
                  <c:v>11.244999999999999</c:v>
                </c:pt>
                <c:pt idx="13">
                  <c:v>22.760999999999999</c:v>
                </c:pt>
                <c:pt idx="14">
                  <c:v>11.891</c:v>
                </c:pt>
                <c:pt idx="15">
                  <c:v>3.722</c:v>
                </c:pt>
                <c:pt idx="16">
                  <c:v>4.8129999999999997</c:v>
                </c:pt>
                <c:pt idx="17">
                  <c:v>11.029</c:v>
                </c:pt>
                <c:pt idx="18">
                  <c:v>10.465</c:v>
                </c:pt>
                <c:pt idx="19">
                  <c:v>26.911999999999999</c:v>
                </c:pt>
                <c:pt idx="20">
                  <c:v>36.206000000000003</c:v>
                </c:pt>
                <c:pt idx="21">
                  <c:v>41.856999999999999</c:v>
                </c:pt>
                <c:pt idx="22">
                  <c:v>19.481000000000002</c:v>
                </c:pt>
                <c:pt idx="23">
                  <c:v>25.54</c:v>
                </c:pt>
                <c:pt idx="24">
                  <c:v>49.149000000000001</c:v>
                </c:pt>
                <c:pt idx="25">
                  <c:v>65.728999999999999</c:v>
                </c:pt>
                <c:pt idx="26">
                  <c:v>58.679000000000002</c:v>
                </c:pt>
                <c:pt idx="27">
                  <c:v>45.606999999999999</c:v>
                </c:pt>
                <c:pt idx="28">
                  <c:v>68.340999999999994</c:v>
                </c:pt>
                <c:pt idx="29">
                  <c:v>62.308</c:v>
                </c:pt>
                <c:pt idx="30">
                  <c:v>51.929000000000002</c:v>
                </c:pt>
                <c:pt idx="31">
                  <c:v>33.482999999999997</c:v>
                </c:pt>
                <c:pt idx="32">
                  <c:v>16.771000000000001</c:v>
                </c:pt>
                <c:pt idx="33">
                  <c:v>24.087</c:v>
                </c:pt>
                <c:pt idx="34">
                  <c:v>29.59</c:v>
                </c:pt>
                <c:pt idx="35">
                  <c:v>39.514000000000003</c:v>
                </c:pt>
                <c:pt idx="36">
                  <c:v>16.858000000000001</c:v>
                </c:pt>
                <c:pt idx="37">
                  <c:v>46.241999999999997</c:v>
                </c:pt>
                <c:pt idx="38">
                  <c:v>47.718000000000004</c:v>
                </c:pt>
                <c:pt idx="39">
                  <c:v>46.97</c:v>
                </c:pt>
                <c:pt idx="40">
                  <c:v>30.052</c:v>
                </c:pt>
                <c:pt idx="41">
                  <c:v>42.366</c:v>
                </c:pt>
                <c:pt idx="42">
                  <c:v>36.918999999999997</c:v>
                </c:pt>
                <c:pt idx="43">
                  <c:v>25.248999999999999</c:v>
                </c:pt>
                <c:pt idx="44">
                  <c:v>27.128</c:v>
                </c:pt>
                <c:pt idx="45">
                  <c:v>33.121000000000002</c:v>
                </c:pt>
                <c:pt idx="46">
                  <c:v>45.362000000000002</c:v>
                </c:pt>
                <c:pt idx="47">
                  <c:v>41.011000000000003</c:v>
                </c:pt>
                <c:pt idx="48">
                  <c:v>19.734000000000002</c:v>
                </c:pt>
                <c:pt idx="49">
                  <c:v>12.798999999999999</c:v>
                </c:pt>
                <c:pt idx="50">
                  <c:v>13.414</c:v>
                </c:pt>
                <c:pt idx="51">
                  <c:v>21.242000000000001</c:v>
                </c:pt>
                <c:pt idx="52">
                  <c:v>31.396999999999998</c:v>
                </c:pt>
                <c:pt idx="53">
                  <c:v>16.431999999999999</c:v>
                </c:pt>
                <c:pt idx="54">
                  <c:v>9.6639999999999997</c:v>
                </c:pt>
                <c:pt idx="55">
                  <c:v>2.875</c:v>
                </c:pt>
                <c:pt idx="56">
                  <c:v>2.246</c:v>
                </c:pt>
                <c:pt idx="57">
                  <c:v>2.7389999999999999</c:v>
                </c:pt>
                <c:pt idx="58">
                  <c:v>10.606999999999999</c:v>
                </c:pt>
                <c:pt idx="59">
                  <c:v>2.464</c:v>
                </c:pt>
                <c:pt idx="60">
                  <c:v>9.6630000000000003</c:v>
                </c:pt>
                <c:pt idx="61">
                  <c:v>5.407</c:v>
                </c:pt>
                <c:pt idx="62">
                  <c:v>12.257999999999999</c:v>
                </c:pt>
                <c:pt idx="63">
                  <c:v>13.936999999999999</c:v>
                </c:pt>
                <c:pt idx="64">
                  <c:v>11.323</c:v>
                </c:pt>
                <c:pt idx="65">
                  <c:v>20.527999999999999</c:v>
                </c:pt>
                <c:pt idx="66">
                  <c:v>16.475999999999999</c:v>
                </c:pt>
                <c:pt idx="67">
                  <c:v>28.106999999999999</c:v>
                </c:pt>
                <c:pt idx="68">
                  <c:v>17.03</c:v>
                </c:pt>
                <c:pt idx="69">
                  <c:v>18.760999999999999</c:v>
                </c:pt>
                <c:pt idx="70">
                  <c:v>29.338999999999999</c:v>
                </c:pt>
                <c:pt idx="71">
                  <c:v>23.707000000000001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0-4451-A4CB-79879BCF137D}"/>
            </c:ext>
          </c:extLst>
        </c:ser>
        <c:ser>
          <c:idx val="1"/>
          <c:order val="1"/>
          <c:tx>
            <c:strRef>
              <c:f>herring!$U$1</c:f>
              <c:strCache>
                <c:ptCount val="1"/>
                <c:pt idx="0">
                  <c:v>q*predSBt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herring!$E$3:$E$74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herring!$U$3:$U$74</c:f>
              <c:numCache>
                <c:formatCode>0</c:formatCode>
                <c:ptCount val="72"/>
                <c:pt idx="0">
                  <c:v>21.750127520208125</c:v>
                </c:pt>
                <c:pt idx="1">
                  <c:v>16.800145726605123</c:v>
                </c:pt>
                <c:pt idx="2">
                  <c:v>20.162825736552101</c:v>
                </c:pt>
                <c:pt idx="3">
                  <c:v>27.999058522389149</c:v>
                </c:pt>
                <c:pt idx="4">
                  <c:v>16.215163360774458</c:v>
                </c:pt>
                <c:pt idx="5">
                  <c:v>25.409998274853123</c:v>
                </c:pt>
                <c:pt idx="6">
                  <c:v>27.594105703214868</c:v>
                </c:pt>
                <c:pt idx="7">
                  <c:v>21.293690130123039</c:v>
                </c:pt>
                <c:pt idx="8">
                  <c:v>17.072129348273009</c:v>
                </c:pt>
                <c:pt idx="9">
                  <c:v>6.5841762088527629</c:v>
                </c:pt>
                <c:pt idx="10">
                  <c:v>10.13424592270548</c:v>
                </c:pt>
                <c:pt idx="11">
                  <c:v>19.750109719074914</c:v>
                </c:pt>
                <c:pt idx="12">
                  <c:v>19.218943013442786</c:v>
                </c:pt>
                <c:pt idx="13">
                  <c:v>18.334382128606851</c:v>
                </c:pt>
                <c:pt idx="14">
                  <c:v>11.725036956146957</c:v>
                </c:pt>
                <c:pt idx="15">
                  <c:v>4.9297187007452958</c:v>
                </c:pt>
                <c:pt idx="16">
                  <c:v>5.1264169153925829</c:v>
                </c:pt>
                <c:pt idx="17">
                  <c:v>7.8946332727081252</c:v>
                </c:pt>
                <c:pt idx="18">
                  <c:v>13.467379036501272</c:v>
                </c:pt>
                <c:pt idx="19">
                  <c:v>23.134581271601494</c:v>
                </c:pt>
                <c:pt idx="20">
                  <c:v>31.996325993325819</c:v>
                </c:pt>
                <c:pt idx="21">
                  <c:v>37.133256530825193</c:v>
                </c:pt>
                <c:pt idx="22">
                  <c:v>29.698058009984813</c:v>
                </c:pt>
                <c:pt idx="23">
                  <c:v>28.034335390382964</c:v>
                </c:pt>
                <c:pt idx="24">
                  <c:v>50.410065081811879</c:v>
                </c:pt>
                <c:pt idx="25">
                  <c:v>66.944516894570597</c:v>
                </c:pt>
                <c:pt idx="26">
                  <c:v>60.638893946913605</c:v>
                </c:pt>
                <c:pt idx="27">
                  <c:v>53.233676653742293</c:v>
                </c:pt>
                <c:pt idx="28">
                  <c:v>60.791134652861693</c:v>
                </c:pt>
                <c:pt idx="29">
                  <c:v>53.937543449383639</c:v>
                </c:pt>
                <c:pt idx="30">
                  <c:v>47.807207469755696</c:v>
                </c:pt>
                <c:pt idx="31">
                  <c:v>32.471415723317406</c:v>
                </c:pt>
                <c:pt idx="32">
                  <c:v>22.996474435129539</c:v>
                </c:pt>
                <c:pt idx="33">
                  <c:v>20.992954173425218</c:v>
                </c:pt>
                <c:pt idx="34">
                  <c:v>25.113732888447508</c:v>
                </c:pt>
                <c:pt idx="35">
                  <c:v>32.112121390668108</c:v>
                </c:pt>
                <c:pt idx="36">
                  <c:v>31.05027072181834</c:v>
                </c:pt>
                <c:pt idx="37">
                  <c:v>38.996409993866379</c:v>
                </c:pt>
                <c:pt idx="38">
                  <c:v>48.856540575953048</c:v>
                </c:pt>
                <c:pt idx="39">
                  <c:v>46.520094995532595</c:v>
                </c:pt>
                <c:pt idx="40">
                  <c:v>34.938486604602225</c:v>
                </c:pt>
                <c:pt idx="41">
                  <c:v>35.890537386723153</c:v>
                </c:pt>
                <c:pt idx="42">
                  <c:v>35.421743089926906</c:v>
                </c:pt>
                <c:pt idx="43">
                  <c:v>30.641160273240267</c:v>
                </c:pt>
                <c:pt idx="44">
                  <c:v>29.602280484908547</c:v>
                </c:pt>
                <c:pt idx="45">
                  <c:v>29.618957831052722</c:v>
                </c:pt>
                <c:pt idx="46">
                  <c:v>36.694942164224216</c:v>
                </c:pt>
                <c:pt idx="47">
                  <c:v>33.542956512678352</c:v>
                </c:pt>
                <c:pt idx="48">
                  <c:v>22.404445757789848</c:v>
                </c:pt>
                <c:pt idx="49">
                  <c:v>15.046674283701819</c:v>
                </c:pt>
                <c:pt idx="50">
                  <c:v>14.083174602938602</c:v>
                </c:pt>
                <c:pt idx="51">
                  <c:v>19.271782421071219</c:v>
                </c:pt>
                <c:pt idx="52">
                  <c:v>23.530318663908403</c:v>
                </c:pt>
                <c:pt idx="53">
                  <c:v>16.707145569597994</c:v>
                </c:pt>
                <c:pt idx="54">
                  <c:v>8.905153515869447</c:v>
                </c:pt>
                <c:pt idx="55">
                  <c:v>2.7162387483900643</c:v>
                </c:pt>
                <c:pt idx="56">
                  <c:v>2.6605435013682839</c:v>
                </c:pt>
                <c:pt idx="57">
                  <c:v>3.324510348672205</c:v>
                </c:pt>
                <c:pt idx="58">
                  <c:v>5.2490150288098336</c:v>
                </c:pt>
                <c:pt idx="59">
                  <c:v>4.6035811383831069</c:v>
                </c:pt>
                <c:pt idx="60">
                  <c:v>6.848888995994062</c:v>
                </c:pt>
                <c:pt idx="61">
                  <c:v>8.3060827851256782</c:v>
                </c:pt>
                <c:pt idx="62">
                  <c:v>9.2859156264647158</c:v>
                </c:pt>
                <c:pt idx="63">
                  <c:v>12.859744500061849</c:v>
                </c:pt>
                <c:pt idx="64">
                  <c:v>13.350049131331176</c:v>
                </c:pt>
                <c:pt idx="65">
                  <c:v>19.075167361009658</c:v>
                </c:pt>
                <c:pt idx="66">
                  <c:v>23.469467697843108</c:v>
                </c:pt>
                <c:pt idx="67">
                  <c:v>22.259107398189105</c:v>
                </c:pt>
                <c:pt idx="68">
                  <c:v>18.017620196227639</c:v>
                </c:pt>
                <c:pt idx="69">
                  <c:v>19.402190748023209</c:v>
                </c:pt>
                <c:pt idx="70">
                  <c:v>23.158354562013308</c:v>
                </c:pt>
                <c:pt idx="71">
                  <c:v>28.659718404968093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D0-4451-A4CB-79879BCF137D}"/>
            </c:ext>
          </c:extLst>
        </c:ser>
        <c:ser>
          <c:idx val="2"/>
          <c:order val="2"/>
          <c:tx>
            <c:strRef>
              <c:f>herring!$T$1</c:f>
              <c:strCache>
                <c:ptCount val="1"/>
                <c:pt idx="0">
                  <c:v>vpa ssb</c:v>
                </c:pt>
              </c:strCache>
            </c:strRef>
          </c:tx>
          <c:spPr>
            <a:ln w="2540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herring!$E$3:$E$74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herring!$T$3:$T$73</c:f>
              <c:numCache>
                <c:formatCode>0</c:formatCode>
                <c:ptCount val="71"/>
                <c:pt idx="0">
                  <c:v>23.380395459554833</c:v>
                </c:pt>
                <c:pt idx="1">
                  <c:v>8.7826669938731463</c:v>
                </c:pt>
                <c:pt idx="2">
                  <c:v>19.286993357921951</c:v>
                </c:pt>
                <c:pt idx="3">
                  <c:v>19.514546794219125</c:v>
                </c:pt>
                <c:pt idx="4">
                  <c:v>24.518558890421218</c:v>
                </c:pt>
                <c:pt idx="5">
                  <c:v>22.589098896803542</c:v>
                </c:pt>
                <c:pt idx="6">
                  <c:v>27.301549651379659</c:v>
                </c:pt>
                <c:pt idx="7">
                  <c:v>33.00712137810158</c:v>
                </c:pt>
                <c:pt idx="8">
                  <c:v>16.865013860344799</c:v>
                </c:pt>
                <c:pt idx="9">
                  <c:v>6.3197814824402609</c:v>
                </c:pt>
                <c:pt idx="10">
                  <c:v>6.2570403107503321</c:v>
                </c:pt>
                <c:pt idx="11">
                  <c:v>12.013251698887803</c:v>
                </c:pt>
                <c:pt idx="12">
                  <c:v>11.377786054458213</c:v>
                </c:pt>
                <c:pt idx="13">
                  <c:v>11.817436658593181</c:v>
                </c:pt>
                <c:pt idx="14">
                  <c:v>10.571222132154876</c:v>
                </c:pt>
                <c:pt idx="15">
                  <c:v>8.9915498817934694</c:v>
                </c:pt>
                <c:pt idx="16">
                  <c:v>3.9264071265149258</c:v>
                </c:pt>
                <c:pt idx="17">
                  <c:v>7.2203454440627963</c:v>
                </c:pt>
                <c:pt idx="18">
                  <c:v>10.836718536828442</c:v>
                </c:pt>
                <c:pt idx="19">
                  <c:v>20.061270952793006</c:v>
                </c:pt>
                <c:pt idx="20">
                  <c:v>36.564645473142647</c:v>
                </c:pt>
                <c:pt idx="21">
                  <c:v>49.465080435979061</c:v>
                </c:pt>
                <c:pt idx="22">
                  <c:v>42.624711408534246</c:v>
                </c:pt>
                <c:pt idx="23">
                  <c:v>43.139438117808794</c:v>
                </c:pt>
                <c:pt idx="24">
                  <c:v>60.998382481709093</c:v>
                </c:pt>
                <c:pt idx="25">
                  <c:v>62.349911012281545</c:v>
                </c:pt>
                <c:pt idx="26">
                  <c:v>59.776779076753151</c:v>
                </c:pt>
                <c:pt idx="27">
                  <c:v>51.349048384131343</c:v>
                </c:pt>
                <c:pt idx="28">
                  <c:v>47.556394131938752</c:v>
                </c:pt>
                <c:pt idx="29">
                  <c:v>45.367029906298811</c:v>
                </c:pt>
                <c:pt idx="30">
                  <c:v>41.858311516099349</c:v>
                </c:pt>
                <c:pt idx="31">
                  <c:v>32.682248835892189</c:v>
                </c:pt>
                <c:pt idx="32">
                  <c:v>23.503963889181506</c:v>
                </c:pt>
                <c:pt idx="33">
                  <c:v>18.158150332014138</c:v>
                </c:pt>
                <c:pt idx="34">
                  <c:v>23.268057298325054</c:v>
                </c:pt>
                <c:pt idx="35">
                  <c:v>33.307349178590115</c:v>
                </c:pt>
                <c:pt idx="36">
                  <c:v>30.769696436170367</c:v>
                </c:pt>
                <c:pt idx="37">
                  <c:v>41.440440339647921</c:v>
                </c:pt>
                <c:pt idx="38">
                  <c:v>43.90785577376667</c:v>
                </c:pt>
                <c:pt idx="39">
                  <c:v>41.500562746795211</c:v>
                </c:pt>
                <c:pt idx="40">
                  <c:v>30.224075537868465</c:v>
                </c:pt>
                <c:pt idx="41">
                  <c:v>33.39939331820446</c:v>
                </c:pt>
                <c:pt idx="42">
                  <c:v>33.435421326418776</c:v>
                </c:pt>
                <c:pt idx="43">
                  <c:v>29.804307874343003</c:v>
                </c:pt>
                <c:pt idx="44">
                  <c:v>28.847041939760807</c:v>
                </c:pt>
                <c:pt idx="45">
                  <c:v>27.102339761688199</c:v>
                </c:pt>
                <c:pt idx="46">
                  <c:v>30.309212608602479</c:v>
                </c:pt>
                <c:pt idx="47">
                  <c:v>29.175714139333618</c:v>
                </c:pt>
                <c:pt idx="48">
                  <c:v>20.904968583143159</c:v>
                </c:pt>
                <c:pt idx="49">
                  <c:v>16.491300417503396</c:v>
                </c:pt>
                <c:pt idx="50">
                  <c:v>14.768917550746544</c:v>
                </c:pt>
                <c:pt idx="51">
                  <c:v>16.004541910176645</c:v>
                </c:pt>
                <c:pt idx="52">
                  <c:v>16.659319006838707</c:v>
                </c:pt>
                <c:pt idx="53">
                  <c:v>11.266768500962025</c:v>
                </c:pt>
                <c:pt idx="54">
                  <c:v>5.8305588323658988</c:v>
                </c:pt>
                <c:pt idx="55">
                  <c:v>4.2792633018106381</c:v>
                </c:pt>
                <c:pt idx="56">
                  <c:v>4.438202056651968</c:v>
                </c:pt>
                <c:pt idx="57">
                  <c:v>4.0922396213893277</c:v>
                </c:pt>
                <c:pt idx="58">
                  <c:v>6.1978379986758698</c:v>
                </c:pt>
                <c:pt idx="59">
                  <c:v>5.9399748890927571</c:v>
                </c:pt>
                <c:pt idx="60">
                  <c:v>8.7563737186452713</c:v>
                </c:pt>
                <c:pt idx="61">
                  <c:v>9.661131103860999</c:v>
                </c:pt>
                <c:pt idx="62">
                  <c:v>7.31405475662892</c:v>
                </c:pt>
                <c:pt idx="63">
                  <c:v>13.149508407328897</c:v>
                </c:pt>
                <c:pt idx="64">
                  <c:v>15.587793000111549</c:v>
                </c:pt>
                <c:pt idx="65">
                  <c:v>25.303609061117449</c:v>
                </c:pt>
                <c:pt idx="66">
                  <c:v>28.610969494820793</c:v>
                </c:pt>
                <c:pt idx="67">
                  <c:v>23.205615215944494</c:v>
                </c:pt>
                <c:pt idx="68">
                  <c:v>18.119968232361362</c:v>
                </c:pt>
                <c:pt idx="69">
                  <c:v>17.411527424287694</c:v>
                </c:pt>
                <c:pt idx="70">
                  <c:v>20.758955523633816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D0-4451-A4CB-79879BCF1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80256"/>
        <c:axId val="189706624"/>
      </c:scatterChart>
      <c:valAx>
        <c:axId val="18968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06624"/>
        <c:crosses val="autoZero"/>
        <c:crossBetween val="midCat"/>
      </c:valAx>
      <c:valAx>
        <c:axId val="18970662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Mtot (base</a:t>
            </a:r>
            <a:r>
              <a:rPr lang="en-US" baseline="0"/>
              <a:t> M with relm effect+SSL mortality rate)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herring!$BE$2</c:f>
              <c:strCache>
                <c:ptCount val="1"/>
                <c:pt idx="0">
                  <c:v>Mtot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herring!$BE$3:$BE$74</c:f>
              <c:numCache>
                <c:formatCode>0.00</c:formatCode>
                <c:ptCount val="72"/>
                <c:pt idx="0">
                  <c:v>0.60431673868004843</c:v>
                </c:pt>
                <c:pt idx="1">
                  <c:v>0.55483000752423739</c:v>
                </c:pt>
                <c:pt idx="2">
                  <c:v>0.83685696178110147</c:v>
                </c:pt>
                <c:pt idx="3">
                  <c:v>0.56855119446246061</c:v>
                </c:pt>
                <c:pt idx="4">
                  <c:v>0.65177293673179038</c:v>
                </c:pt>
                <c:pt idx="5">
                  <c:v>0.58102995524793399</c:v>
                </c:pt>
                <c:pt idx="6">
                  <c:v>0.7551775589572991</c:v>
                </c:pt>
                <c:pt idx="7">
                  <c:v>0.68637241580078567</c:v>
                </c:pt>
                <c:pt idx="8">
                  <c:v>0.51283233726440991</c:v>
                </c:pt>
                <c:pt idx="9">
                  <c:v>0.67943810974658847</c:v>
                </c:pt>
                <c:pt idx="10">
                  <c:v>0.57636579754928652</c:v>
                </c:pt>
                <c:pt idx="11">
                  <c:v>0.64857255640136524</c:v>
                </c:pt>
                <c:pt idx="12">
                  <c:v>0.40393607659033698</c:v>
                </c:pt>
                <c:pt idx="13">
                  <c:v>0.52231951300144486</c:v>
                </c:pt>
                <c:pt idx="14">
                  <c:v>0.57443192139185639</c:v>
                </c:pt>
                <c:pt idx="15">
                  <c:v>0.66072012290524595</c:v>
                </c:pt>
                <c:pt idx="16">
                  <c:v>0.61403938310921313</c:v>
                </c:pt>
                <c:pt idx="17">
                  <c:v>0.64913608645588883</c:v>
                </c:pt>
                <c:pt idx="18">
                  <c:v>0.42026211057976737</c:v>
                </c:pt>
                <c:pt idx="19">
                  <c:v>0.45739577297656486</c:v>
                </c:pt>
                <c:pt idx="20">
                  <c:v>0.51330318854146917</c:v>
                </c:pt>
                <c:pt idx="21">
                  <c:v>0.57159885290004175</c:v>
                </c:pt>
                <c:pt idx="22">
                  <c:v>0.34483661468381571</c:v>
                </c:pt>
                <c:pt idx="23">
                  <c:v>0.33374249578439902</c:v>
                </c:pt>
                <c:pt idx="24">
                  <c:v>0.3257436953879691</c:v>
                </c:pt>
                <c:pt idx="25">
                  <c:v>0.34003894821192926</c:v>
                </c:pt>
                <c:pt idx="26">
                  <c:v>0.34683782665535529</c:v>
                </c:pt>
                <c:pt idx="27">
                  <c:v>0.28804696243789824</c:v>
                </c:pt>
                <c:pt idx="28">
                  <c:v>0.35620813019713332</c:v>
                </c:pt>
                <c:pt idx="29">
                  <c:v>0.45453635557241323</c:v>
                </c:pt>
                <c:pt idx="30">
                  <c:v>0.50453952466918328</c:v>
                </c:pt>
                <c:pt idx="31">
                  <c:v>0.5414218909852464</c:v>
                </c:pt>
                <c:pt idx="32">
                  <c:v>0.36777398902889913</c:v>
                </c:pt>
                <c:pt idx="33">
                  <c:v>0.46914037812142062</c:v>
                </c:pt>
                <c:pt idx="34">
                  <c:v>0.54760033008872211</c:v>
                </c:pt>
                <c:pt idx="35">
                  <c:v>0.65675073131973216</c:v>
                </c:pt>
                <c:pt idx="36">
                  <c:v>0.34505652718070839</c:v>
                </c:pt>
                <c:pt idx="37">
                  <c:v>0.43439321713293105</c:v>
                </c:pt>
                <c:pt idx="38">
                  <c:v>0.40880358453135907</c:v>
                </c:pt>
                <c:pt idx="39">
                  <c:v>0.41997312896903655</c:v>
                </c:pt>
                <c:pt idx="40">
                  <c:v>0.34626578311255041</c:v>
                </c:pt>
                <c:pt idx="41">
                  <c:v>0.45707296814428894</c:v>
                </c:pt>
                <c:pt idx="42">
                  <c:v>0.4785868644476744</c:v>
                </c:pt>
                <c:pt idx="43">
                  <c:v>0.36685269130617609</c:v>
                </c:pt>
                <c:pt idx="44">
                  <c:v>0.32766406944956128</c:v>
                </c:pt>
                <c:pt idx="45">
                  <c:v>0.40480799731291395</c:v>
                </c:pt>
                <c:pt idx="46">
                  <c:v>0.51878411028483395</c:v>
                </c:pt>
                <c:pt idx="47">
                  <c:v>0.63133965298824934</c:v>
                </c:pt>
                <c:pt idx="48">
                  <c:v>0.60715273864479125</c:v>
                </c:pt>
                <c:pt idx="49">
                  <c:v>0.59025824521264036</c:v>
                </c:pt>
                <c:pt idx="50">
                  <c:v>0.59212657206782915</c:v>
                </c:pt>
                <c:pt idx="51">
                  <c:v>0.59181945457583529</c:v>
                </c:pt>
                <c:pt idx="52">
                  <c:v>0.7028368632424089</c:v>
                </c:pt>
                <c:pt idx="53">
                  <c:v>0.76801230906157225</c:v>
                </c:pt>
                <c:pt idx="54">
                  <c:v>1.1521995901998745</c:v>
                </c:pt>
                <c:pt idx="55">
                  <c:v>1.3678124431155254</c:v>
                </c:pt>
                <c:pt idx="56">
                  <c:v>1.2699281175155259</c:v>
                </c:pt>
                <c:pt idx="57">
                  <c:v>1.163163741776946</c:v>
                </c:pt>
                <c:pt idx="58">
                  <c:v>1.5481561382685844</c:v>
                </c:pt>
                <c:pt idx="59">
                  <c:v>1.2030433056263889</c:v>
                </c:pt>
                <c:pt idx="60">
                  <c:v>1.394453945618233</c:v>
                </c:pt>
                <c:pt idx="61">
                  <c:v>1.1556244882586029</c:v>
                </c:pt>
                <c:pt idx="62">
                  <c:v>1.3092029796393971</c:v>
                </c:pt>
                <c:pt idx="63">
                  <c:v>1.3549181518698856</c:v>
                </c:pt>
                <c:pt idx="64">
                  <c:v>1.2608098892061983</c:v>
                </c:pt>
                <c:pt idx="65">
                  <c:v>1.0048818238554289</c:v>
                </c:pt>
                <c:pt idx="66">
                  <c:v>0.74910914992322186</c:v>
                </c:pt>
                <c:pt idx="67">
                  <c:v>0.96012516501164358</c:v>
                </c:pt>
                <c:pt idx="68">
                  <c:v>1.184594049568114</c:v>
                </c:pt>
                <c:pt idx="69">
                  <c:v>1.1373851789884988</c:v>
                </c:pt>
                <c:pt idx="70">
                  <c:v>1.1022687401444062</c:v>
                </c:pt>
                <c:pt idx="71">
                  <c:v>0.86091411060271383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F-4694-AC69-3FC84BB2EDF0}"/>
            </c:ext>
          </c:extLst>
        </c:ser>
        <c:ser>
          <c:idx val="1"/>
          <c:order val="1"/>
          <c:tx>
            <c:strRef>
              <c:f>herring!$BH$2</c:f>
              <c:strCache>
                <c:ptCount val="1"/>
                <c:pt idx="0">
                  <c:v>alt Mtot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herring!$BH$3:$BH$74</c:f>
              <c:numCache>
                <c:formatCode>0.00</c:formatCode>
                <c:ptCount val="72"/>
                <c:pt idx="0">
                  <c:v>0.50273962944153894</c:v>
                </c:pt>
                <c:pt idx="1">
                  <c:v>0.39324062021933581</c:v>
                </c:pt>
                <c:pt idx="2">
                  <c:v>0.71150981172603234</c:v>
                </c:pt>
                <c:pt idx="3">
                  <c:v>0.50207185805110177</c:v>
                </c:pt>
                <c:pt idx="4">
                  <c:v>0.56128227542321707</c:v>
                </c:pt>
                <c:pt idx="5">
                  <c:v>0.51010918685811524</c:v>
                </c:pt>
                <c:pt idx="6">
                  <c:v>0.70453899583518154</c:v>
                </c:pt>
                <c:pt idx="7">
                  <c:v>0.68540881906049855</c:v>
                </c:pt>
                <c:pt idx="8">
                  <c:v>0.43577407837482085</c:v>
                </c:pt>
                <c:pt idx="9">
                  <c:v>0.40116635339710227</c:v>
                </c:pt>
                <c:pt idx="10">
                  <c:v>0.44478554516737673</c:v>
                </c:pt>
                <c:pt idx="11">
                  <c:v>0.59108968377906812</c:v>
                </c:pt>
                <c:pt idx="12">
                  <c:v>0.37978308707685393</c:v>
                </c:pt>
                <c:pt idx="13">
                  <c:v>0.47198082064944713</c:v>
                </c:pt>
                <c:pt idx="14">
                  <c:v>0.49612169259282574</c:v>
                </c:pt>
                <c:pt idx="15">
                  <c:v>0.417264789879914</c:v>
                </c:pt>
                <c:pt idx="16">
                  <c:v>0.36596000369121973</c:v>
                </c:pt>
                <c:pt idx="17">
                  <c:v>0.57174819297762802</c:v>
                </c:pt>
                <c:pt idx="18">
                  <c:v>0.43601745794667135</c:v>
                </c:pt>
                <c:pt idx="19">
                  <c:v>0.44641835962253873</c:v>
                </c:pt>
                <c:pt idx="20">
                  <c:v>0.50691894616721045</c:v>
                </c:pt>
                <c:pt idx="21">
                  <c:v>0.56335264546112529</c:v>
                </c:pt>
                <c:pt idx="22">
                  <c:v>0.33927744092402273</c:v>
                </c:pt>
                <c:pt idx="23">
                  <c:v>0.31957466450916916</c:v>
                </c:pt>
                <c:pt idx="24">
                  <c:v>0.31758022465637992</c:v>
                </c:pt>
                <c:pt idx="25">
                  <c:v>0.33302641715959952</c:v>
                </c:pt>
                <c:pt idx="26">
                  <c:v>0.33966332589422732</c:v>
                </c:pt>
                <c:pt idx="27">
                  <c:v>0.2829046804189651</c:v>
                </c:pt>
                <c:pt idx="28">
                  <c:v>0.34884088502232918</c:v>
                </c:pt>
                <c:pt idx="29">
                  <c:v>0.44870205260749857</c:v>
                </c:pt>
                <c:pt idx="30">
                  <c:v>0.49788109950021775</c:v>
                </c:pt>
                <c:pt idx="31">
                  <c:v>0.53285104576734732</c:v>
                </c:pt>
                <c:pt idx="32">
                  <c:v>0.36264549589610867</c:v>
                </c:pt>
                <c:pt idx="33">
                  <c:v>0.44164167576857122</c:v>
                </c:pt>
                <c:pt idx="34">
                  <c:v>0.53221887758486353</c:v>
                </c:pt>
                <c:pt idx="35">
                  <c:v>0.64303703529626111</c:v>
                </c:pt>
                <c:pt idx="36">
                  <c:v>0.34685453276081846</c:v>
                </c:pt>
                <c:pt idx="37">
                  <c:v>0.41888221679442972</c:v>
                </c:pt>
                <c:pt idx="38">
                  <c:v>0.40127779732477009</c:v>
                </c:pt>
                <c:pt idx="39">
                  <c:v>0.41211128697019095</c:v>
                </c:pt>
                <c:pt idx="40">
                  <c:v>0.34023061544111793</c:v>
                </c:pt>
                <c:pt idx="41">
                  <c:v>0.44107389484042064</c:v>
                </c:pt>
                <c:pt idx="42">
                  <c:v>0.4674984097997209</c:v>
                </c:pt>
                <c:pt idx="43">
                  <c:v>0.36494864683014111</c:v>
                </c:pt>
                <c:pt idx="44">
                  <c:v>0.32511677162890373</c:v>
                </c:pt>
                <c:pt idx="45">
                  <c:v>0.38994636254084913</c:v>
                </c:pt>
                <c:pt idx="46">
                  <c:v>0.49669890472819922</c:v>
                </c:pt>
                <c:pt idx="47">
                  <c:v>0.60367021188122283</c:v>
                </c:pt>
                <c:pt idx="48">
                  <c:v>0.5874405262591601</c:v>
                </c:pt>
                <c:pt idx="49">
                  <c:v>0.5588202488726175</c:v>
                </c:pt>
                <c:pt idx="50">
                  <c:v>0.54318226231236011</c:v>
                </c:pt>
                <c:pt idx="51">
                  <c:v>0.53557898487536204</c:v>
                </c:pt>
                <c:pt idx="52">
                  <c:v>0.63345077041918518</c:v>
                </c:pt>
                <c:pt idx="53">
                  <c:v>0.67251645406167349</c:v>
                </c:pt>
                <c:pt idx="54">
                  <c:v>0.73111397953637436</c:v>
                </c:pt>
                <c:pt idx="55">
                  <c:v>1.4546167003756292</c:v>
                </c:pt>
                <c:pt idx="56">
                  <c:v>1.5006023674028623</c:v>
                </c:pt>
                <c:pt idx="57">
                  <c:v>1.247132709116312</c:v>
                </c:pt>
                <c:pt idx="58">
                  <c:v>1.0336747332944127</c:v>
                </c:pt>
                <c:pt idx="59">
                  <c:v>1.5132672999103516</c:v>
                </c:pt>
                <c:pt idx="60">
                  <c:v>0.97978981397032872</c:v>
                </c:pt>
                <c:pt idx="61">
                  <c:v>1.0465923889119899</c:v>
                </c:pt>
                <c:pt idx="62">
                  <c:v>0.86365058565020969</c:v>
                </c:pt>
                <c:pt idx="63">
                  <c:v>0.88361896092966119</c:v>
                </c:pt>
                <c:pt idx="64">
                  <c:v>0.89336826638164157</c:v>
                </c:pt>
                <c:pt idx="65">
                  <c:v>0.74443802889720645</c:v>
                </c:pt>
                <c:pt idx="66">
                  <c:v>0.69192723387649613</c:v>
                </c:pt>
                <c:pt idx="67">
                  <c:v>0.67560629124506133</c:v>
                </c:pt>
                <c:pt idx="68">
                  <c:v>0.82282458057842189</c:v>
                </c:pt>
                <c:pt idx="69">
                  <c:v>0.80571270400420814</c:v>
                </c:pt>
                <c:pt idx="70">
                  <c:v>0.78901178247908998</c:v>
                </c:pt>
                <c:pt idx="71">
                  <c:v>0.75509418549078156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D-408F-909F-168A2178F013}"/>
            </c:ext>
          </c:extLst>
        </c:ser>
        <c:ser>
          <c:idx val="2"/>
          <c:order val="2"/>
          <c:tx>
            <c:strRef>
              <c:f>herring!$ES$2</c:f>
              <c:strCache>
                <c:ptCount val="1"/>
                <c:pt idx="0">
                  <c:v>VPA est 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herring!$ES$3:$ES$74</c:f>
              <c:numCache>
                <c:formatCode>General</c:formatCode>
                <c:ptCount val="72"/>
                <c:pt idx="0">
                  <c:v>0.45473073047508927</c:v>
                </c:pt>
                <c:pt idx="1">
                  <c:v>0.5344173708558011</c:v>
                </c:pt>
                <c:pt idx="2">
                  <c:v>0.61604491766464986</c:v>
                </c:pt>
                <c:pt idx="3">
                  <c:v>0.54441777023234894</c:v>
                </c:pt>
                <c:pt idx="4">
                  <c:v>0.59001987455995442</c:v>
                </c:pt>
                <c:pt idx="5">
                  <c:v>0.4572144395926932</c:v>
                </c:pt>
                <c:pt idx="6">
                  <c:v>0.37436630761621048</c:v>
                </c:pt>
                <c:pt idx="7">
                  <c:v>0.26119478593975937</c:v>
                </c:pt>
                <c:pt idx="8">
                  <c:v>0.29647791072171464</c:v>
                </c:pt>
                <c:pt idx="9">
                  <c:v>0.3886849348544118</c:v>
                </c:pt>
                <c:pt idx="10">
                  <c:v>0.48775405524351434</c:v>
                </c:pt>
                <c:pt idx="11">
                  <c:v>0.57175118866040675</c:v>
                </c:pt>
                <c:pt idx="12">
                  <c:v>0.50475862972622665</c:v>
                </c:pt>
                <c:pt idx="13">
                  <c:v>0.52521676516759497</c:v>
                </c:pt>
                <c:pt idx="14">
                  <c:v>0.49348777951308964</c:v>
                </c:pt>
                <c:pt idx="15">
                  <c:v>0.38206692066492615</c:v>
                </c:pt>
                <c:pt idx="16">
                  <c:v>0.47011639898628327</c:v>
                </c:pt>
                <c:pt idx="17">
                  <c:v>0.59174260933919554</c:v>
                </c:pt>
                <c:pt idx="18">
                  <c:v>0.59676917770520421</c:v>
                </c:pt>
                <c:pt idx="19">
                  <c:v>0.55764890915459442</c:v>
                </c:pt>
                <c:pt idx="20">
                  <c:v>0.57252023599950408</c:v>
                </c:pt>
                <c:pt idx="21">
                  <c:v>0.53210692575321938</c:v>
                </c:pt>
                <c:pt idx="22">
                  <c:v>0.36448055918517736</c:v>
                </c:pt>
                <c:pt idx="23">
                  <c:v>0.22109179129411854</c:v>
                </c:pt>
                <c:pt idx="24">
                  <c:v>0.17241288479761299</c:v>
                </c:pt>
                <c:pt idx="25">
                  <c:v>0.26730150044160972</c:v>
                </c:pt>
                <c:pt idx="26">
                  <c:v>0.31114857232706611</c:v>
                </c:pt>
                <c:pt idx="27">
                  <c:v>0.31392715829886181</c:v>
                </c:pt>
                <c:pt idx="28">
                  <c:v>0.35833633527565989</c:v>
                </c:pt>
                <c:pt idx="29">
                  <c:v>0.40172384256776755</c:v>
                </c:pt>
                <c:pt idx="30">
                  <c:v>0.4443507945937637</c:v>
                </c:pt>
                <c:pt idx="31">
                  <c:v>0.42610554459792555</c:v>
                </c:pt>
                <c:pt idx="32">
                  <c:v>0.44919086720888168</c:v>
                </c:pt>
                <c:pt idx="33">
                  <c:v>0.41451738531122539</c:v>
                </c:pt>
                <c:pt idx="34">
                  <c:v>0.41417567481024792</c:v>
                </c:pt>
                <c:pt idx="35">
                  <c:v>0.40279899387574003</c:v>
                </c:pt>
                <c:pt idx="36">
                  <c:v>0.34382595420149265</c:v>
                </c:pt>
                <c:pt idx="37">
                  <c:v>0.3634356738728261</c:v>
                </c:pt>
                <c:pt idx="38">
                  <c:v>0.35481559805137364</c:v>
                </c:pt>
                <c:pt idx="39">
                  <c:v>0.36878718998491</c:v>
                </c:pt>
                <c:pt idx="40">
                  <c:v>0.36445510466345316</c:v>
                </c:pt>
                <c:pt idx="41">
                  <c:v>0.39650465110767252</c:v>
                </c:pt>
                <c:pt idx="42">
                  <c:v>0.38525967359540403</c:v>
                </c:pt>
                <c:pt idx="43">
                  <c:v>0.37268655288603875</c:v>
                </c:pt>
                <c:pt idx="44">
                  <c:v>0.32078971628276531</c:v>
                </c:pt>
                <c:pt idx="45">
                  <c:v>0.36840292714177181</c:v>
                </c:pt>
                <c:pt idx="46">
                  <c:v>0.38820591805865989</c:v>
                </c:pt>
                <c:pt idx="47">
                  <c:v>0.54840143625366788</c:v>
                </c:pt>
                <c:pt idx="48">
                  <c:v>0.54285071185017186</c:v>
                </c:pt>
                <c:pt idx="49">
                  <c:v>0.59494093613117272</c:v>
                </c:pt>
                <c:pt idx="50">
                  <c:v>0.58209753834315636</c:v>
                </c:pt>
                <c:pt idx="51">
                  <c:v>0.53625322617637439</c:v>
                </c:pt>
                <c:pt idx="52">
                  <c:v>0.53612450855401184</c:v>
                </c:pt>
                <c:pt idx="53">
                  <c:v>0.63716099372253088</c:v>
                </c:pt>
                <c:pt idx="54">
                  <c:v>0.85027347116526109</c:v>
                </c:pt>
                <c:pt idx="55">
                  <c:v>1.5754188886849303</c:v>
                </c:pt>
                <c:pt idx="56">
                  <c:v>1.6467435073545333</c:v>
                </c:pt>
                <c:pt idx="57">
                  <c:v>1.4705109149626794</c:v>
                </c:pt>
                <c:pt idx="58">
                  <c:v>0.89182273760683184</c:v>
                </c:pt>
                <c:pt idx="59">
                  <c:v>1.6961039502964119</c:v>
                </c:pt>
                <c:pt idx="60">
                  <c:v>0.89406151726385152</c:v>
                </c:pt>
                <c:pt idx="61">
                  <c:v>1.1590111686138105</c:v>
                </c:pt>
                <c:pt idx="62">
                  <c:v>0.88977066137259464</c:v>
                </c:pt>
                <c:pt idx="63">
                  <c:v>0.89954749165546066</c:v>
                </c:pt>
                <c:pt idx="64">
                  <c:v>1.0315733230348942</c:v>
                </c:pt>
                <c:pt idx="65">
                  <c:v>0.77446823204510906</c:v>
                </c:pt>
                <c:pt idx="66">
                  <c:v>0.79565784527858674</c:v>
                </c:pt>
                <c:pt idx="67">
                  <c:v>0.65526794206310734</c:v>
                </c:pt>
                <c:pt idx="68">
                  <c:v>0.83636349217050832</c:v>
                </c:pt>
                <c:pt idx="69">
                  <c:v>0.84393379852405337</c:v>
                </c:pt>
                <c:pt idx="70">
                  <c:v>0.73271590526286734</c:v>
                </c:pt>
                <c:pt idx="71">
                  <c:v>0.8543591090407805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D-4AE7-A582-4B27A50F9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42400"/>
        <c:axId val="189543936"/>
      </c:lineChart>
      <c:catAx>
        <c:axId val="189542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3936"/>
        <c:crosses val="autoZero"/>
        <c:auto val="1"/>
        <c:lblAlgn val="ctr"/>
        <c:lblOffset val="100"/>
        <c:noMultiLvlLbl val="0"/>
      </c:catAx>
      <c:valAx>
        <c:axId val="18954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4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Alternative estimates of prop run eaten by SSL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herring!$BF$2</c:f>
              <c:strCache>
                <c:ptCount val="1"/>
                <c:pt idx="0">
                  <c:v>Ussl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herring!$BF$3:$BF$74</c:f>
              <c:numCache>
                <c:formatCode>0.00</c:formatCode>
                <c:ptCount val="72"/>
                <c:pt idx="0" formatCode="0.00000">
                  <c:v>0.19247544104919043</c:v>
                </c:pt>
                <c:pt idx="1">
                  <c:v>0.24400829983426714</c:v>
                </c:pt>
                <c:pt idx="2">
                  <c:v>0.19899912128048902</c:v>
                </c:pt>
                <c:pt idx="3">
                  <c:v>0.14019736447049633</c:v>
                </c:pt>
                <c:pt idx="4">
                  <c:v>0.23671693805861685</c:v>
                </c:pt>
                <c:pt idx="5">
                  <c:v>0.15105879895637211</c:v>
                </c:pt>
                <c:pt idx="6">
                  <c:v>0.10645196935652045</c:v>
                </c:pt>
                <c:pt idx="7">
                  <c:v>9.8535121933467806E-2</c:v>
                </c:pt>
                <c:pt idx="8">
                  <c:v>9.8320546222778096E-2</c:v>
                </c:pt>
                <c:pt idx="9">
                  <c:v>0.27208004672043618</c:v>
                </c:pt>
                <c:pt idx="10">
                  <c:v>0.17222268248785114</c:v>
                </c:pt>
                <c:pt idx="11">
                  <c:v>8.6038563291544148E-2</c:v>
                </c:pt>
                <c:pt idx="12">
                  <c:v>8.6019044398169806E-2</c:v>
                </c:pt>
                <c:pt idx="13">
                  <c:v>8.7656030531365961E-2</c:v>
                </c:pt>
                <c:pt idx="14">
                  <c:v>0.1331375937455074</c:v>
                </c:pt>
                <c:pt idx="15">
                  <c:v>0.30731312396570959</c:v>
                </c:pt>
                <c:pt idx="16">
                  <c:v>0.28653371852519144</c:v>
                </c:pt>
                <c:pt idx="17">
                  <c:v>0.18022564185169135</c:v>
                </c:pt>
                <c:pt idx="18">
                  <c:v>0.10222771574972092</c:v>
                </c:pt>
                <c:pt idx="19">
                  <c:v>5.7518371640047798E-2</c:v>
                </c:pt>
                <c:pt idx="20">
                  <c:v>4.1588007435429626E-2</c:v>
                </c:pt>
                <c:pt idx="21">
                  <c:v>3.5032460404298582E-2</c:v>
                </c:pt>
                <c:pt idx="22">
                  <c:v>4.308254566221454E-2</c:v>
                </c:pt>
                <c:pt idx="23">
                  <c:v>4.939644096964213E-2</c:v>
                </c:pt>
                <c:pt idx="24">
                  <c:v>2.9135519761499532E-2</c:v>
                </c:pt>
                <c:pt idx="25">
                  <c:v>2.3193094424002608E-2</c:v>
                </c:pt>
                <c:pt idx="26">
                  <c:v>2.7009669122367186E-2</c:v>
                </c:pt>
                <c:pt idx="27">
                  <c:v>3.0743274906325099E-2</c:v>
                </c:pt>
                <c:pt idx="28">
                  <c:v>2.6576174327591955E-2</c:v>
                </c:pt>
                <c:pt idx="29">
                  <c:v>2.9564083319240212E-2</c:v>
                </c:pt>
                <c:pt idx="30">
                  <c:v>3.326732013937634E-2</c:v>
                </c:pt>
                <c:pt idx="31">
                  <c:v>4.8862697331995344E-2</c:v>
                </c:pt>
                <c:pt idx="32">
                  <c:v>7.2991235567134341E-2</c:v>
                </c:pt>
                <c:pt idx="33">
                  <c:v>8.1956288551031861E-2</c:v>
                </c:pt>
                <c:pt idx="34">
                  <c:v>7.1014926705610534E-2</c:v>
                </c:pt>
                <c:pt idx="35">
                  <c:v>5.7498387244995411E-2</c:v>
                </c:pt>
                <c:pt idx="36">
                  <c:v>6.2640660914473831E-2</c:v>
                </c:pt>
                <c:pt idx="37">
                  <c:v>5.0576085657429971E-2</c:v>
                </c:pt>
                <c:pt idx="38">
                  <c:v>4.1227833070136596E-2</c:v>
                </c:pt>
                <c:pt idx="39">
                  <c:v>4.4200529395198182E-2</c:v>
                </c:pt>
                <c:pt idx="40">
                  <c:v>6.2455578921186736E-2</c:v>
                </c:pt>
                <c:pt idx="41">
                  <c:v>6.2739736610517641E-2</c:v>
                </c:pt>
                <c:pt idx="42">
                  <c:v>5.9234136164852506E-2</c:v>
                </c:pt>
                <c:pt idx="43">
                  <c:v>6.3477017914581574E-2</c:v>
                </c:pt>
                <c:pt idx="44">
                  <c:v>7.0878875512811204E-2</c:v>
                </c:pt>
                <c:pt idx="45">
                  <c:v>7.7922862846441954E-2</c:v>
                </c:pt>
                <c:pt idx="46">
                  <c:v>6.8614677543133662E-2</c:v>
                </c:pt>
                <c:pt idx="47">
                  <c:v>8.2393389850245066E-2</c:v>
                </c:pt>
                <c:pt idx="48">
                  <c:v>0.13111000051040711</c:v>
                </c:pt>
                <c:pt idx="49">
                  <c:v>0.20916678800489275</c:v>
                </c:pt>
                <c:pt idx="50">
                  <c:v>0.23837538481669859</c:v>
                </c:pt>
                <c:pt idx="51">
                  <c:v>0.19120272485985168</c:v>
                </c:pt>
                <c:pt idx="52">
                  <c:v>0.16050430468186277</c:v>
                </c:pt>
                <c:pt idx="53">
                  <c:v>0.25117113448789319</c:v>
                </c:pt>
                <c:pt idx="54">
                  <c:v>0.5183501855663023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0.46011931599174299</c:v>
                </c:pt>
                <c:pt idx="66">
                  <c:v>0.39640712162148189</c:v>
                </c:pt>
                <c:pt idx="67">
                  <c:v>0.44303986713582472</c:v>
                </c:pt>
                <c:pt idx="68">
                  <c:v>0.56375492618665102</c:v>
                </c:pt>
                <c:pt idx="69">
                  <c:v>0.53923023147078764</c:v>
                </c:pt>
                <c:pt idx="70">
                  <c:v>0.46532300960690526</c:v>
                </c:pt>
                <c:pt idx="71">
                  <c:v>0.38728219666268515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1-47D1-BFB2-84799A30A00D}"/>
            </c:ext>
          </c:extLst>
        </c:ser>
        <c:ser>
          <c:idx val="1"/>
          <c:order val="1"/>
          <c:tx>
            <c:strRef>
              <c:f>herring!$BG$2</c:f>
              <c:strCache>
                <c:ptCount val="1"/>
                <c:pt idx="0">
                  <c:v>alt Ussl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herring!$BG$3:$BG$74</c:f>
              <c:numCache>
                <c:formatCode>0.00</c:formatCode>
                <c:ptCount val="72"/>
                <c:pt idx="0">
                  <c:v>0.10613873601289973</c:v>
                </c:pt>
                <c:pt idx="1">
                  <c:v>0.11142435236634064</c:v>
                </c:pt>
                <c:pt idx="2">
                  <c:v>9.2031946918908994E-2</c:v>
                </c:pt>
                <c:pt idx="3">
                  <c:v>8.1095494397997042E-2</c:v>
                </c:pt>
                <c:pt idx="4">
                  <c:v>0.16442541888380957</c:v>
                </c:pt>
                <c:pt idx="5">
                  <c:v>8.8664874103461896E-2</c:v>
                </c:pt>
                <c:pt idx="6">
                  <c:v>6.0038749169651844E-2</c:v>
                </c:pt>
                <c:pt idx="7">
                  <c:v>9.7666054667532809E-2</c:v>
                </c:pt>
                <c:pt idx="8">
                  <c:v>2.6091513327647156E-2</c:v>
                </c:pt>
                <c:pt idx="9">
                  <c:v>3.8530499079306918E-2</c:v>
                </c:pt>
                <c:pt idx="10">
                  <c:v>5.5812819994903923E-2</c:v>
                </c:pt>
                <c:pt idx="11">
                  <c:v>3.1962088384895587E-2</c:v>
                </c:pt>
                <c:pt idx="12">
                  <c:v>6.3674919479252357E-2</c:v>
                </c:pt>
                <c:pt idx="13">
                  <c:v>4.0554253032002927E-2</c:v>
                </c:pt>
                <c:pt idx="14">
                  <c:v>6.2524623896492521E-2</c:v>
                </c:pt>
                <c:pt idx="15">
                  <c:v>0.11637444571948281</c:v>
                </c:pt>
                <c:pt idx="16">
                  <c:v>8.5648969546561232E-2</c:v>
                </c:pt>
                <c:pt idx="17">
                  <c:v>0.11426569611791673</c:v>
                </c:pt>
                <c:pt idx="18">
                  <c:v>0.11626158539664568</c:v>
                </c:pt>
                <c:pt idx="19">
                  <c:v>4.7115366650440429E-2</c:v>
                </c:pt>
                <c:pt idx="20">
                  <c:v>3.544969960705923E-2</c:v>
                </c:pt>
                <c:pt idx="21">
                  <c:v>2.7042238665832406E-2</c:v>
                </c:pt>
                <c:pt idx="22">
                  <c:v>3.7748061335378016E-2</c:v>
                </c:pt>
                <c:pt idx="23">
                  <c:v>3.5832591858478945E-2</c:v>
                </c:pt>
                <c:pt idx="24">
                  <c:v>2.1177457483709024E-2</c:v>
                </c:pt>
                <c:pt idx="25">
                  <c:v>1.6319131897928954E-2</c:v>
                </c:pt>
                <c:pt idx="26">
                  <c:v>2.0003847668369136E-2</c:v>
                </c:pt>
                <c:pt idx="27">
                  <c:v>2.5746246423679293E-2</c:v>
                </c:pt>
                <c:pt idx="28">
                  <c:v>1.937824042938386E-2</c:v>
                </c:pt>
                <c:pt idx="29">
                  <c:v>2.3885717627586119E-2</c:v>
                </c:pt>
                <c:pt idx="30">
                  <c:v>2.6808925424027304E-2</c:v>
                </c:pt>
                <c:pt idx="31">
                  <c:v>4.067561172623145E-2</c:v>
                </c:pt>
                <c:pt idx="32">
                  <c:v>6.8224865784215744E-2</c:v>
                </c:pt>
                <c:pt idx="33">
                  <c:v>5.636097164806881E-2</c:v>
                </c:pt>
                <c:pt idx="34">
                  <c:v>5.661532744577135E-2</c:v>
                </c:pt>
                <c:pt idx="35">
                  <c:v>4.4484174104234456E-2</c:v>
                </c:pt>
                <c:pt idx="36">
                  <c:v>6.4324523985482954E-2</c:v>
                </c:pt>
                <c:pt idx="37">
                  <c:v>3.5734766705319623E-2</c:v>
                </c:pt>
                <c:pt idx="38">
                  <c:v>3.3985098306058774E-2</c:v>
                </c:pt>
                <c:pt idx="39">
                  <c:v>3.6656569119593307E-2</c:v>
                </c:pt>
                <c:pt idx="40">
                  <c:v>5.678023253323989E-2</c:v>
                </c:pt>
                <c:pt idx="41">
                  <c:v>4.7623843242384487E-2</c:v>
                </c:pt>
                <c:pt idx="42">
                  <c:v>4.8744446805742428E-2</c:v>
                </c:pt>
                <c:pt idx="43">
                  <c:v>6.1692137797538203E-2</c:v>
                </c:pt>
                <c:pt idx="44">
                  <c:v>6.850911032983141E-2</c:v>
                </c:pt>
                <c:pt idx="45">
                  <c:v>6.4116954122050457E-2</c:v>
                </c:pt>
                <c:pt idx="46">
                  <c:v>4.7816015261358612E-2</c:v>
                </c:pt>
                <c:pt idx="47">
                  <c:v>5.6649206664613552E-2</c:v>
                </c:pt>
                <c:pt idx="48">
                  <c:v>0.11381232872198055</c:v>
                </c:pt>
                <c:pt idx="49">
                  <c:v>0.18390963951229183</c:v>
                </c:pt>
                <c:pt idx="50">
                  <c:v>0.20017087342991532</c:v>
                </c:pt>
                <c:pt idx="51">
                  <c:v>0.1444121569824478</c:v>
                </c:pt>
                <c:pt idx="52">
                  <c:v>0.10018657016239392</c:v>
                </c:pt>
                <c:pt idx="53">
                  <c:v>0.17613529089629684</c:v>
                </c:pt>
                <c:pt idx="54">
                  <c:v>0.26615125742318718</c:v>
                </c:pt>
                <c:pt idx="55">
                  <c:v>0.633257381567224</c:v>
                </c:pt>
                <c:pt idx="56">
                  <c:v>0.68240077245064223</c:v>
                </c:pt>
                <c:pt idx="57">
                  <c:v>0.6322160844256024</c:v>
                </c:pt>
                <c:pt idx="58">
                  <c:v>0.33089168551543874</c:v>
                </c:pt>
                <c:pt idx="59">
                  <c:v>0.70668692532123611</c:v>
                </c:pt>
                <c:pt idx="60">
                  <c:v>0.39445512124257026</c:v>
                </c:pt>
                <c:pt idx="61">
                  <c:v>0.55392074124048751</c:v>
                </c:pt>
                <c:pt idx="62">
                  <c:v>0.37545902425432892</c:v>
                </c:pt>
                <c:pt idx="63">
                  <c:v>0.35917030316986387</c:v>
                </c:pt>
                <c:pt idx="64">
                  <c:v>0.4223858010578535</c:v>
                </c:pt>
                <c:pt idx="65">
                  <c:v>0.29950168905411018</c:v>
                </c:pt>
                <c:pt idx="66">
                  <c:v>0.36088663778956576</c:v>
                </c:pt>
                <c:pt idx="67">
                  <c:v>0.25973181227789677</c:v>
                </c:pt>
                <c:pt idx="68">
                  <c:v>0.37360970558716389</c:v>
                </c:pt>
                <c:pt idx="69">
                  <c:v>0.35801112445818351</c:v>
                </c:pt>
                <c:pt idx="70">
                  <c:v>0.26862979645552892</c:v>
                </c:pt>
                <c:pt idx="71">
                  <c:v>0.3188896040466947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1-47D1-BFB2-84799A30A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66336"/>
        <c:axId val="189580416"/>
      </c:lineChart>
      <c:catAx>
        <c:axId val="18956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80416"/>
        <c:crosses val="autoZero"/>
        <c:auto val="1"/>
        <c:lblAlgn val="ctr"/>
        <c:lblOffset val="100"/>
        <c:noMultiLvlLbl val="0"/>
      </c:catAx>
      <c:valAx>
        <c:axId val="18958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6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vulnerable biomass vs Q+C+SSBobs/q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herring!$AT$2</c:f>
              <c:strCache>
                <c:ptCount val="1"/>
                <c:pt idx="0">
                  <c:v>vulB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herring!$AT$3:$AT$75</c:f>
              <c:numCache>
                <c:formatCode>0.0</c:formatCode>
                <c:ptCount val="73"/>
                <c:pt idx="0" formatCode="0.00">
                  <c:v>30.309010533360809</c:v>
                </c:pt>
                <c:pt idx="1">
                  <c:v>23.411163604285797</c:v>
                </c:pt>
                <c:pt idx="2">
                  <c:v>28.097090330329632</c:v>
                </c:pt>
                <c:pt idx="3">
                  <c:v>39.016955596734732</c:v>
                </c:pt>
                <c:pt idx="4">
                  <c:v>22.595985087685431</c:v>
                </c:pt>
                <c:pt idx="5">
                  <c:v>35.409075401955796</c:v>
                </c:pt>
                <c:pt idx="6">
                  <c:v>38.452649973677403</c:v>
                </c:pt>
                <c:pt idx="7">
                  <c:v>29.672960668777019</c:v>
                </c:pt>
                <c:pt idx="8">
                  <c:v>23.790175380027083</c:v>
                </c:pt>
                <c:pt idx="9">
                  <c:v>9.175112462315921</c:v>
                </c:pt>
                <c:pt idx="10">
                  <c:v>14.122168531359952</c:v>
                </c:pt>
                <c:pt idx="11">
                  <c:v>27.521966616255742</c:v>
                </c:pt>
                <c:pt idx="12">
                  <c:v>26.781780736379083</c:v>
                </c:pt>
                <c:pt idx="13">
                  <c:v>25.549136690913976</c:v>
                </c:pt>
                <c:pt idx="14">
                  <c:v>16.338951037308785</c:v>
                </c:pt>
                <c:pt idx="15">
                  <c:v>6.8696101155532538</c:v>
                </c:pt>
                <c:pt idx="16">
                  <c:v>7.1437109572195299</c:v>
                </c:pt>
                <c:pt idx="17">
                  <c:v>11.001246902907429</c:v>
                </c:pt>
                <c:pt idx="18">
                  <c:v>18.766921375280919</c:v>
                </c:pt>
                <c:pt idx="19">
                  <c:v>32.238260065113948</c:v>
                </c:pt>
                <c:pt idx="20">
                  <c:v>44.587186013485905</c:v>
                </c:pt>
                <c:pt idx="21">
                  <c:v>51.74554780357446</c:v>
                </c:pt>
                <c:pt idx="22">
                  <c:v>41.384527617536328</c:v>
                </c:pt>
                <c:pt idx="23">
                  <c:v>39.066114249373207</c:v>
                </c:pt>
                <c:pt idx="24">
                  <c:v>70.246907386289209</c:v>
                </c:pt>
                <c:pt idx="25">
                  <c:v>93.287823982784431</c:v>
                </c:pt>
                <c:pt idx="26">
                  <c:v>84.500878151668275</c:v>
                </c:pt>
                <c:pt idx="27">
                  <c:v>74.181637092873444</c:v>
                </c:pt>
                <c:pt idx="28">
                  <c:v>84.713027030147245</c:v>
                </c:pt>
                <c:pt idx="29">
                  <c:v>75.162482198418473</c:v>
                </c:pt>
                <c:pt idx="30">
                  <c:v>66.619800432210326</c:v>
                </c:pt>
                <c:pt idx="31">
                  <c:v>45.249228091962365</c:v>
                </c:pt>
                <c:pt idx="32">
                  <c:v>32.045806868806544</c:v>
                </c:pt>
                <c:pt idx="33">
                  <c:v>29.253882239427778</c:v>
                </c:pt>
                <c:pt idx="34">
                  <c:v>34.996226755027401</c:v>
                </c:pt>
                <c:pt idx="35">
                  <c:v>44.748548006168534</c:v>
                </c:pt>
                <c:pt idx="36">
                  <c:v>43.268848952582672</c:v>
                </c:pt>
                <c:pt idx="37">
                  <c:v>54.341869957737288</c:v>
                </c:pt>
                <c:pt idx="38">
                  <c:v>68.082056142628133</c:v>
                </c:pt>
                <c:pt idx="39">
                  <c:v>64.826196900341259</c:v>
                </c:pt>
                <c:pt idx="40">
                  <c:v>48.687114939197443</c:v>
                </c:pt>
                <c:pt idx="41">
                  <c:v>50.013806801430789</c:v>
                </c:pt>
                <c:pt idx="42">
                  <c:v>49.360537469268223</c:v>
                </c:pt>
                <c:pt idx="43">
                  <c:v>42.69874963322281</c:v>
                </c:pt>
                <c:pt idx="44">
                  <c:v>41.25106072113774</c:v>
                </c:pt>
                <c:pt idx="45">
                  <c:v>41.274300762350492</c:v>
                </c:pt>
                <c:pt idx="46">
                  <c:v>51.134752545390839</c:v>
                </c:pt>
                <c:pt idx="47">
                  <c:v>46.742430421074772</c:v>
                </c:pt>
                <c:pt idx="48">
                  <c:v>31.220809249787131</c:v>
                </c:pt>
                <c:pt idx="49">
                  <c:v>20.967684393254711</c:v>
                </c:pt>
                <c:pt idx="50">
                  <c:v>19.625038381363066</c:v>
                </c:pt>
                <c:pt idx="51">
                  <c:v>26.855412955817741</c:v>
                </c:pt>
                <c:pt idx="52">
                  <c:v>32.789723902773325</c:v>
                </c:pt>
                <c:pt idx="53">
                  <c:v>23.281566996830765</c:v>
                </c:pt>
                <c:pt idx="54">
                  <c:v>12.409416517807131</c:v>
                </c:pt>
                <c:pt idx="55">
                  <c:v>3.7851046509767525</c:v>
                </c:pt>
                <c:pt idx="56">
                  <c:v>3.7074927920544138</c:v>
                </c:pt>
                <c:pt idx="57">
                  <c:v>4.6327369383261754</c:v>
                </c:pt>
                <c:pt idx="58">
                  <c:v>7.3145525997561629</c:v>
                </c:pt>
                <c:pt idx="59">
                  <c:v>6.4151343059849602</c:v>
                </c:pt>
                <c:pt idx="60">
                  <c:v>9.5439922606677499</c:v>
                </c:pt>
                <c:pt idx="61">
                  <c:v>11.574605730078595</c:v>
                </c:pt>
                <c:pt idx="62">
                  <c:v>12.940012157304615</c:v>
                </c:pt>
                <c:pt idx="63">
                  <c:v>17.920176842483805</c:v>
                </c:pt>
                <c:pt idx="64">
                  <c:v>18.603421031277204</c:v>
                </c:pt>
                <c:pt idx="65">
                  <c:v>26.581427990861258</c:v>
                </c:pt>
                <c:pt idx="66">
                  <c:v>32.704927500098229</c:v>
                </c:pt>
                <c:pt idx="67">
                  <c:v>31.018278856898739</c:v>
                </c:pt>
                <c:pt idx="68">
                  <c:v>25.107725911316059</c:v>
                </c:pt>
                <c:pt idx="69">
                  <c:v>27.037138205545748</c:v>
                </c:pt>
                <c:pt idx="70">
                  <c:v>32.271388372469147</c:v>
                </c:pt>
                <c:pt idx="71">
                  <c:v>39.937591456062449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C2-49E9-8E38-77FFF54F5130}"/>
            </c:ext>
          </c:extLst>
        </c:ser>
        <c:ser>
          <c:idx val="1"/>
          <c:order val="1"/>
          <c:tx>
            <c:strRef>
              <c:f>herring!$AU$2</c:f>
              <c:strCache>
                <c:ptCount val="1"/>
                <c:pt idx="0">
                  <c:v>alt vulB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herring!$AU$3:$AU$75</c:f>
              <c:numCache>
                <c:formatCode>0.0</c:formatCode>
                <c:ptCount val="73"/>
                <c:pt idx="0">
                  <c:v>54.963346929853842</c:v>
                </c:pt>
                <c:pt idx="1">
                  <c:v>51.268130412300273</c:v>
                </c:pt>
                <c:pt idx="2">
                  <c:v>60.753862908069451</c:v>
                </c:pt>
                <c:pt idx="3">
                  <c:v>67.452259646865102</c:v>
                </c:pt>
                <c:pt idx="4">
                  <c:v>32.530568805512992</c:v>
                </c:pt>
                <c:pt idx="5">
                  <c:v>60.326622650290524</c:v>
                </c:pt>
                <c:pt idx="6">
                  <c:v>68.178640849233574</c:v>
                </c:pt>
                <c:pt idx="7">
                  <c:v>29.937001218878031</c:v>
                </c:pt>
                <c:pt idx="8">
                  <c:v>89.648423559296816</c:v>
                </c:pt>
                <c:pt idx="9">
                  <c:v>64.789325003912623</c:v>
                </c:pt>
                <c:pt idx="10">
                  <c:v>43.577044615169058</c:v>
                </c:pt>
                <c:pt idx="11">
                  <c:v>74.0862248456679</c:v>
                </c:pt>
                <c:pt idx="12">
                  <c:v>36.179758138136101</c:v>
                </c:pt>
                <c:pt idx="13">
                  <c:v>55.223206899199788</c:v>
                </c:pt>
                <c:pt idx="14">
                  <c:v>34.791550750215457</c:v>
                </c:pt>
                <c:pt idx="15">
                  <c:v>18.140763910712028</c:v>
                </c:pt>
                <c:pt idx="16">
                  <c:v>23.898875555397144</c:v>
                </c:pt>
                <c:pt idx="17">
                  <c:v>17.351723672162855</c:v>
                </c:pt>
                <c:pt idx="18">
                  <c:v>16.501577002449263</c:v>
                </c:pt>
                <c:pt idx="19">
                  <c:v>39.356421381821121</c:v>
                </c:pt>
                <c:pt idx="20">
                  <c:v>52.307699190897615</c:v>
                </c:pt>
                <c:pt idx="21">
                  <c:v>67.034903320259616</c:v>
                </c:pt>
                <c:pt idx="22">
                  <c:v>47.232910452031099</c:v>
                </c:pt>
                <c:pt idx="23">
                  <c:v>53.853961054615539</c:v>
                </c:pt>
                <c:pt idx="24">
                  <c:v>96.644281302979195</c:v>
                </c:pt>
                <c:pt idx="25">
                  <c:v>132.58262288553712</c:v>
                </c:pt>
                <c:pt idx="26">
                  <c:v>114.09508796824886</c:v>
                </c:pt>
                <c:pt idx="27">
                  <c:v>88.579376761109316</c:v>
                </c:pt>
                <c:pt idx="28">
                  <c:v>116.17918470850479</c:v>
                </c:pt>
                <c:pt idx="29">
                  <c:v>93.03090327202861</c:v>
                </c:pt>
                <c:pt idx="30">
                  <c:v>82.668819937609072</c:v>
                </c:pt>
                <c:pt idx="31">
                  <c:v>54.356879784505331</c:v>
                </c:pt>
                <c:pt idx="32">
                  <c:v>34.284611793858701</c:v>
                </c:pt>
                <c:pt idx="33">
                  <c:v>42.539004278053461</c:v>
                </c:pt>
                <c:pt idx="34">
                  <c:v>43.897202226052357</c:v>
                </c:pt>
                <c:pt idx="35">
                  <c:v>57.840105919040191</c:v>
                </c:pt>
                <c:pt idx="36">
                  <c:v>42.136173382487996</c:v>
                </c:pt>
                <c:pt idx="37">
                  <c:v>76.91106793648953</c:v>
                </c:pt>
                <c:pt idx="38">
                  <c:v>82.59136461640125</c:v>
                </c:pt>
                <c:pt idx="39">
                  <c:v>78.167496044818861</c:v>
                </c:pt>
                <c:pt idx="40">
                  <c:v>53.553531112254994</c:v>
                </c:pt>
                <c:pt idx="41">
                  <c:v>65.88827889510695</c:v>
                </c:pt>
                <c:pt idx="42">
                  <c:v>59.982808078160218</c:v>
                </c:pt>
                <c:pt idx="43">
                  <c:v>43.934112062922779</c:v>
                </c:pt>
                <c:pt idx="44">
                  <c:v>42.677956019986354</c:v>
                </c:pt>
                <c:pt idx="45">
                  <c:v>50.161641666027684</c:v>
                </c:pt>
                <c:pt idx="46">
                  <c:v>73.376975015007446</c:v>
                </c:pt>
                <c:pt idx="47">
                  <c:v>67.984487673987104</c:v>
                </c:pt>
                <c:pt idx="48">
                  <c:v>35.965877885462895</c:v>
                </c:pt>
                <c:pt idx="49">
                  <c:v>23.847271997639254</c:v>
                </c:pt>
                <c:pt idx="50">
                  <c:v>23.370663254051422</c:v>
                </c:pt>
                <c:pt idx="51">
                  <c:v>35.556758112912995</c:v>
                </c:pt>
                <c:pt idx="52">
                  <c:v>52.530911350634995</c:v>
                </c:pt>
                <c:pt idx="53">
                  <c:v>33.199806611684657</c:v>
                </c:pt>
                <c:pt idx="54">
                  <c:v>24.168299699396684</c:v>
                </c:pt>
                <c:pt idx="55">
                  <c:v>10.924118907323372</c:v>
                </c:pt>
                <c:pt idx="56">
                  <c:v>9.8546286962530658</c:v>
                </c:pt>
                <c:pt idx="57">
                  <c:v>10.377894494461334</c:v>
                </c:pt>
                <c:pt idx="58">
                  <c:v>22.090527849546994</c:v>
                </c:pt>
                <c:pt idx="59">
                  <c:v>11.706288744820794</c:v>
                </c:pt>
                <c:pt idx="60">
                  <c:v>22.236969227941106</c:v>
                </c:pt>
                <c:pt idx="61">
                  <c:v>16.890958319139266</c:v>
                </c:pt>
                <c:pt idx="62">
                  <c:v>27.350711634679556</c:v>
                </c:pt>
                <c:pt idx="63">
                  <c:v>30.30655846859203</c:v>
                </c:pt>
                <c:pt idx="64">
                  <c:v>27.317037438034014</c:v>
                </c:pt>
                <c:pt idx="65">
                  <c:v>40.836592621115997</c:v>
                </c:pt>
                <c:pt idx="66">
                  <c:v>35.923929610031202</c:v>
                </c:pt>
                <c:pt idx="67">
                  <c:v>52.909707220765632</c:v>
                </c:pt>
                <c:pt idx="68">
                  <c:v>37.886071898489135</c:v>
                </c:pt>
                <c:pt idx="69">
                  <c:v>40.722875064143423</c:v>
                </c:pt>
                <c:pt idx="70">
                  <c:v>55.900796411304285</c:v>
                </c:pt>
                <c:pt idx="71">
                  <c:v>48.503049181421162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2-49E9-8E38-77FFF54F5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53216"/>
        <c:axId val="189754752"/>
      </c:lineChart>
      <c:catAx>
        <c:axId val="189753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4752"/>
        <c:crosses val="autoZero"/>
        <c:auto val="1"/>
        <c:lblAlgn val="ctr"/>
        <c:lblOffset val="100"/>
        <c:noMultiLvlLbl val="0"/>
      </c:catAx>
      <c:valAx>
        <c:axId val="1897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herring!$P$3:$P$74</c:f>
              <c:numCache>
                <c:formatCode>0.0000</c:formatCode>
                <c:ptCount val="72"/>
                <c:pt idx="0">
                  <c:v>1.0524741371340878</c:v>
                </c:pt>
                <c:pt idx="1">
                  <c:v>0.74139599168922998</c:v>
                </c:pt>
                <c:pt idx="2">
                  <c:v>1.6572996974260588</c:v>
                </c:pt>
                <c:pt idx="3">
                  <c:v>1.1251405237369818</c:v>
                </c:pt>
                <c:pt idx="4">
                  <c:v>1.0285205070782</c:v>
                </c:pt>
                <c:pt idx="5">
                  <c:v>1.1245094154553115</c:v>
                </c:pt>
                <c:pt idx="6">
                  <c:v>1.7318384982809956</c:v>
                </c:pt>
                <c:pt idx="7">
                  <c:v>1.5701839023455406</c:v>
                </c:pt>
                <c:pt idx="8">
                  <c:v>1.1031425681387741</c:v>
                </c:pt>
                <c:pt idx="9">
                  <c:v>0.97523400100225799</c:v>
                </c:pt>
                <c:pt idx="10">
                  <c:v>1.0439035561952446</c:v>
                </c:pt>
                <c:pt idx="11">
                  <c:v>1.5054172213902424</c:v>
                </c:pt>
                <c:pt idx="12">
                  <c:v>0.84619042032492442</c:v>
                </c:pt>
                <c:pt idx="13">
                  <c:v>1.1603973497973039</c:v>
                </c:pt>
                <c:pt idx="14">
                  <c:v>1.1630265295788151</c:v>
                </c:pt>
                <c:pt idx="15">
                  <c:v>0.79108497379395648</c:v>
                </c:pt>
                <c:pt idx="16">
                  <c:v>0.74493758314533631</c:v>
                </c:pt>
                <c:pt idx="17">
                  <c:v>1.2138346043107993</c:v>
                </c:pt>
                <c:pt idx="18">
                  <c:v>0.84196676311365704</c:v>
                </c:pt>
                <c:pt idx="19">
                  <c:v>1.0730150662493978</c:v>
                </c:pt>
                <c:pt idx="20">
                  <c:v>1.2688540365562315</c:v>
                </c:pt>
                <c:pt idx="21">
                  <c:v>1.4443290029292244</c:v>
                </c:pt>
                <c:pt idx="22">
                  <c:v>0.81063839957757011</c:v>
                </c:pt>
                <c:pt idx="23">
                  <c:v>0.76289957534302832</c:v>
                </c:pt>
                <c:pt idx="24">
                  <c:v>0.79817918756157213</c:v>
                </c:pt>
                <c:pt idx="25">
                  <c:v>0.8531491425008435</c:v>
                </c:pt>
                <c:pt idx="26">
                  <c:v>0.86092147627973115</c:v>
                </c:pt>
                <c:pt idx="27">
                  <c:v>0.69212162578441605</c:v>
                </c:pt>
                <c:pt idx="28">
                  <c:v>0.88737443620102274</c:v>
                </c:pt>
                <c:pt idx="29">
                  <c:v>1.1440797552245341</c:v>
                </c:pt>
                <c:pt idx="30">
                  <c:v>1.2685322864489299</c:v>
                </c:pt>
                <c:pt idx="31">
                  <c:v>1.3240989779268961</c:v>
                </c:pt>
                <c:pt idx="32">
                  <c:v>0.78687768388876922</c:v>
                </c:pt>
                <c:pt idx="33">
                  <c:v>1.0338659476069392</c:v>
                </c:pt>
                <c:pt idx="34">
                  <c:v>1.2772409321142566</c:v>
                </c:pt>
                <c:pt idx="35">
                  <c:v>1.6103248923863926</c:v>
                </c:pt>
                <c:pt idx="36">
                  <c:v>0.75557908396372409</c:v>
                </c:pt>
                <c:pt idx="37">
                  <c:v>1.0308023987097366</c:v>
                </c:pt>
                <c:pt idx="38">
                  <c:v>0.98824486741976525</c:v>
                </c:pt>
                <c:pt idx="39">
                  <c:v>1.0099775349868614</c:v>
                </c:pt>
                <c:pt idx="40">
                  <c:v>0.75937004203800307</c:v>
                </c:pt>
                <c:pt idx="41">
                  <c:v>1.0571735120598611</c:v>
                </c:pt>
                <c:pt idx="42">
                  <c:v>1.1252135380045774</c:v>
                </c:pt>
                <c:pt idx="43">
                  <c:v>0.81191312816902639</c:v>
                </c:pt>
                <c:pt idx="44">
                  <c:v>0.68491721261708782</c:v>
                </c:pt>
                <c:pt idx="45">
                  <c:v>0.87230741642768617</c:v>
                </c:pt>
                <c:pt idx="46">
                  <c:v>1.2065365747110248</c:v>
                </c:pt>
                <c:pt idx="47">
                  <c:v>1.4697022933879234</c:v>
                </c:pt>
                <c:pt idx="48">
                  <c:v>1.257503812555709</c:v>
                </c:pt>
                <c:pt idx="49">
                  <c:v>0.95829926896317907</c:v>
                </c:pt>
                <c:pt idx="50">
                  <c:v>0.86191430861140517</c:v>
                </c:pt>
                <c:pt idx="51">
                  <c:v>1.0230386138998224</c:v>
                </c:pt>
                <c:pt idx="52">
                  <c:v>1.4226208588041873</c:v>
                </c:pt>
                <c:pt idx="53">
                  <c:v>1.29025697619668</c:v>
                </c:pt>
                <c:pt idx="54">
                  <c:v>1.1363592189047462</c:v>
                </c:pt>
                <c:pt idx="55">
                  <c:v>1.2168307864271792</c:v>
                </c:pt>
                <c:pt idx="56">
                  <c:v>0.9530369135450194</c:v>
                </c:pt>
                <c:pt idx="57">
                  <c:v>0.66531170331047806</c:v>
                </c:pt>
                <c:pt idx="58">
                  <c:v>1.7028489665872244</c:v>
                </c:pt>
                <c:pt idx="59">
                  <c:v>0.77278534152795386</c:v>
                </c:pt>
                <c:pt idx="60">
                  <c:v>1.2886284422981311</c:v>
                </c:pt>
                <c:pt idx="61">
                  <c:v>0.64499375279027549</c:v>
                </c:pt>
                <c:pt idx="62">
                  <c:v>1.0588809076989607</c:v>
                </c:pt>
                <c:pt idx="63">
                  <c:v>1.1820812491043429</c:v>
                </c:pt>
                <c:pt idx="64">
                  <c:v>0.92846369669137696</c:v>
                </c:pt>
                <c:pt idx="65">
                  <c:v>1.0469219273117292</c:v>
                </c:pt>
                <c:pt idx="66">
                  <c:v>0.65825304775715288</c:v>
                </c:pt>
                <c:pt idx="67">
                  <c:v>1.0102404720396969</c:v>
                </c:pt>
                <c:pt idx="68">
                  <c:v>0.95682485170652365</c:v>
                </c:pt>
                <c:pt idx="69">
                  <c:v>0.97699780098817224</c:v>
                </c:pt>
                <c:pt idx="70">
                  <c:v>1.2832737164269343</c:v>
                </c:pt>
                <c:pt idx="71">
                  <c:v>0.99999899403873183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8B-41E1-A4F2-06296C3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788544"/>
        <c:axId val="189790080"/>
      </c:lineChart>
      <c:catAx>
        <c:axId val="189788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0080"/>
        <c:crosses val="autoZero"/>
        <c:auto val="1"/>
        <c:lblAlgn val="ctr"/>
        <c:lblOffset val="100"/>
        <c:noMultiLvlLbl val="0"/>
      </c:catAx>
      <c:valAx>
        <c:axId val="1897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460665</xdr:colOff>
      <xdr:row>23</xdr:row>
      <xdr:rowOff>105774</xdr:rowOff>
    </xdr:from>
    <xdr:to>
      <xdr:col>6</xdr:col>
      <xdr:colOff>266700</xdr:colOff>
      <xdr:row>35</xdr:row>
      <xdr:rowOff>48490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554183</xdr:colOff>
      <xdr:row>38</xdr:row>
      <xdr:rowOff>84410</xdr:rowOff>
    </xdr:from>
    <xdr:to>
      <xdr:col>12</xdr:col>
      <xdr:colOff>443285</xdr:colOff>
      <xdr:row>53</xdr:row>
      <xdr:rowOff>142009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329045</xdr:colOff>
      <xdr:row>25</xdr:row>
      <xdr:rowOff>3466</xdr:rowOff>
    </xdr:from>
    <xdr:to>
      <xdr:col>26</xdr:col>
      <xdr:colOff>554183</xdr:colOff>
      <xdr:row>37</xdr:row>
      <xdr:rowOff>38102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352F8D-8BDF-4A3B-9B78-DEAB611EA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259773</xdr:colOff>
      <xdr:row>31</xdr:row>
      <xdr:rowOff>173182</xdr:rowOff>
    </xdr:from>
    <xdr:to>
      <xdr:col>15</xdr:col>
      <xdr:colOff>8659</xdr:colOff>
      <xdr:row>33</xdr:row>
      <xdr:rowOff>147205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815A28-3855-4C94-8E8C-D5947BFACFE2}"/>
            </a:ext>
          </a:extLst>
        </xdr:cNvPr>
        <xdr:cNvSpPr txBox="1"/>
      </xdr:nvSpPr>
      <xdr:spPr>
        <a:xfrm>
          <a:off x="8087591" y="5810250"/>
          <a:ext cx="1593273" cy="337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HR DFO</a:t>
          </a:r>
        </a:p>
      </xdr:txBody>
    </xdr:sp>
    <xdr:clientData/>
  </xdr:twoCellAnchor>
  <xdr:twoCellAnchor>
    <xdr:from>
      <xdr:col>8</xdr:col>
      <xdr:colOff>223404</xdr:colOff>
      <xdr:row>15</xdr:row>
      <xdr:rowOff>86597</xdr:rowOff>
    </xdr:from>
    <xdr:to>
      <xdr:col>15</xdr:col>
      <xdr:colOff>337705</xdr:colOff>
      <xdr:row>30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6F7649-0DA8-4885-8449-7D8F9576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176646</xdr:colOff>
      <xdr:row>7</xdr:row>
      <xdr:rowOff>166253</xdr:rowOff>
    </xdr:from>
    <xdr:to>
      <xdr:col>32</xdr:col>
      <xdr:colOff>568037</xdr:colOff>
      <xdr:row>22</xdr:row>
      <xdr:rowOff>159327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DAFC345-4458-4C20-B66B-DFF3B63D6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351559</xdr:colOff>
      <xdr:row>13</xdr:row>
      <xdr:rowOff>131622</xdr:rowOff>
    </xdr:from>
    <xdr:to>
      <xdr:col>44</xdr:col>
      <xdr:colOff>278822</xdr:colOff>
      <xdr:row>28</xdr:row>
      <xdr:rowOff>121231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A59893-A7C5-4ABD-9458-B4ADEC93D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233796</xdr:colOff>
      <xdr:row>82</xdr:row>
      <xdr:rowOff>145480</xdr:rowOff>
    </xdr:from>
    <xdr:to>
      <xdr:col>11</xdr:col>
      <xdr:colOff>223404</xdr:colOff>
      <xdr:row>97</xdr:row>
      <xdr:rowOff>138551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33D6A21-E144-4BDB-8DE9-6B35956F1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54"/>
  <sheetViews>
    <sheetView tabSelected="1" zoomScale="110" zoomScaleNormal="110" workbookViewId="0">
      <selection activeCell="W4" sqref="W4"/>
    </sheetView>
  </sheetViews>
  <sheetFormatPr defaultRowHeight="14.4" x14ac:dyDescent="0.3"/>
  <cols>
    <col min="1" max="1" width="21.5546875" style="2" bestFit="1" customWidth="1"/>
    <col min="2" max="2" width="10.44140625" style="2" customWidth="1"/>
    <col min="3" max="3" width="10.109375" style="2" customWidth="1"/>
    <col min="4" max="4" width="3" bestFit="1" customWidth="1"/>
    <col min="5" max="5" width="5" bestFit="1" customWidth="1"/>
    <col min="7" max="7" width="12.6640625" bestFit="1" customWidth="1"/>
    <col min="8" max="8" width="10.77734375" bestFit="1" customWidth="1"/>
    <col min="9" max="14" width="8.6640625" bestFit="1" customWidth="1"/>
    <col min="15" max="15" width="9.6640625" bestFit="1" customWidth="1"/>
    <col min="16" max="16" width="6.6640625" bestFit="1" customWidth="1"/>
    <col min="17" max="17" width="7.109375" style="1" customWidth="1"/>
    <col min="18" max="18" width="8.5546875" bestFit="1" customWidth="1"/>
    <col min="19" max="19" width="5.21875" customWidth="1"/>
    <col min="20" max="20" width="7.33203125" bestFit="1" customWidth="1"/>
    <col min="21" max="21" width="9.5546875" bestFit="1" customWidth="1"/>
    <col min="22" max="22" width="8.5546875" style="1" customWidth="1"/>
    <col min="23" max="24" width="7.21875" customWidth="1"/>
    <col min="25" max="32" width="8.21875" style="1" bestFit="1" customWidth="1"/>
    <col min="33" max="33" width="9.21875" style="1" bestFit="1" customWidth="1"/>
    <col min="34" max="34" width="9.21875" style="1" customWidth="1"/>
    <col min="35" max="35" width="10.21875" bestFit="1" customWidth="1"/>
    <col min="36" max="36" width="6.88671875" customWidth="1"/>
    <col min="37" max="37" width="5.77734375" style="1" bestFit="1" customWidth="1"/>
    <col min="38" max="39" width="6.6640625" style="1" bestFit="1" customWidth="1"/>
    <col min="40" max="44" width="5.77734375" style="1" bestFit="1" customWidth="1"/>
    <col min="45" max="45" width="6.77734375" style="1" bestFit="1" customWidth="1"/>
    <col min="46" max="46" width="7.77734375" style="1" customWidth="1"/>
    <col min="47" max="47" width="6.77734375" style="1" customWidth="1"/>
    <col min="48" max="48" width="4.6640625" style="1" bestFit="1" customWidth="1"/>
    <col min="49" max="50" width="5" style="1" bestFit="1" customWidth="1"/>
    <col min="51" max="52" width="4.6640625" style="1" bestFit="1" customWidth="1"/>
    <col min="53" max="53" width="4.77734375" style="1" customWidth="1"/>
    <col min="54" max="54" width="4.6640625" style="1" bestFit="1" customWidth="1"/>
    <col min="55" max="55" width="4.6640625" bestFit="1" customWidth="1"/>
    <col min="56" max="56" width="5.6640625" bestFit="1" customWidth="1"/>
    <col min="57" max="57" width="6.33203125" customWidth="1"/>
    <col min="58" max="58" width="10.109375" customWidth="1"/>
    <col min="59" max="59" width="9.5546875" customWidth="1"/>
    <col min="60" max="60" width="7.88671875" bestFit="1" customWidth="1"/>
    <col min="61" max="69" width="7.6640625" bestFit="1" customWidth="1"/>
    <col min="70" max="74" width="8.5546875" style="1" bestFit="1" customWidth="1"/>
    <col min="75" max="77" width="7.77734375" style="1" bestFit="1" customWidth="1"/>
    <col min="78" max="78" width="8.77734375" style="1" bestFit="1" customWidth="1"/>
    <col min="79" max="83" width="9.21875" style="1" bestFit="1" customWidth="1"/>
    <col min="84" max="86" width="9.21875" style="1" customWidth="1"/>
    <col min="87" max="87" width="9.5546875" bestFit="1" customWidth="1"/>
    <col min="88" max="95" width="8.5546875" style="1" bestFit="1" customWidth="1"/>
    <col min="96" max="96" width="9.6640625" style="1" bestFit="1" customWidth="1"/>
    <col min="97" max="97" width="6.109375" bestFit="1" customWidth="1"/>
    <col min="98" max="104" width="8.5546875" style="1" bestFit="1" customWidth="1"/>
    <col min="105" max="105" width="8.5546875" style="1" customWidth="1"/>
    <col min="106" max="106" width="9.5546875" style="1" bestFit="1" customWidth="1"/>
    <col min="107" max="112" width="6" style="1" bestFit="1" customWidth="1"/>
    <col min="113" max="113" width="6.5546875" style="1" bestFit="1" customWidth="1"/>
    <col min="114" max="115" width="6.5546875" style="1" customWidth="1"/>
    <col min="116" max="116" width="8" style="1" customWidth="1"/>
    <col min="117" max="117" width="4.44140625" customWidth="1"/>
    <col min="118" max="125" width="7.44140625" style="1" bestFit="1" customWidth="1"/>
    <col min="126" max="126" width="8.44140625" style="1" bestFit="1" customWidth="1"/>
    <col min="127" max="127" width="11.21875" bestFit="1" customWidth="1"/>
    <col min="128" max="128" width="10.77734375" bestFit="1" customWidth="1"/>
    <col min="146" max="146" width="9.5546875" customWidth="1"/>
  </cols>
  <sheetData>
    <row r="1" spans="1:149" x14ac:dyDescent="0.55000000000000004">
      <c r="C1" s="2">
        <f>SUM(C3:C74)</f>
        <v>4.7303330893402347</v>
      </c>
      <c r="E1" t="s">
        <v>114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48</v>
      </c>
      <c r="R1" t="s">
        <v>8</v>
      </c>
      <c r="S1" t="s">
        <v>99</v>
      </c>
      <c r="T1" t="s">
        <v>47</v>
      </c>
      <c r="U1" t="s">
        <v>102</v>
      </c>
      <c r="V1" s="29" t="s">
        <v>67</v>
      </c>
      <c r="W1" s="30"/>
      <c r="X1" s="30" t="s">
        <v>119</v>
      </c>
      <c r="Y1" s="29" t="s">
        <v>49</v>
      </c>
      <c r="Z1" s="29" t="s">
        <v>50</v>
      </c>
      <c r="AA1" s="29" t="s">
        <v>51</v>
      </c>
      <c r="AB1" s="29" t="s">
        <v>52</v>
      </c>
      <c r="AC1" s="29" t="s">
        <v>53</v>
      </c>
      <c r="AD1" s="29" t="s">
        <v>54</v>
      </c>
      <c r="AE1" s="29" t="s">
        <v>55</v>
      </c>
      <c r="AF1" s="29" t="s">
        <v>56</v>
      </c>
      <c r="AG1" s="29" t="s">
        <v>57</v>
      </c>
      <c r="AH1" s="29" t="s">
        <v>118</v>
      </c>
      <c r="AI1" s="30" t="s">
        <v>108</v>
      </c>
      <c r="AJ1" s="30" t="s">
        <v>110</v>
      </c>
      <c r="AK1" s="29" t="s">
        <v>58</v>
      </c>
      <c r="AL1" s="29" t="s">
        <v>59</v>
      </c>
      <c r="AM1" s="29" t="s">
        <v>60</v>
      </c>
      <c r="AN1" s="29" t="s">
        <v>61</v>
      </c>
      <c r="AO1" s="29" t="s">
        <v>62</v>
      </c>
      <c r="AP1" s="29" t="s">
        <v>63</v>
      </c>
      <c r="AQ1" s="29" t="s">
        <v>64</v>
      </c>
      <c r="AR1" s="29" t="s">
        <v>65</v>
      </c>
      <c r="AS1" s="29" t="s">
        <v>66</v>
      </c>
      <c r="AT1" s="1" t="s">
        <v>117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13</v>
      </c>
      <c r="BA1" s="1" t="s">
        <v>14</v>
      </c>
      <c r="BB1" s="1" t="s">
        <v>24</v>
      </c>
      <c r="BC1" s="1" t="s">
        <v>25</v>
      </c>
      <c r="BD1" s="1" t="s">
        <v>26</v>
      </c>
      <c r="BE1" s="1"/>
      <c r="BF1" s="1" t="s">
        <v>126</v>
      </c>
      <c r="BG1" s="1">
        <v>0.6</v>
      </c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38</v>
      </c>
      <c r="BS1" s="1" t="s">
        <v>39</v>
      </c>
      <c r="BT1" s="1" t="s">
        <v>40</v>
      </c>
      <c r="BU1" s="1" t="s">
        <v>41</v>
      </c>
      <c r="BV1" s="1" t="s">
        <v>42</v>
      </c>
      <c r="BW1" s="1" t="s">
        <v>43</v>
      </c>
      <c r="BX1" s="1" t="s">
        <v>44</v>
      </c>
      <c r="BY1" s="1" t="s">
        <v>45</v>
      </c>
      <c r="BZ1" s="1" t="s">
        <v>46</v>
      </c>
      <c r="CI1" s="1"/>
      <c r="CS1" s="1"/>
      <c r="CT1" s="1" t="s">
        <v>1</v>
      </c>
      <c r="CU1" s="1" t="s">
        <v>2</v>
      </c>
      <c r="CV1" s="1" t="s">
        <v>3</v>
      </c>
      <c r="CW1" s="1" t="s">
        <v>4</v>
      </c>
      <c r="CX1" s="1" t="s">
        <v>5</v>
      </c>
      <c r="CY1" s="1" t="s">
        <v>6</v>
      </c>
      <c r="CZ1" s="1" t="s">
        <v>35</v>
      </c>
      <c r="DA1" s="1" t="s">
        <v>36</v>
      </c>
      <c r="DB1" s="1" t="s">
        <v>37</v>
      </c>
      <c r="DC1" s="1" t="s">
        <v>7</v>
      </c>
      <c r="DD1" s="1" t="s">
        <v>27</v>
      </c>
      <c r="DE1" s="1" t="s">
        <v>28</v>
      </c>
      <c r="DF1" s="1" t="s">
        <v>29</v>
      </c>
      <c r="DG1" s="1" t="s">
        <v>30</v>
      </c>
      <c r="DH1" s="1" t="s">
        <v>31</v>
      </c>
      <c r="DI1" s="1" t="s">
        <v>32</v>
      </c>
      <c r="DJ1" s="1" t="s">
        <v>33</v>
      </c>
      <c r="DK1" s="1" t="s">
        <v>34</v>
      </c>
      <c r="DL1" s="1" t="s">
        <v>111</v>
      </c>
      <c r="DN1" s="1" t="s">
        <v>69</v>
      </c>
      <c r="DO1" s="1" t="s">
        <v>70</v>
      </c>
      <c r="DP1" s="1" t="s">
        <v>71</v>
      </c>
      <c r="DQ1" s="1" t="s">
        <v>72</v>
      </c>
      <c r="DR1" s="1" t="s">
        <v>73</v>
      </c>
      <c r="DS1" s="1" t="s">
        <v>74</v>
      </c>
      <c r="DT1" s="1" t="s">
        <v>75</v>
      </c>
      <c r="DU1" s="1" t="s">
        <v>76</v>
      </c>
      <c r="DV1" s="1" t="s">
        <v>77</v>
      </c>
      <c r="DW1" s="1" t="s">
        <v>128</v>
      </c>
      <c r="DX1" s="1" t="s">
        <v>127</v>
      </c>
      <c r="DY1" s="1" t="s">
        <v>85</v>
      </c>
      <c r="DZ1" s="1" t="s">
        <v>86</v>
      </c>
      <c r="EA1" s="1" t="s">
        <v>78</v>
      </c>
      <c r="EB1" s="1" t="s">
        <v>79</v>
      </c>
      <c r="EC1" s="1" t="s">
        <v>80</v>
      </c>
      <c r="ED1" s="1" t="s">
        <v>81</v>
      </c>
      <c r="EE1" s="1" t="s">
        <v>82</v>
      </c>
      <c r="EF1" s="1" t="s">
        <v>83</v>
      </c>
      <c r="EG1" s="1" t="s">
        <v>84</v>
      </c>
      <c r="EH1" s="1" t="s">
        <v>87</v>
      </c>
      <c r="EI1" s="1" t="s">
        <v>88</v>
      </c>
      <c r="EJ1" s="1" t="s">
        <v>89</v>
      </c>
      <c r="EK1" s="1" t="s">
        <v>90</v>
      </c>
      <c r="EL1" s="1" t="s">
        <v>91</v>
      </c>
      <c r="EM1" s="1" t="s">
        <v>92</v>
      </c>
      <c r="EN1" s="1" t="s">
        <v>93</v>
      </c>
      <c r="EO1" s="1" t="s">
        <v>94</v>
      </c>
      <c r="EP1" s="1" t="s">
        <v>95</v>
      </c>
      <c r="EQ1" s="1" t="s">
        <v>96</v>
      </c>
      <c r="ER1" t="s">
        <v>97</v>
      </c>
    </row>
    <row r="2" spans="1:149" x14ac:dyDescent="0.55000000000000004">
      <c r="A2" s="12" t="s">
        <v>0</v>
      </c>
      <c r="B2" s="12">
        <f>B3+B4 + B5 + B6 + B7+0*B17/0.1</f>
        <v>11939.302963517492</v>
      </c>
      <c r="G2" s="2">
        <v>6.2675823756864748</v>
      </c>
      <c r="H2" s="2">
        <v>5.1403073011371303</v>
      </c>
      <c r="I2" s="2">
        <v>5.2917082049692681</v>
      </c>
      <c r="J2" s="2">
        <v>3.5777581806633765</v>
      </c>
      <c r="K2" s="2">
        <v>1.5101106780582405</v>
      </c>
      <c r="L2" s="2">
        <v>0.35071935449712277</v>
      </c>
      <c r="M2" s="2">
        <v>0</v>
      </c>
      <c r="N2" s="2">
        <v>0</v>
      </c>
      <c r="O2" s="2">
        <v>2.4631889190310886E-2</v>
      </c>
      <c r="Q2" s="9"/>
      <c r="AH2" s="1" t="s">
        <v>118</v>
      </c>
      <c r="AT2" s="1" t="s">
        <v>117</v>
      </c>
      <c r="AU2" s="1" t="s">
        <v>123</v>
      </c>
      <c r="BE2" t="s">
        <v>116</v>
      </c>
      <c r="BF2" t="s">
        <v>120</v>
      </c>
      <c r="BG2" t="s">
        <v>121</v>
      </c>
      <c r="BH2" t="s">
        <v>122</v>
      </c>
      <c r="CS2" t="s">
        <v>133</v>
      </c>
      <c r="CT2" s="1">
        <v>2.6197453885975358E-2</v>
      </c>
      <c r="CU2" s="1">
        <v>0.34768661313711668</v>
      </c>
      <c r="CV2" s="1">
        <v>0.8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ES2" t="s">
        <v>125</v>
      </c>
    </row>
    <row r="3" spans="1:149" x14ac:dyDescent="0.3">
      <c r="A3" s="26" t="s">
        <v>115</v>
      </c>
      <c r="B3" s="27">
        <f>+SUM(CJ3:CR74)/(2*0.1^2)*0</f>
        <v>0</v>
      </c>
      <c r="C3">
        <f>(LN(V3)-LN(U3))^2</f>
        <v>1.0866629572326364E-2</v>
      </c>
      <c r="D3">
        <v>1</v>
      </c>
      <c r="E3">
        <v>1951</v>
      </c>
      <c r="G3" s="18">
        <f>EXP(G2)</f>
        <v>527.20126132654798</v>
      </c>
      <c r="H3" s="18">
        <f>EXP(H2)</f>
        <v>170.76823753256531</v>
      </c>
      <c r="I3" s="18">
        <f>EXP(I2)</f>
        <v>198.6825261786397</v>
      </c>
      <c r="J3" s="18">
        <f t="shared" ref="J3:O3" si="0">EXP(J2)</f>
        <v>35.793208927987465</v>
      </c>
      <c r="K3" s="18">
        <f t="shared" si="0"/>
        <v>4.5272318318151621</v>
      </c>
      <c r="L3" s="18">
        <f t="shared" si="0"/>
        <v>1.4200887284671901</v>
      </c>
      <c r="M3" s="18">
        <f t="shared" si="0"/>
        <v>1</v>
      </c>
      <c r="N3" s="18">
        <f t="shared" si="0"/>
        <v>1</v>
      </c>
      <c r="O3" s="18">
        <f t="shared" si="0"/>
        <v>1.024937760404657</v>
      </c>
      <c r="P3" s="22">
        <v>1.0524741371340878</v>
      </c>
      <c r="Q3" s="4"/>
      <c r="R3" s="5">
        <f>SUMPRODUCT(G3:O3,CT3:DB3,DC3:DK3)</f>
        <v>30.309010533360812</v>
      </c>
      <c r="S3" s="4">
        <f>LN((V3)/R3)</f>
        <v>-0.43606855234917019</v>
      </c>
      <c r="T3" s="5">
        <v>23.380395459554833</v>
      </c>
      <c r="U3" s="5">
        <f>R3*qfree</f>
        <v>21.750127520208125</v>
      </c>
      <c r="V3" s="5">
        <v>19.597000000000001</v>
      </c>
      <c r="W3" s="4"/>
      <c r="X3" s="32">
        <f>MIN(0.99,AH3/(AT3*(1-BF3)))</f>
        <v>0.89155297065973105</v>
      </c>
      <c r="Y3" s="23">
        <v>27.983444807821702</v>
      </c>
      <c r="Z3" s="23">
        <v>83.674906817088868</v>
      </c>
      <c r="AA3" s="23">
        <v>91.77247844454908</v>
      </c>
      <c r="AB3" s="23">
        <v>14.983261786865157</v>
      </c>
      <c r="AC3" s="23">
        <v>3.1949602339638932</v>
      </c>
      <c r="AD3" s="23">
        <v>0.66102625530287451</v>
      </c>
      <c r="AE3" s="23">
        <v>5.5085521275239545E-2</v>
      </c>
      <c r="AF3" s="23">
        <v>5.5085521275239545E-2</v>
      </c>
      <c r="AG3" s="23">
        <v>0</v>
      </c>
      <c r="AH3" s="23">
        <f>SUMPRODUCT(Y3:AG3,DC3:DK3)</f>
        <v>21.821000000000005</v>
      </c>
      <c r="AI3" s="10">
        <v>5.8337401701731801</v>
      </c>
      <c r="AJ3" s="10">
        <f>AI3*SSLQmult</f>
        <v>5.8337401701731801</v>
      </c>
      <c r="AK3" s="23">
        <f>$AJ3/$DL3*DN3/$DW3</f>
        <v>7.4812403682330544</v>
      </c>
      <c r="AL3" s="23">
        <f t="shared" ref="AL3:AL34" si="1">$AJ3/$DL3*DO3/$DW3</f>
        <v>22.370086849106318</v>
      </c>
      <c r="AM3" s="23">
        <f t="shared" ref="AM3:AM34" si="2">$AJ3/$DL3*DP3/$DW3</f>
        <v>24.534933963535963</v>
      </c>
      <c r="AN3" s="23">
        <f t="shared" ref="AN3:AN34" si="3">$AJ3/$DL3*DQ3/$DW3</f>
        <v>4.0057035042507696</v>
      </c>
      <c r="AO3" s="23">
        <f t="shared" ref="AO3:AO34" si="4">$AJ3/$DL3*DR3/$DW3</f>
        <v>0.85415736487700222</v>
      </c>
      <c r="AP3" s="23">
        <f t="shared" ref="AP3:AP34" si="5">$AJ3/$DL3*DS3/$DW3</f>
        <v>0.17672221342282807</v>
      </c>
      <c r="AQ3" s="23">
        <f t="shared" ref="AQ3:AQ34" si="6">$AJ3/$DL3*DT3/$DW3</f>
        <v>1.4726851118569004E-2</v>
      </c>
      <c r="AR3" s="23">
        <f t="shared" ref="AR3:AR34" si="7">$AJ3/$DL3*DU3/$DW3</f>
        <v>1.4726851118569004E-2</v>
      </c>
      <c r="AS3" s="23">
        <f t="shared" ref="AS3:AS34" si="8">$AJ3/$DL3*DV3/$DW3</f>
        <v>0</v>
      </c>
      <c r="AT3" s="4">
        <f>SUMPRODUCT(G3:O3,DC3:DK3,CT3:DB3)</f>
        <v>30.309010533360809</v>
      </c>
      <c r="AU3" s="23">
        <f>AJ3+AH3+V3/qfree</f>
        <v>54.963346929853842</v>
      </c>
      <c r="AV3" s="4">
        <f>-LN(Su)</f>
        <v>0.37106368139083207</v>
      </c>
      <c r="AW3" s="4">
        <f>-LN(Su)</f>
        <v>0.37106368139083207</v>
      </c>
      <c r="AX3" s="4">
        <f>-LN(Su)</f>
        <v>0.37106368139083207</v>
      </c>
      <c r="AY3" s="4">
        <f>AX3*EXP(tanasMsl)</f>
        <v>0.49515641167153346</v>
      </c>
      <c r="AZ3" s="4">
        <f>AY3*EXP(tanasMsl)</f>
        <v>0.66074877255687903</v>
      </c>
      <c r="BA3" s="4">
        <f>AZ3*EXP(tanasMsl)</f>
        <v>0.88171925101726745</v>
      </c>
      <c r="BB3" s="4">
        <f t="shared" ref="AY3:BC12" si="9">BA3*EXP(tanasMsl)</f>
        <v>1.1765876380005351</v>
      </c>
      <c r="BC3" s="4">
        <f t="shared" si="9"/>
        <v>1.5700671934955486</v>
      </c>
      <c r="BD3" s="24">
        <f>BC3</f>
        <v>1.5700671934955486</v>
      </c>
      <c r="BE3" s="4">
        <f>AX3*P3-LN(1-BF3)</f>
        <v>0.60431673868004843</v>
      </c>
      <c r="BF3" s="32">
        <f>MIN(Maxussl,AJ3/AT3)</f>
        <v>0.19247544104919043</v>
      </c>
      <c r="BG3" s="4">
        <f>AJ3/(AJ3+AH3+V3/qfree)</f>
        <v>0.10613873601289973</v>
      </c>
      <c r="BH3" s="4">
        <f>AX3*P3-LN(1-BG3)</f>
        <v>0.50273962944153894</v>
      </c>
      <c r="BI3" s="23"/>
      <c r="BJ3" s="23"/>
      <c r="BK3" s="23"/>
      <c r="BL3" s="23"/>
      <c r="BM3" s="23"/>
      <c r="BN3" s="23"/>
      <c r="BO3" s="23"/>
      <c r="BP3" s="23"/>
      <c r="BQ3" s="23"/>
      <c r="BR3" s="13">
        <v>25.131367393743716</v>
      </c>
      <c r="BS3" s="13">
        <v>75.146746202946275</v>
      </c>
      <c r="BT3" s="13">
        <v>82.419011964521715</v>
      </c>
      <c r="BU3" s="13">
        <v>13.456165218697423</v>
      </c>
      <c r="BV3" s="13">
        <v>2.8693293481045976</v>
      </c>
      <c r="BW3" s="13">
        <v>0.59365434788370974</v>
      </c>
      <c r="BX3" s="13">
        <v>4.9471195656975817E-2</v>
      </c>
      <c r="BY3" s="13">
        <v>4.9471195656975817E-2</v>
      </c>
      <c r="BZ3" s="13">
        <v>0</v>
      </c>
      <c r="CA3" s="4"/>
      <c r="CB3" s="4"/>
      <c r="CC3" s="4"/>
      <c r="CD3" s="4"/>
      <c r="CE3" s="4"/>
      <c r="CF3" s="4"/>
      <c r="CG3" s="4"/>
      <c r="CH3" s="4"/>
      <c r="CI3" s="4"/>
      <c r="CJ3" s="23"/>
      <c r="CK3" s="23"/>
      <c r="CL3" s="23"/>
      <c r="CM3" s="23"/>
      <c r="CN3" s="23"/>
      <c r="CO3" s="23"/>
      <c r="CP3" s="23"/>
      <c r="CQ3" s="23"/>
      <c r="CR3" s="23"/>
      <c r="CS3" s="31">
        <f>E3</f>
        <v>1951</v>
      </c>
      <c r="CT3" s="1">
        <v>2.6197453885975358E-2</v>
      </c>
      <c r="CU3" s="1">
        <v>0.34768661313711668</v>
      </c>
      <c r="CV3" s="1">
        <v>0.8</v>
      </c>
      <c r="CW3" s="1">
        <v>1</v>
      </c>
      <c r="CX3" s="1">
        <v>1</v>
      </c>
      <c r="CY3" s="1">
        <v>1</v>
      </c>
      <c r="CZ3" s="1">
        <v>1</v>
      </c>
      <c r="DA3" s="1">
        <v>1</v>
      </c>
      <c r="DB3" s="1">
        <v>1</v>
      </c>
      <c r="DC3" s="11">
        <v>5.0299999999999997E-2</v>
      </c>
      <c r="DD3" s="11">
        <v>8.7300000000000003E-2</v>
      </c>
      <c r="DE3" s="11">
        <v>0.1144</v>
      </c>
      <c r="DF3" s="11">
        <v>0.13389999999999999</v>
      </c>
      <c r="DG3" s="11">
        <v>0.1489</v>
      </c>
      <c r="DH3" s="11">
        <v>0.16</v>
      </c>
      <c r="DI3" s="11">
        <v>0.20499999999999999</v>
      </c>
      <c r="DJ3" s="11">
        <v>0.19600000000000001</v>
      </c>
      <c r="DK3" s="11">
        <v>0.14879999999999999</v>
      </c>
      <c r="DL3" s="10">
        <f>SUMPRODUCT(DC3:DK3,DN3:DV3)/DW3</f>
        <v>9.81247213277186E-2</v>
      </c>
      <c r="DN3" s="1">
        <v>508</v>
      </c>
      <c r="DO3" s="1">
        <v>1519</v>
      </c>
      <c r="DP3" s="1">
        <v>1666</v>
      </c>
      <c r="DQ3" s="1">
        <v>272</v>
      </c>
      <c r="DR3" s="1">
        <v>58</v>
      </c>
      <c r="DS3" s="1">
        <v>12</v>
      </c>
      <c r="DT3" s="1">
        <v>1</v>
      </c>
      <c r="DU3" s="1">
        <v>1</v>
      </c>
      <c r="DV3" s="1">
        <v>0</v>
      </c>
      <c r="DW3">
        <f>SUM(DN3:DV3)</f>
        <v>4037</v>
      </c>
      <c r="DX3" s="19">
        <f>SUMPRODUCT(G3:O3,CT3:DB3)</f>
        <v>276.89664906290886</v>
      </c>
      <c r="DY3">
        <f>CT3*G3/$DX3</f>
        <v>4.9879010016811193E-2</v>
      </c>
      <c r="DZ3">
        <f t="shared" ref="DZ3:EG3" si="10">CU3*H3/$DX3</f>
        <v>0.2144259612387111</v>
      </c>
      <c r="EA3">
        <f t="shared" si="10"/>
        <v>0.57402652390639952</v>
      </c>
      <c r="EB3">
        <f t="shared" si="10"/>
        <v>0.12926559078674699</v>
      </c>
      <c r="EC3">
        <f t="shared" si="10"/>
        <v>1.634989750557295E-2</v>
      </c>
      <c r="ED3">
        <f t="shared" si="10"/>
        <v>5.1285876274528575E-3</v>
      </c>
      <c r="EE3">
        <f t="shared" si="10"/>
        <v>3.611455766562229E-3</v>
      </c>
      <c r="EF3">
        <f t="shared" si="10"/>
        <v>3.611455766562229E-3</v>
      </c>
      <c r="EG3">
        <f t="shared" si="10"/>
        <v>3.7015173851807745E-3</v>
      </c>
      <c r="EH3">
        <f>DN3/$DW3</f>
        <v>0.12583601684419124</v>
      </c>
      <c r="EI3">
        <f t="shared" ref="EI3" si="11">DO3/$DW3</f>
        <v>0.37626950705969781</v>
      </c>
      <c r="EJ3">
        <f>DP3/$DW3</f>
        <v>0.41268268516224921</v>
      </c>
      <c r="EK3">
        <f t="shared" ref="EK3:EO3" si="12">DQ3/$DW3</f>
        <v>6.7376764924448843E-2</v>
      </c>
      <c r="EL3">
        <f t="shared" si="12"/>
        <v>1.4367104285360416E-2</v>
      </c>
      <c r="EM3">
        <f t="shared" si="12"/>
        <v>2.972504334902155E-3</v>
      </c>
      <c r="EN3">
        <f t="shared" si="12"/>
        <v>2.4770869457517957E-4</v>
      </c>
      <c r="EO3">
        <f t="shared" si="12"/>
        <v>2.4770869457517957E-4</v>
      </c>
      <c r="EP3">
        <f>DV3/$DW3</f>
        <v>0</v>
      </c>
      <c r="EQ3" cm="1">
        <f t="array" ref="EQ3">SUMPRODUCT(EH3:EP3,LN(DY3:EG3+0.0001))</f>
        <v>-1.4004185748887621</v>
      </c>
      <c r="ER3">
        <v>100</v>
      </c>
      <c r="ES3">
        <v>0.45473073047508927</v>
      </c>
    </row>
    <row r="4" spans="1:149" x14ac:dyDescent="0.3">
      <c r="A4" s="17" t="s">
        <v>98</v>
      </c>
      <c r="B4" s="16">
        <f xml:space="preserve"> SUMPRODUCT(LN( V3:V74/(qfree*R3:R74) )^2)/(2*0.05^2)</f>
        <v>946.06661786804671</v>
      </c>
      <c r="C4">
        <f t="shared" ref="C4:C67" si="13">(LN(V4)-LN(U4))^2</f>
        <v>5.4229334928336773E-2</v>
      </c>
      <c r="D4">
        <v>2</v>
      </c>
      <c r="E4">
        <v>1952</v>
      </c>
      <c r="F4" s="2">
        <v>6.5102019948712311</v>
      </c>
      <c r="G4" s="3">
        <f>EXP(F4)</f>
        <v>671.96213678863444</v>
      </c>
      <c r="H4" s="4">
        <f>MAX((G3*(1-CT3*$BF3)*(1-CT3*$X3)*EXP(-AV3*$P3)),0.000001)</f>
        <v>346.66497503441963</v>
      </c>
      <c r="I4" s="4">
        <f>MAX((H3*(1-CU3*$BF3)*(1-CU3*$X3)*EXP(-AW3*$P3)),0.000001)</f>
        <v>74.401092636903883</v>
      </c>
      <c r="J4" s="4">
        <f>MAX((I3*(1-CV3*$BF3)*(1-CV3*$X3)*EXP(-AX3*$P3)),0.000001)</f>
        <v>32.617294162035037</v>
      </c>
      <c r="K4" s="4">
        <f t="shared" ref="J4:O4" si="14">MAX((J3*(1-CW3*$BF3)*(1-CW3*$X3)*EXP(-AY3*$P3)),0.000001)</f>
        <v>1.8614274110428095</v>
      </c>
      <c r="L4" s="4">
        <f t="shared" si="14"/>
        <v>0.19778285123544093</v>
      </c>
      <c r="M4" s="4">
        <f t="shared" si="14"/>
        <v>4.9166509019525982E-2</v>
      </c>
      <c r="N4" s="4">
        <f t="shared" si="14"/>
        <v>2.5384835675031709E-2</v>
      </c>
      <c r="O4" s="4">
        <f t="shared" si="14"/>
        <v>1.6777268746722446E-2</v>
      </c>
      <c r="P4" s="22">
        <v>0.74139599168922998</v>
      </c>
      <c r="Q4" s="4"/>
      <c r="R4" s="5">
        <f t="shared" ref="R4:R67" si="15">SUMPRODUCT(G4:O4,CT4:DB4,DC4:DK4)</f>
        <v>23.411163604285793</v>
      </c>
      <c r="S4" s="4">
        <f t="shared" ref="S4:S67" si="16">LN((V4)/R4)</f>
        <v>-0.56469735329776494</v>
      </c>
      <c r="T4" s="5">
        <v>8.7826669938731463</v>
      </c>
      <c r="U4" s="5">
        <f>R4*qfree</f>
        <v>16.800145726605123</v>
      </c>
      <c r="V4" s="5">
        <v>13.31</v>
      </c>
      <c r="W4" s="4"/>
      <c r="X4" s="4">
        <f t="shared" ref="X4:X67" si="17">MIN(0.99,AH4/(AT4*(1-BF4)))</f>
        <v>0.99</v>
      </c>
      <c r="Y4" s="23">
        <v>4.509351766569111</v>
      </c>
      <c r="Z4" s="23">
        <v>66.710513247697662</v>
      </c>
      <c r="AA4" s="23">
        <v>57.180439926597991</v>
      </c>
      <c r="AB4" s="23">
        <v>84.794408476516068</v>
      </c>
      <c r="AC4" s="23">
        <v>11.389599822777651</v>
      </c>
      <c r="AD4" s="23">
        <v>3.3471477030203705</v>
      </c>
      <c r="AE4" s="23">
        <v>0.74381060067119342</v>
      </c>
      <c r="AF4" s="23">
        <v>9.2976325083899178E-2</v>
      </c>
      <c r="AG4" s="23">
        <v>0</v>
      </c>
      <c r="AH4" s="23">
        <f t="shared" ref="AH4:AH67" si="18">SUMPRODUCT(Y4:AG4,DC4:DK4)</f>
        <v>27.007999999999999</v>
      </c>
      <c r="AI4" s="10">
        <v>5.7125182282236509</v>
      </c>
      <c r="AJ4" s="4">
        <f t="shared" ref="AJ4:AJ34" si="19">AI4*SSLQmult</f>
        <v>5.7125182282236509</v>
      </c>
      <c r="AK4" s="23">
        <f t="shared" ref="AK4:AK34" si="20">$AJ4/$DL4*DN4/$DW4</f>
        <v>0.95378236685421225</v>
      </c>
      <c r="AL4" s="23">
        <f t="shared" si="1"/>
        <v>14.110079344698915</v>
      </c>
      <c r="AM4" s="23">
        <f t="shared" si="2"/>
        <v>12.094353724027641</v>
      </c>
      <c r="AN4" s="23">
        <f t="shared" si="3"/>
        <v>17.935041620021476</v>
      </c>
      <c r="AO4" s="23">
        <f t="shared" si="4"/>
        <v>2.4090379368998147</v>
      </c>
      <c r="AP4" s="23">
        <f t="shared" si="5"/>
        <v>0.707962169211374</v>
      </c>
      <c r="AQ4" s="23">
        <f t="shared" si="6"/>
        <v>0.15732492649141647</v>
      </c>
      <c r="AR4" s="23">
        <f t="shared" si="7"/>
        <v>1.9665615811427058E-2</v>
      </c>
      <c r="AS4" s="23">
        <f t="shared" si="8"/>
        <v>0</v>
      </c>
      <c r="AT4" s="23">
        <f t="shared" ref="AT4:AT67" si="21">SUMPRODUCT(G4:O4,DC4:DK4,CT4:DB4)</f>
        <v>23.411163604285797</v>
      </c>
      <c r="AU4" s="23">
        <f t="shared" ref="AU4:AU34" si="22">AJ4+AH4+V4/qfree</f>
        <v>51.268130412300273</v>
      </c>
      <c r="AV4" s="4">
        <f t="shared" ref="AV4:AX22" si="23">-LN(Su)</f>
        <v>0.37106368139083207</v>
      </c>
      <c r="AW4" s="4">
        <f t="shared" si="23"/>
        <v>0.37106368139083207</v>
      </c>
      <c r="AX4" s="4">
        <f t="shared" si="23"/>
        <v>0.37106368139083207</v>
      </c>
      <c r="AY4" s="4">
        <f t="shared" si="9"/>
        <v>0.49515641167153346</v>
      </c>
      <c r="AZ4" s="4">
        <f t="shared" si="9"/>
        <v>0.66074877255687903</v>
      </c>
      <c r="BA4" s="4">
        <f t="shared" si="9"/>
        <v>0.88171925101726745</v>
      </c>
      <c r="BB4" s="4">
        <f t="shared" si="9"/>
        <v>1.1765876380005351</v>
      </c>
      <c r="BC4" s="4">
        <f t="shared" si="9"/>
        <v>1.5700671934955486</v>
      </c>
      <c r="BD4" s="24">
        <f t="shared" ref="BD4:BD67" si="24">BC4</f>
        <v>1.5700671934955486</v>
      </c>
      <c r="BE4" s="4">
        <f t="shared" ref="BE4:BE67" si="25">AX4*P4-LN(1-BF4)</f>
        <v>0.55483000752423739</v>
      </c>
      <c r="BF4" s="4">
        <f t="shared" ref="BF4:BF34" si="26">MIN(Maxussl,AJ4/AT4)</f>
        <v>0.24400829983426714</v>
      </c>
      <c r="BG4" s="4">
        <f t="shared" ref="BG4:BG34" si="27">AJ4/(AJ4+AH4+V4/qfree)</f>
        <v>0.11142435236634064</v>
      </c>
      <c r="BH4" s="4">
        <f t="shared" ref="BH4:BH67" si="28">AX4*P4-LN(1-BG4)</f>
        <v>0.39324062021933581</v>
      </c>
      <c r="BI4" s="23"/>
      <c r="BJ4" s="23"/>
      <c r="BK4" s="23"/>
      <c r="BL4" s="23"/>
      <c r="BM4" s="23"/>
      <c r="BN4" s="23"/>
      <c r="BO4" s="23"/>
      <c r="BP4" s="23"/>
      <c r="BQ4" s="23"/>
      <c r="BR4" s="13">
        <v>2.222284953089265</v>
      </c>
      <c r="BS4" s="13">
        <v>32.876071213227782</v>
      </c>
      <c r="BT4" s="13">
        <v>28.179489611338102</v>
      </c>
      <c r="BU4" s="13">
        <v>41.788121179740401</v>
      </c>
      <c r="BV4" s="13">
        <v>5.6129877681120606</v>
      </c>
      <c r="BW4" s="13">
        <v>1.649531099200279</v>
      </c>
      <c r="BX4" s="13">
        <v>0.36656246648895091</v>
      </c>
      <c r="BY4" s="13">
        <v>4.5820308311118864E-2</v>
      </c>
      <c r="BZ4" s="13">
        <v>0</v>
      </c>
      <c r="CA4" s="4"/>
      <c r="CB4" s="4"/>
      <c r="CC4" s="4"/>
      <c r="CD4" s="4"/>
      <c r="CE4" s="4"/>
      <c r="CF4" s="4"/>
      <c r="CG4" s="4"/>
      <c r="CH4" s="4"/>
      <c r="CI4" s="4"/>
      <c r="CJ4" s="23"/>
      <c r="CK4" s="23"/>
      <c r="CL4" s="23"/>
      <c r="CM4" s="23"/>
      <c r="CN4" s="23"/>
      <c r="CO4" s="23"/>
      <c r="CP4" s="23"/>
      <c r="CQ4" s="23"/>
      <c r="CR4" s="23"/>
      <c r="CS4" s="31">
        <f t="shared" ref="CS4:CS67" si="29">E4</f>
        <v>1952</v>
      </c>
      <c r="CT4" s="1">
        <v>2.6197453885975358E-2</v>
      </c>
      <c r="CU4" s="1">
        <v>0.34768661313711668</v>
      </c>
      <c r="CV4" s="1">
        <v>0.8</v>
      </c>
      <c r="CW4" s="1">
        <v>1</v>
      </c>
      <c r="CX4">
        <f t="shared" ref="CX4:DB4" si="30">CX3</f>
        <v>1</v>
      </c>
      <c r="CY4">
        <f t="shared" si="30"/>
        <v>1</v>
      </c>
      <c r="CZ4">
        <f t="shared" si="30"/>
        <v>1</v>
      </c>
      <c r="DA4">
        <f t="shared" si="30"/>
        <v>1</v>
      </c>
      <c r="DB4">
        <f t="shared" si="30"/>
        <v>1</v>
      </c>
      <c r="DC4" s="11">
        <v>5.3600000000000002E-2</v>
      </c>
      <c r="DD4" s="11">
        <v>8.9599999999999999E-2</v>
      </c>
      <c r="DE4" s="11">
        <v>0.1144</v>
      </c>
      <c r="DF4" s="11">
        <v>0.13850000000000001</v>
      </c>
      <c r="DG4" s="11">
        <v>0.15670000000000001</v>
      </c>
      <c r="DH4" s="11">
        <v>0.1699</v>
      </c>
      <c r="DI4" s="11">
        <v>0.17810000000000001</v>
      </c>
      <c r="DJ4" s="11">
        <v>0.19</v>
      </c>
      <c r="DK4" s="11">
        <v>0.14879999999999999</v>
      </c>
      <c r="DL4" s="10">
        <f t="shared" ref="DL4:DL34" si="31">SUMPRODUCT(DC4:DK4,DN4:DV4)/DW4</f>
        <v>0.11805834180044707</v>
      </c>
      <c r="DN4" s="1">
        <v>97</v>
      </c>
      <c r="DO4" s="1">
        <v>1435</v>
      </c>
      <c r="DP4" s="1">
        <v>1230</v>
      </c>
      <c r="DQ4" s="1">
        <v>1824</v>
      </c>
      <c r="DR4" s="1">
        <v>245</v>
      </c>
      <c r="DS4" s="1">
        <v>72</v>
      </c>
      <c r="DT4" s="1">
        <v>16</v>
      </c>
      <c r="DU4" s="1">
        <v>2</v>
      </c>
      <c r="DV4" s="1">
        <v>0</v>
      </c>
      <c r="DW4">
        <f t="shared" ref="DW4:DW67" si="32">SUM(DN4:DV4)</f>
        <v>4921</v>
      </c>
      <c r="DX4" s="19">
        <f t="shared" ref="DX4:DX67" si="33">SUMPRODUCT(G4:O4,CT4:DB4)</f>
        <v>232.42317530189985</v>
      </c>
      <c r="DY4">
        <f>CT4*G4/$DX4</f>
        <v>7.5739852829976473E-2</v>
      </c>
      <c r="DZ4">
        <f t="shared" ref="DZ4:DZ67" si="34">CU4*H4/$DX4</f>
        <v>0.51858327340386889</v>
      </c>
      <c r="EA4">
        <f t="shared" ref="EA4:EA67" si="35">CV4*I4/$DX4</f>
        <v>0.25608837858879635</v>
      </c>
      <c r="EB4">
        <f t="shared" ref="EB4:EB67" si="36">CW4*J4/$DX4</f>
        <v>0.1403358082500494</v>
      </c>
      <c r="EC4">
        <f t="shared" ref="EC4:EC67" si="37">CX4*K4/$DX4</f>
        <v>8.0087857358671667E-3</v>
      </c>
      <c r="ED4">
        <f t="shared" ref="ED4:ED67" si="38">CY4*L4/$DX4</f>
        <v>8.5096011178117763E-4</v>
      </c>
      <c r="EE4">
        <f t="shared" ref="EE4:EE67" si="39">CZ4*M4/$DX4</f>
        <v>2.1153875449667384E-4</v>
      </c>
      <c r="EF4">
        <f t="shared" ref="EF4:EF67" si="40">DA4*N4/$DX4</f>
        <v>1.0921817775726865E-4</v>
      </c>
      <c r="EG4">
        <f t="shared" ref="EG4:EG67" si="41">DB4*O4/$DX4</f>
        <v>7.218414740668637E-5</v>
      </c>
      <c r="EH4">
        <f t="shared" ref="EH4:EH67" si="42">DN4/$DW4</f>
        <v>1.9711440764072344E-2</v>
      </c>
      <c r="EI4">
        <f t="shared" ref="EI4:EI67" si="43">DO4/$DW4</f>
        <v>0.29160739687055476</v>
      </c>
      <c r="EJ4">
        <f t="shared" ref="EJ4:EJ67" si="44">DP4/$DW4</f>
        <v>0.24994919731761836</v>
      </c>
      <c r="EK4">
        <f t="shared" ref="EK4:EK67" si="45">DQ4/$DW4</f>
        <v>0.37065637065637064</v>
      </c>
      <c r="EL4">
        <f t="shared" ref="EL4:EL67" si="46">DR4/$DW4</f>
        <v>4.9786628733997154E-2</v>
      </c>
      <c r="EM4">
        <f t="shared" ref="EM4:EM67" si="47">DS4/$DW4</f>
        <v>1.4631172525909368E-2</v>
      </c>
      <c r="EN4">
        <f t="shared" ref="EN4:EN67" si="48">DT4/$DW4</f>
        <v>3.251371672424304E-3</v>
      </c>
      <c r="EO4">
        <f t="shared" ref="EO4:EO67" si="49">DU4/$DW4</f>
        <v>4.06421459053038E-4</v>
      </c>
      <c r="EP4">
        <f t="shared" ref="EP4:EP67" si="50">DV4/$DW4</f>
        <v>0</v>
      </c>
      <c r="EQ4">
        <f t="shared" ref="EQ4:EQ67" si="51">SUMPRODUCT(EH4:EP4,LN(DY4:EG4+0.0001))</f>
        <v>-1.6814711934276965</v>
      </c>
      <c r="ER4">
        <v>100</v>
      </c>
      <c r="ES4">
        <v>0.5344173708558011</v>
      </c>
    </row>
    <row r="5" spans="1:149" x14ac:dyDescent="0.3">
      <c r="A5" t="s">
        <v>68</v>
      </c>
      <c r="B5" s="14" cm="1">
        <f t="array" ref="B5">SUMPRODUCT((Relm-1)^2)/(2*0.1^2)</f>
        <v>262.4591239341633</v>
      </c>
      <c r="C5">
        <f t="shared" si="13"/>
        <v>0.45462105625972909</v>
      </c>
      <c r="D5">
        <v>3</v>
      </c>
      <c r="E5">
        <v>1953</v>
      </c>
      <c r="F5" s="2">
        <v>6.1987817473692512</v>
      </c>
      <c r="G5" s="3">
        <f>EXP(F5)</f>
        <v>492.14911378335523</v>
      </c>
      <c r="H5" s="4">
        <f t="shared" ref="H5:H68" si="52">MAX((G4*(1-CT4*$BF4)*(1-CT4*$X4)*EXP(-AV4*$P4)),0.000001)</f>
        <v>493.93613093603625</v>
      </c>
      <c r="I5" s="4">
        <f t="shared" ref="I5:I68" si="53">MAX((H4*(1-CU4*$BF4)*(1-CU4*$X4)*EXP(-AW4*$P4)),0.000001)</f>
        <v>158.01418094715149</v>
      </c>
      <c r="J5" s="4">
        <f t="shared" ref="J5:J68" si="54">MAX((I4*(1-CV4*$BF4)*(1-CV4*$X4)*EXP(-AX4*$P4)),0.000001)</f>
        <v>9.4591125925816932</v>
      </c>
      <c r="K5" s="4">
        <f t="shared" ref="K5:K68" si="55">MAX((J4*(1-CW4*$BF4)*(1-CW4*$X4)*EXP(-AY4*$P4)),0.000001)</f>
        <v>0.17081752408477402</v>
      </c>
      <c r="L5" s="4">
        <f t="shared" ref="L5:L68" si="56">MAX((K4*(1-CX4*$BF4)*(1-CX4*$X4)*EXP(-AZ4*$P4)),0.000001)</f>
        <v>8.6220884828577954E-3</v>
      </c>
      <c r="M5" s="4">
        <f t="shared" ref="M5:M68" si="57">MAX((L4*(1-CY4*$BF4)*(1-CY4*$X4)*EXP(-BA4*$P4)),0.000001)</f>
        <v>7.7768908525075223E-4</v>
      </c>
      <c r="N5" s="4">
        <f t="shared" ref="N5:N68" si="58">MAX((M4*(1-CZ4*$BF4)*(1-CZ4*$X4)*EXP(-BB4*$P4)),0.000001)</f>
        <v>1.5536163579573157E-4</v>
      </c>
      <c r="O5" s="4">
        <f t="shared" ref="O5:O68" si="59">MAX((N4*(1-DA4*$BF4)*(1-DA4*$X4)*EXP(-BC4*$P4)),0.000001)</f>
        <v>5.9917622627313221E-5</v>
      </c>
      <c r="P5" s="22">
        <v>1.6572996974260588</v>
      </c>
      <c r="Q5" s="4"/>
      <c r="R5" s="5">
        <f>SUMPRODUCT(G5:O5,CT5:DB5,DC5:DK5)</f>
        <v>28.097090330329632</v>
      </c>
      <c r="S5" s="4">
        <f t="shared" si="16"/>
        <v>0.34243050273348219</v>
      </c>
      <c r="T5" s="5">
        <v>19.286993357921951</v>
      </c>
      <c r="U5" s="5">
        <f t="shared" ref="U5:U34" si="60">R5*qfree</f>
        <v>20.162825736552101</v>
      </c>
      <c r="V5" s="5">
        <v>39.570999999999998</v>
      </c>
      <c r="W5" s="4"/>
      <c r="X5" s="4">
        <f>MIN(0.99,AH5/(AT5*(1-BF5)))</f>
        <v>8.8866004731268902E-4</v>
      </c>
      <c r="Y5" s="23">
        <v>3.5184209575834111E-2</v>
      </c>
      <c r="Z5" s="23">
        <v>0.13824592081124204</v>
      </c>
      <c r="AA5" s="23">
        <v>6.762840991036434E-2</v>
      </c>
      <c r="AB5" s="23">
        <v>4.0477409246534833E-3</v>
      </c>
      <c r="AC5" s="23">
        <v>1.1831858087448643E-3</v>
      </c>
      <c r="AD5" s="23">
        <v>1.2454587460472254E-4</v>
      </c>
      <c r="AE5" s="23">
        <v>0</v>
      </c>
      <c r="AF5" s="23">
        <v>0</v>
      </c>
      <c r="AG5" s="23">
        <v>0</v>
      </c>
      <c r="AH5" s="23">
        <f t="shared" si="18"/>
        <v>2.0000000000000004E-2</v>
      </c>
      <c r="AI5" s="10">
        <v>5.5912962862741216</v>
      </c>
      <c r="AJ5" s="4">
        <f t="shared" si="19"/>
        <v>5.5912962862741216</v>
      </c>
      <c r="AK5" s="23">
        <f t="shared" si="20"/>
        <v>9.8362670168425836</v>
      </c>
      <c r="AL5" s="23">
        <f t="shared" si="1"/>
        <v>38.648695181222188</v>
      </c>
      <c r="AM5" s="23">
        <f t="shared" si="2"/>
        <v>18.906523858922206</v>
      </c>
      <c r="AN5" s="23">
        <f t="shared" si="3"/>
        <v>1.1316059399907397</v>
      </c>
      <c r="AO5" s="23">
        <f t="shared" si="4"/>
        <v>0.33077712092037004</v>
      </c>
      <c r="AP5" s="23">
        <f t="shared" si="5"/>
        <v>3.4818644307407373E-2</v>
      </c>
      <c r="AQ5" s="23">
        <f t="shared" si="6"/>
        <v>0</v>
      </c>
      <c r="AR5" s="23">
        <f t="shared" si="7"/>
        <v>0</v>
      </c>
      <c r="AS5" s="23">
        <f t="shared" si="8"/>
        <v>0</v>
      </c>
      <c r="AT5" s="23">
        <f t="shared" si="21"/>
        <v>28.097090330329632</v>
      </c>
      <c r="AU5" s="23">
        <f t="shared" si="22"/>
        <v>60.753862908069451</v>
      </c>
      <c r="AV5" s="4">
        <f t="shared" si="23"/>
        <v>0.37106368139083207</v>
      </c>
      <c r="AW5" s="4">
        <f t="shared" si="23"/>
        <v>0.37106368139083207</v>
      </c>
      <c r="AX5" s="4">
        <f t="shared" si="23"/>
        <v>0.37106368139083207</v>
      </c>
      <c r="AY5" s="4">
        <f t="shared" si="9"/>
        <v>0.49515641167153346</v>
      </c>
      <c r="AZ5" s="4">
        <f t="shared" si="9"/>
        <v>0.66074877255687903</v>
      </c>
      <c r="BA5" s="4">
        <f t="shared" si="9"/>
        <v>0.88171925101726745</v>
      </c>
      <c r="BB5" s="4">
        <f t="shared" si="9"/>
        <v>1.1765876380005351</v>
      </c>
      <c r="BC5" s="4">
        <f t="shared" si="9"/>
        <v>1.5700671934955486</v>
      </c>
      <c r="BD5" s="24">
        <f t="shared" si="24"/>
        <v>1.5700671934955486</v>
      </c>
      <c r="BE5" s="4">
        <f t="shared" si="25"/>
        <v>0.83685696178110147</v>
      </c>
      <c r="BF5" s="4">
        <f t="shared" si="26"/>
        <v>0.19899912128048902</v>
      </c>
      <c r="BG5" s="4">
        <f t="shared" si="27"/>
        <v>9.2031946918908994E-2</v>
      </c>
      <c r="BH5" s="4">
        <f t="shared" si="28"/>
        <v>0.71150981172603234</v>
      </c>
      <c r="BI5" s="23"/>
      <c r="BJ5" s="23"/>
      <c r="BK5" s="23"/>
      <c r="BL5" s="23"/>
      <c r="BM5" s="23"/>
      <c r="BN5" s="23"/>
      <c r="BO5" s="23"/>
      <c r="BP5" s="23"/>
      <c r="BQ5" s="23"/>
      <c r="BR5" s="13">
        <v>69.613717856266604</v>
      </c>
      <c r="BS5" s="13">
        <v>273.52646662108288</v>
      </c>
      <c r="BT5" s="13">
        <v>133.80619042815138</v>
      </c>
      <c r="BU5" s="13">
        <v>8.0086578064731491</v>
      </c>
      <c r="BV5" s="13">
        <v>2.3409922818921509</v>
      </c>
      <c r="BW5" s="13">
        <v>0.24642024019917377</v>
      </c>
      <c r="BX5" s="13">
        <v>0</v>
      </c>
      <c r="BY5" s="13">
        <v>0</v>
      </c>
      <c r="BZ5" s="13">
        <v>0</v>
      </c>
      <c r="CA5" s="4"/>
      <c r="CB5" s="4"/>
      <c r="CC5" s="4"/>
      <c r="CD5" s="4"/>
      <c r="CE5" s="4"/>
      <c r="CF5" s="4"/>
      <c r="CG5" s="4"/>
      <c r="CH5" s="4"/>
      <c r="CI5" s="4"/>
      <c r="CJ5" s="23"/>
      <c r="CK5" s="23"/>
      <c r="CL5" s="23"/>
      <c r="CM5" s="23"/>
      <c r="CN5" s="23"/>
      <c r="CO5" s="23"/>
      <c r="CP5" s="23"/>
      <c r="CQ5" s="23"/>
      <c r="CR5" s="23"/>
      <c r="CS5" s="31">
        <f t="shared" si="29"/>
        <v>1953</v>
      </c>
      <c r="CT5" s="1">
        <v>2.6197453885975358E-2</v>
      </c>
      <c r="CU5" s="1">
        <v>0.34768661313711668</v>
      </c>
      <c r="CV5" s="1">
        <v>0.8</v>
      </c>
      <c r="CW5" s="1">
        <v>1</v>
      </c>
      <c r="CX5">
        <f t="shared" ref="CX5:CX68" si="61">CX4</f>
        <v>1</v>
      </c>
      <c r="CY5">
        <f t="shared" ref="CY5:CY68" si="62">CY4</f>
        <v>1</v>
      </c>
      <c r="CZ5">
        <f t="shared" ref="CZ5:CZ68" si="63">CZ4</f>
        <v>1</v>
      </c>
      <c r="DA5">
        <f t="shared" ref="DA5:DA68" si="64">DA4</f>
        <v>1</v>
      </c>
      <c r="DB5">
        <f t="shared" ref="DB5:DB68" si="65">DB4</f>
        <v>1</v>
      </c>
      <c r="DC5" s="11">
        <v>4.2700000000000002E-2</v>
      </c>
      <c r="DD5" s="11">
        <v>7.9899999999999999E-2</v>
      </c>
      <c r="DE5" s="11">
        <v>0.10009999999999999</v>
      </c>
      <c r="DF5" s="11">
        <v>0.121</v>
      </c>
      <c r="DG5" s="11">
        <v>0.14729999999999999</v>
      </c>
      <c r="DH5" s="11">
        <v>0.14549999999999999</v>
      </c>
      <c r="DI5" s="11">
        <v>0.1915</v>
      </c>
      <c r="DJ5" s="11">
        <v>0.193</v>
      </c>
      <c r="DK5" s="11">
        <v>0.14879999999999999</v>
      </c>
      <c r="DL5" s="10">
        <f t="shared" si="31"/>
        <v>8.116421531463229E-2</v>
      </c>
      <c r="DN5" s="1">
        <v>565</v>
      </c>
      <c r="DO5" s="1">
        <v>2220</v>
      </c>
      <c r="DP5" s="1">
        <v>1086</v>
      </c>
      <c r="DQ5" s="1">
        <v>65</v>
      </c>
      <c r="DR5" s="1">
        <v>19</v>
      </c>
      <c r="DS5" s="1">
        <v>2</v>
      </c>
      <c r="DT5" s="1">
        <v>0</v>
      </c>
      <c r="DU5" s="1">
        <v>0</v>
      </c>
      <c r="DV5" s="1">
        <v>0</v>
      </c>
      <c r="DW5">
        <f t="shared" si="32"/>
        <v>3957</v>
      </c>
      <c r="DX5" s="19">
        <f t="shared" si="33"/>
        <v>320.67892411577913</v>
      </c>
      <c r="DY5">
        <f t="shared" ref="DY4:DY67" si="66">CT5*G5/$DX5</f>
        <v>4.0205491361534354E-2</v>
      </c>
      <c r="DZ5">
        <f t="shared" si="34"/>
        <v>0.53553560136430423</v>
      </c>
      <c r="EA5">
        <f t="shared" si="35"/>
        <v>0.3941991046224203</v>
      </c>
      <c r="EB5">
        <f t="shared" si="36"/>
        <v>2.9497144593033934E-2</v>
      </c>
      <c r="EC5">
        <f t="shared" si="37"/>
        <v>5.3267462012284101E-4</v>
      </c>
      <c r="ED5">
        <f t="shared" si="38"/>
        <v>2.6886982069781562E-5</v>
      </c>
      <c r="EE5">
        <f t="shared" si="39"/>
        <v>2.4251331371249468E-6</v>
      </c>
      <c r="EF5">
        <f t="shared" si="40"/>
        <v>4.8447722663444891E-7</v>
      </c>
      <c r="EG5">
        <f t="shared" si="41"/>
        <v>1.8684615084239318E-7</v>
      </c>
      <c r="EH5">
        <f t="shared" si="42"/>
        <v>0.14278493808440737</v>
      </c>
      <c r="EI5">
        <f t="shared" si="43"/>
        <v>0.56103108415466263</v>
      </c>
      <c r="EJ5">
        <f t="shared" si="44"/>
        <v>0.27445034116755118</v>
      </c>
      <c r="EK5">
        <f t="shared" si="45"/>
        <v>1.6426585797321203E-2</v>
      </c>
      <c r="EL5">
        <f t="shared" si="46"/>
        <v>4.8016173869092748E-3</v>
      </c>
      <c r="EM5">
        <f t="shared" si="47"/>
        <v>5.0543340914834466E-4</v>
      </c>
      <c r="EN5">
        <f t="shared" si="48"/>
        <v>0</v>
      </c>
      <c r="EO5">
        <f t="shared" si="49"/>
        <v>0</v>
      </c>
      <c r="EP5">
        <f t="shared" si="50"/>
        <v>0</v>
      </c>
      <c r="EQ5">
        <f t="shared" si="51"/>
        <v>-1.1619132777330148</v>
      </c>
      <c r="ER5">
        <v>100</v>
      </c>
      <c r="ES5">
        <v>0.61604491766464986</v>
      </c>
    </row>
    <row r="6" spans="1:149" x14ac:dyDescent="0.3">
      <c r="A6" s="25" t="s">
        <v>107</v>
      </c>
      <c r="B6" s="28">
        <f>-SUMPRODUCT(EQ3:EQ74,ER3:ER74)*1</f>
        <v>10730.777221715281</v>
      </c>
      <c r="C6">
        <f t="shared" si="13"/>
        <v>9.2752178351027503E-2</v>
      </c>
      <c r="D6">
        <v>4</v>
      </c>
      <c r="E6">
        <v>1954</v>
      </c>
      <c r="F6" s="2">
        <v>6.1039208009842634</v>
      </c>
      <c r="G6" s="3">
        <f t="shared" ref="G6:G69" si="67">EXP(F6)</f>
        <v>447.60932116406451</v>
      </c>
      <c r="H6" s="4">
        <f t="shared" si="52"/>
        <v>264.69225063143813</v>
      </c>
      <c r="I6" s="4">
        <f t="shared" si="53"/>
        <v>248.49782288997713</v>
      </c>
      <c r="J6" s="4">
        <f t="shared" si="54"/>
        <v>71.780241540673345</v>
      </c>
      <c r="K6" s="4">
        <f t="shared" si="55"/>
        <v>3.3320032880534809</v>
      </c>
      <c r="L6" s="4">
        <f t="shared" si="56"/>
        <v>4.573001406610494E-2</v>
      </c>
      <c r="M6" s="4">
        <f t="shared" si="57"/>
        <v>1.6004294520661718E-3</v>
      </c>
      <c r="N6" s="4">
        <f t="shared" si="58"/>
        <v>8.8551666548069655E-5</v>
      </c>
      <c r="O6" s="4">
        <f t="shared" si="59"/>
        <v>9.2156337160275627E-6</v>
      </c>
      <c r="P6" s="22">
        <v>1.1251405237369818</v>
      </c>
      <c r="Q6" s="4"/>
      <c r="R6" s="5">
        <f t="shared" si="15"/>
        <v>39.016955596734732</v>
      </c>
      <c r="S6" s="4">
        <f t="shared" si="16"/>
        <v>-0.63637784812370446</v>
      </c>
      <c r="T6" s="5">
        <v>19.514546794219125</v>
      </c>
      <c r="U6" s="5">
        <f t="shared" si="60"/>
        <v>27.999058522389149</v>
      </c>
      <c r="V6" s="5">
        <v>20.648</v>
      </c>
      <c r="W6" s="4"/>
      <c r="X6" s="4">
        <f t="shared" si="17"/>
        <v>0.98992808750632089</v>
      </c>
      <c r="Y6" s="23">
        <v>9.5531028051501767</v>
      </c>
      <c r="Z6" s="23">
        <v>225.75798776342626</v>
      </c>
      <c r="AA6" s="23">
        <v>98.520035677653055</v>
      </c>
      <c r="AB6" s="23">
        <v>19.809501522335953</v>
      </c>
      <c r="AC6" s="23">
        <v>2.4615356921245857</v>
      </c>
      <c r="AD6" s="23">
        <v>0.5274719340266969</v>
      </c>
      <c r="AE6" s="23">
        <v>0.29303996334816496</v>
      </c>
      <c r="AF6" s="23">
        <v>5.8607992669632993E-2</v>
      </c>
      <c r="AG6" s="23">
        <v>5.8607992669632993E-2</v>
      </c>
      <c r="AH6" s="23">
        <f t="shared" si="18"/>
        <v>33.209000000000017</v>
      </c>
      <c r="AI6" s="10">
        <v>5.4700743443245905</v>
      </c>
      <c r="AJ6" s="4">
        <f t="shared" si="19"/>
        <v>5.4700743443245905</v>
      </c>
      <c r="AK6" s="23">
        <f t="shared" si="20"/>
        <v>1.5735548364343177</v>
      </c>
      <c r="AL6" s="23">
        <f t="shared" si="1"/>
        <v>37.186093435245347</v>
      </c>
      <c r="AM6" s="23">
        <f t="shared" si="2"/>
        <v>16.22788760764471</v>
      </c>
      <c r="AN6" s="23">
        <f t="shared" si="3"/>
        <v>3.2629542007042902</v>
      </c>
      <c r="AO6" s="23">
        <f t="shared" si="4"/>
        <v>0.40545584742479346</v>
      </c>
      <c r="AP6" s="23">
        <f t="shared" si="5"/>
        <v>8.6883395876741459E-2</v>
      </c>
      <c r="AQ6" s="23">
        <f t="shared" si="6"/>
        <v>4.8268553264856372E-2</v>
      </c>
      <c r="AR6" s="23">
        <f t="shared" si="7"/>
        <v>9.6537106529712736E-3</v>
      </c>
      <c r="AS6" s="23">
        <f t="shared" si="8"/>
        <v>9.6537106529712736E-3</v>
      </c>
      <c r="AT6" s="23">
        <f t="shared" si="21"/>
        <v>39.016955596734732</v>
      </c>
      <c r="AU6" s="23">
        <f t="shared" si="22"/>
        <v>67.452259646865102</v>
      </c>
      <c r="AV6" s="4">
        <f t="shared" si="23"/>
        <v>0.37106368139083207</v>
      </c>
      <c r="AW6" s="4">
        <f t="shared" si="23"/>
        <v>0.37106368139083207</v>
      </c>
      <c r="AX6" s="4">
        <f t="shared" si="23"/>
        <v>0.37106368139083207</v>
      </c>
      <c r="AY6" s="4">
        <f t="shared" si="9"/>
        <v>0.49515641167153346</v>
      </c>
      <c r="AZ6" s="4">
        <f t="shared" si="9"/>
        <v>0.66074877255687903</v>
      </c>
      <c r="BA6" s="4">
        <f t="shared" si="9"/>
        <v>0.88171925101726745</v>
      </c>
      <c r="BB6" s="4">
        <f t="shared" si="9"/>
        <v>1.1765876380005351</v>
      </c>
      <c r="BC6" s="4">
        <f t="shared" si="9"/>
        <v>1.5700671934955486</v>
      </c>
      <c r="BD6" s="24">
        <f t="shared" si="24"/>
        <v>1.5700671934955486</v>
      </c>
      <c r="BE6" s="4">
        <f t="shared" si="25"/>
        <v>0.56855119446246061</v>
      </c>
      <c r="BF6" s="4">
        <f t="shared" si="26"/>
        <v>0.14019736447049633</v>
      </c>
      <c r="BG6" s="4">
        <f t="shared" si="27"/>
        <v>8.1095494397997042E-2</v>
      </c>
      <c r="BH6" s="4">
        <f t="shared" si="28"/>
        <v>0.50207185805110177</v>
      </c>
      <c r="BI6" s="23"/>
      <c r="BJ6" s="23"/>
      <c r="BK6" s="23"/>
      <c r="BL6" s="23"/>
      <c r="BM6" s="23"/>
      <c r="BN6" s="23"/>
      <c r="BO6" s="23"/>
      <c r="BP6" s="23"/>
      <c r="BQ6" s="23"/>
      <c r="BR6" s="13">
        <v>5.9397291915065438</v>
      </c>
      <c r="BS6" s="13">
        <v>140.36709721278041</v>
      </c>
      <c r="BT6" s="13">
        <v>61.255734790935584</v>
      </c>
      <c r="BU6" s="13">
        <v>12.316739059688416</v>
      </c>
      <c r="BV6" s="13">
        <v>1.5304823683636495</v>
      </c>
      <c r="BW6" s="13">
        <v>0.3279605075064963</v>
      </c>
      <c r="BX6" s="13">
        <v>0.18220028194805352</v>
      </c>
      <c r="BY6" s="13">
        <v>3.6440056389610703E-2</v>
      </c>
      <c r="BZ6" s="13">
        <v>3.6440056389610703E-2</v>
      </c>
      <c r="CA6" s="4"/>
      <c r="CB6" s="4"/>
      <c r="CC6" s="4"/>
      <c r="CD6" s="4"/>
      <c r="CE6" s="4"/>
      <c r="CF6" s="4"/>
      <c r="CG6" s="4"/>
      <c r="CH6" s="4"/>
      <c r="CI6" s="4"/>
      <c r="CJ6" s="23"/>
      <c r="CK6" s="23"/>
      <c r="CL6" s="23"/>
      <c r="CM6" s="23"/>
      <c r="CN6" s="23"/>
      <c r="CO6" s="23"/>
      <c r="CP6" s="23"/>
      <c r="CQ6" s="23"/>
      <c r="CR6" s="23"/>
      <c r="CS6" s="31">
        <f t="shared" si="29"/>
        <v>1954</v>
      </c>
      <c r="CT6" s="1">
        <v>2.6197453885975358E-2</v>
      </c>
      <c r="CU6" s="1">
        <v>0.34768661313711668</v>
      </c>
      <c r="CV6" s="1">
        <v>0.8</v>
      </c>
      <c r="CW6" s="1">
        <v>1</v>
      </c>
      <c r="CX6">
        <f t="shared" si="61"/>
        <v>1</v>
      </c>
      <c r="CY6">
        <f t="shared" si="62"/>
        <v>1</v>
      </c>
      <c r="CZ6">
        <f t="shared" si="63"/>
        <v>1</v>
      </c>
      <c r="DA6">
        <f t="shared" si="64"/>
        <v>1</v>
      </c>
      <c r="DB6">
        <f t="shared" si="65"/>
        <v>1</v>
      </c>
      <c r="DC6" s="11">
        <v>5.4199999999999998E-2</v>
      </c>
      <c r="DD6" s="11">
        <v>8.5400000000000004E-2</v>
      </c>
      <c r="DE6" s="11">
        <v>0.1056</v>
      </c>
      <c r="DF6" s="11">
        <v>0.1258</v>
      </c>
      <c r="DG6" s="11">
        <v>0.1474</v>
      </c>
      <c r="DH6" s="11">
        <v>0.1658</v>
      </c>
      <c r="DI6" s="11">
        <v>0.155</v>
      </c>
      <c r="DJ6" s="11">
        <v>0.193</v>
      </c>
      <c r="DK6" s="11">
        <v>0.14879999999999999</v>
      </c>
      <c r="DL6" s="10">
        <f t="shared" si="31"/>
        <v>9.3012015758371633E-2</v>
      </c>
      <c r="DN6" s="1">
        <v>163</v>
      </c>
      <c r="DO6" s="1">
        <v>3852</v>
      </c>
      <c r="DP6" s="1">
        <v>1681</v>
      </c>
      <c r="DQ6" s="1">
        <v>338</v>
      </c>
      <c r="DR6" s="1">
        <v>42</v>
      </c>
      <c r="DS6" s="1">
        <v>9</v>
      </c>
      <c r="DT6" s="1">
        <v>5</v>
      </c>
      <c r="DU6" s="1">
        <v>1</v>
      </c>
      <c r="DV6" s="1">
        <v>1</v>
      </c>
      <c r="DW6">
        <f t="shared" si="32"/>
        <v>6092</v>
      </c>
      <c r="DX6" s="19">
        <f t="shared" si="33"/>
        <v>377.71410804734091</v>
      </c>
      <c r="DY6">
        <f t="shared" si="66"/>
        <v>3.1045238449654639E-2</v>
      </c>
      <c r="DZ6">
        <f t="shared" si="34"/>
        <v>0.24364976098311625</v>
      </c>
      <c r="EA6">
        <f t="shared" si="35"/>
        <v>0.52631938833236613</v>
      </c>
      <c r="EB6">
        <f t="shared" si="36"/>
        <v>0.19003855035162401</v>
      </c>
      <c r="EC6">
        <f t="shared" si="37"/>
        <v>8.8214954566533249E-3</v>
      </c>
      <c r="ED6">
        <f t="shared" si="38"/>
        <v>1.2107044214608303E-4</v>
      </c>
      <c r="EE6">
        <f t="shared" si="39"/>
        <v>4.2371450204491213E-6</v>
      </c>
      <c r="EF6">
        <f t="shared" si="40"/>
        <v>2.3444098237646714E-7</v>
      </c>
      <c r="EG6">
        <f t="shared" si="41"/>
        <v>2.4398436594463976E-8</v>
      </c>
      <c r="EH6">
        <f t="shared" si="42"/>
        <v>2.675640183847669E-2</v>
      </c>
      <c r="EI6">
        <f t="shared" si="43"/>
        <v>0.63230466185160872</v>
      </c>
      <c r="EJ6">
        <f t="shared" si="44"/>
        <v>0.27593565331582404</v>
      </c>
      <c r="EK6">
        <f t="shared" si="45"/>
        <v>5.5482600131319761E-2</v>
      </c>
      <c r="EL6">
        <f t="shared" si="46"/>
        <v>6.8942875902823376E-3</v>
      </c>
      <c r="EM6">
        <f t="shared" si="47"/>
        <v>1.4773473407747866E-3</v>
      </c>
      <c r="EN6">
        <f t="shared" si="48"/>
        <v>8.2074852265265927E-4</v>
      </c>
      <c r="EO6">
        <f t="shared" si="49"/>
        <v>1.6414970453053183E-4</v>
      </c>
      <c r="EP6">
        <f t="shared" si="50"/>
        <v>1.6414970453053183E-4</v>
      </c>
      <c r="EQ6">
        <f t="shared" si="51"/>
        <v>-1.3100670178233673</v>
      </c>
      <c r="ER6">
        <v>100</v>
      </c>
      <c r="ES6">
        <v>0.54441777023234894</v>
      </c>
    </row>
    <row r="7" spans="1:149" x14ac:dyDescent="0.3">
      <c r="A7" t="s">
        <v>105</v>
      </c>
      <c r="B7" s="15">
        <f>(q-pqm)^2/(2*pqsd^2)*0</f>
        <v>0</v>
      </c>
      <c r="C7">
        <f t="shared" si="13"/>
        <v>4.9642852599168785E-3</v>
      </c>
      <c r="D7">
        <v>5</v>
      </c>
      <c r="E7">
        <v>1955</v>
      </c>
      <c r="F7" s="2">
        <v>6.6106784718358469</v>
      </c>
      <c r="G7" s="3">
        <f t="shared" si="67"/>
        <v>742.98694346345997</v>
      </c>
      <c r="H7" s="4">
        <f t="shared" si="52"/>
        <v>286.13583349260051</v>
      </c>
      <c r="I7" s="4">
        <f t="shared" si="53"/>
        <v>108.76831274718208</v>
      </c>
      <c r="J7" s="4">
        <f t="shared" si="54"/>
        <v>30.236000713695169</v>
      </c>
      <c r="K7" s="4">
        <f t="shared" si="55"/>
        <v>0.35609120980405257</v>
      </c>
      <c r="L7" s="4">
        <f t="shared" si="56"/>
        <v>1.3719753972253076E-2</v>
      </c>
      <c r="M7" s="4">
        <f t="shared" si="57"/>
        <v>1.4684755154936447E-4</v>
      </c>
      <c r="N7" s="4">
        <f t="shared" si="58"/>
        <v>3.6882193053976796E-6</v>
      </c>
      <c r="O7" s="4">
        <f t="shared" si="59"/>
        <v>9.9999999999999995E-7</v>
      </c>
      <c r="P7" s="22">
        <v>1.0285205070782</v>
      </c>
      <c r="Q7" s="4"/>
      <c r="R7" s="5">
        <f t="shared" si="15"/>
        <v>22.595985087685431</v>
      </c>
      <c r="S7" s="4">
        <f t="shared" si="16"/>
        <v>-0.40228310930985561</v>
      </c>
      <c r="T7" s="5">
        <v>24.518558890421218</v>
      </c>
      <c r="U7" s="5">
        <f t="shared" si="60"/>
        <v>16.215163360774458</v>
      </c>
      <c r="V7" s="5">
        <v>15.112</v>
      </c>
      <c r="W7" s="4"/>
      <c r="X7" s="4">
        <f t="shared" si="17"/>
        <v>0.35501553282622139</v>
      </c>
      <c r="Y7" s="23">
        <v>12.034444728032147</v>
      </c>
      <c r="Z7" s="23">
        <v>42.491285888075588</v>
      </c>
      <c r="AA7" s="23">
        <v>14.087714918596875</v>
      </c>
      <c r="AB7" s="23">
        <v>2.4525171720634233</v>
      </c>
      <c r="AC7" s="23">
        <v>0.45628226456993926</v>
      </c>
      <c r="AD7" s="23">
        <v>2.8517641535621203E-2</v>
      </c>
      <c r="AE7" s="23">
        <v>0</v>
      </c>
      <c r="AF7" s="23">
        <v>0</v>
      </c>
      <c r="AG7" s="23">
        <v>0</v>
      </c>
      <c r="AH7" s="23">
        <f t="shared" si="18"/>
        <v>6.1229999999999993</v>
      </c>
      <c r="AI7" s="10">
        <v>5.3488524023750621</v>
      </c>
      <c r="AJ7" s="4">
        <f t="shared" si="19"/>
        <v>5.3488524023750621</v>
      </c>
      <c r="AK7" s="23">
        <f t="shared" si="20"/>
        <v>10.512897043080949</v>
      </c>
      <c r="AL7" s="23">
        <f t="shared" si="1"/>
        <v>37.118996668698138</v>
      </c>
      <c r="AM7" s="23">
        <f t="shared" si="2"/>
        <v>12.306566680763007</v>
      </c>
      <c r="AN7" s="23">
        <f t="shared" si="3"/>
        <v>2.1424387338980133</v>
      </c>
      <c r="AO7" s="23">
        <f t="shared" si="4"/>
        <v>0.39859325281823504</v>
      </c>
      <c r="AP7" s="23">
        <f t="shared" si="5"/>
        <v>2.491207830113969E-2</v>
      </c>
      <c r="AQ7" s="23">
        <f t="shared" si="6"/>
        <v>0</v>
      </c>
      <c r="AR7" s="23">
        <f t="shared" si="7"/>
        <v>0</v>
      </c>
      <c r="AS7" s="23">
        <f t="shared" si="8"/>
        <v>0</v>
      </c>
      <c r="AT7" s="23">
        <f t="shared" si="21"/>
        <v>22.595985087685431</v>
      </c>
      <c r="AU7" s="23">
        <f t="shared" si="22"/>
        <v>32.530568805512992</v>
      </c>
      <c r="AV7" s="4">
        <f t="shared" si="23"/>
        <v>0.37106368139083207</v>
      </c>
      <c r="AW7" s="4">
        <f t="shared" si="23"/>
        <v>0.37106368139083207</v>
      </c>
      <c r="AX7" s="4">
        <f t="shared" si="23"/>
        <v>0.37106368139083207</v>
      </c>
      <c r="AY7" s="4">
        <f t="shared" si="9"/>
        <v>0.49515641167153346</v>
      </c>
      <c r="AZ7" s="4">
        <f t="shared" si="9"/>
        <v>0.66074877255687903</v>
      </c>
      <c r="BA7" s="4">
        <f t="shared" si="9"/>
        <v>0.88171925101726745</v>
      </c>
      <c r="BB7" s="4">
        <f t="shared" si="9"/>
        <v>1.1765876380005351</v>
      </c>
      <c r="BC7" s="4">
        <f t="shared" si="9"/>
        <v>1.5700671934955486</v>
      </c>
      <c r="BD7" s="24">
        <f t="shared" si="24"/>
        <v>1.5700671934955486</v>
      </c>
      <c r="BE7" s="4">
        <f t="shared" si="25"/>
        <v>0.65177293673179038</v>
      </c>
      <c r="BF7" s="4">
        <f t="shared" si="26"/>
        <v>0.23671693805861685</v>
      </c>
      <c r="BG7" s="4">
        <f t="shared" si="27"/>
        <v>0.16442541888380957</v>
      </c>
      <c r="BH7" s="4">
        <f t="shared" si="28"/>
        <v>0.56128227542321707</v>
      </c>
      <c r="BI7" s="23"/>
      <c r="BJ7" s="23"/>
      <c r="BK7" s="23"/>
      <c r="BL7" s="23"/>
      <c r="BM7" s="23"/>
      <c r="BN7" s="23"/>
      <c r="BO7" s="23"/>
      <c r="BP7" s="23"/>
      <c r="BQ7" s="23"/>
      <c r="BR7" s="13">
        <v>29.701866524583014</v>
      </c>
      <c r="BS7" s="13">
        <v>104.87151924556562</v>
      </c>
      <c r="BT7" s="13">
        <v>34.769483561952626</v>
      </c>
      <c r="BU7" s="13">
        <v>6.0529870168581503</v>
      </c>
      <c r="BV7" s="13">
        <v>1.1261371194154697</v>
      </c>
      <c r="BW7" s="13">
        <v>7.0383569963466855E-2</v>
      </c>
      <c r="BX7" s="13">
        <v>0</v>
      </c>
      <c r="BY7" s="13">
        <v>0</v>
      </c>
      <c r="BZ7" s="13">
        <v>0</v>
      </c>
      <c r="CA7" s="4"/>
      <c r="CB7" s="4"/>
      <c r="CC7" s="4"/>
      <c r="CD7" s="4"/>
      <c r="CE7" s="4"/>
      <c r="CF7" s="4"/>
      <c r="CG7" s="4"/>
      <c r="CH7" s="4"/>
      <c r="CI7" s="4"/>
      <c r="CJ7" s="23"/>
      <c r="CK7" s="23"/>
      <c r="CL7" s="23"/>
      <c r="CM7" s="23"/>
      <c r="CN7" s="23"/>
      <c r="CO7" s="23"/>
      <c r="CP7" s="23"/>
      <c r="CQ7" s="23"/>
      <c r="CR7" s="23"/>
      <c r="CS7" s="31">
        <f t="shared" si="29"/>
        <v>1955</v>
      </c>
      <c r="CT7" s="1">
        <v>2.6197453885975358E-2</v>
      </c>
      <c r="CU7" s="1">
        <v>0.34768661313711668</v>
      </c>
      <c r="CV7" s="1">
        <v>0.8</v>
      </c>
      <c r="CW7" s="1">
        <v>1</v>
      </c>
      <c r="CX7">
        <f t="shared" si="61"/>
        <v>1</v>
      </c>
      <c r="CY7">
        <f t="shared" si="62"/>
        <v>1</v>
      </c>
      <c r="CZ7">
        <f t="shared" si="63"/>
        <v>1</v>
      </c>
      <c r="DA7">
        <f t="shared" si="64"/>
        <v>1</v>
      </c>
      <c r="DB7">
        <f t="shared" si="65"/>
        <v>1</v>
      </c>
      <c r="DC7" s="11">
        <v>5.7799999999999997E-2</v>
      </c>
      <c r="DD7" s="11">
        <v>8.3099999999999993E-2</v>
      </c>
      <c r="DE7" s="11">
        <v>0.1077</v>
      </c>
      <c r="DF7" s="11">
        <v>0.1249</v>
      </c>
      <c r="DG7" s="11">
        <v>0.15140000000000001</v>
      </c>
      <c r="DH7" s="11">
        <v>0.13100000000000001</v>
      </c>
      <c r="DI7" s="11">
        <v>0.18240000000000001</v>
      </c>
      <c r="DJ7" s="11">
        <v>0.193</v>
      </c>
      <c r="DK7" s="11">
        <v>0.14879999999999999</v>
      </c>
      <c r="DL7" s="10">
        <f t="shared" si="31"/>
        <v>8.5575607811877244E-2</v>
      </c>
      <c r="DN7" s="1">
        <v>422</v>
      </c>
      <c r="DO7" s="1">
        <v>1490</v>
      </c>
      <c r="DP7" s="1">
        <v>494</v>
      </c>
      <c r="DQ7" s="1">
        <v>86</v>
      </c>
      <c r="DR7" s="1">
        <v>16</v>
      </c>
      <c r="DS7" s="1">
        <v>1</v>
      </c>
      <c r="DT7" s="1">
        <v>0</v>
      </c>
      <c r="DU7" s="1">
        <v>0</v>
      </c>
      <c r="DV7" s="1">
        <v>0</v>
      </c>
      <c r="DW7">
        <f t="shared" si="32"/>
        <v>2509</v>
      </c>
      <c r="DX7" s="19">
        <f t="shared" si="33"/>
        <v>236.570578444462</v>
      </c>
      <c r="DY7">
        <f t="shared" si="66"/>
        <v>8.2277205886087335E-2</v>
      </c>
      <c r="DZ7">
        <f t="shared" si="34"/>
        <v>0.42053242418546882</v>
      </c>
      <c r="EA7">
        <f t="shared" si="35"/>
        <v>0.36781687211443953</v>
      </c>
      <c r="EB7">
        <f t="shared" si="36"/>
        <v>0.12780964104880632</v>
      </c>
      <c r="EC7">
        <f t="shared" si="37"/>
        <v>1.5052218756257958E-3</v>
      </c>
      <c r="ED7">
        <f t="shared" si="38"/>
        <v>5.7994337514265181E-5</v>
      </c>
      <c r="EE7">
        <f t="shared" si="39"/>
        <v>6.207346345219291E-7</v>
      </c>
      <c r="EF7">
        <f t="shared" si="40"/>
        <v>1.559035502068376E-8</v>
      </c>
      <c r="EG7">
        <f t="shared" si="41"/>
        <v>4.2270683302013517E-9</v>
      </c>
      <c r="EH7">
        <f t="shared" si="42"/>
        <v>0.16819449980071741</v>
      </c>
      <c r="EI7">
        <f t="shared" si="43"/>
        <v>0.59386209645276999</v>
      </c>
      <c r="EJ7">
        <f t="shared" si="44"/>
        <v>0.19689119170984457</v>
      </c>
      <c r="EK7">
        <f t="shared" si="45"/>
        <v>3.4276604224790751E-2</v>
      </c>
      <c r="EL7">
        <f t="shared" si="46"/>
        <v>6.3770426464726986E-3</v>
      </c>
      <c r="EM7">
        <f t="shared" si="47"/>
        <v>3.9856516540454366E-4</v>
      </c>
      <c r="EN7">
        <f t="shared" si="48"/>
        <v>0</v>
      </c>
      <c r="EO7">
        <f t="shared" si="49"/>
        <v>0</v>
      </c>
      <c r="EP7">
        <f t="shared" si="50"/>
        <v>0</v>
      </c>
      <c r="EQ7">
        <f t="shared" si="51"/>
        <v>-1.2460510264746842</v>
      </c>
      <c r="ER7">
        <v>100</v>
      </c>
      <c r="ES7">
        <v>0.59001987455995442</v>
      </c>
    </row>
    <row r="8" spans="1:149" x14ac:dyDescent="0.3">
      <c r="C8">
        <f t="shared" si="13"/>
        <v>4.5493741392927892E-3</v>
      </c>
      <c r="D8">
        <v>6</v>
      </c>
      <c r="E8">
        <v>1956</v>
      </c>
      <c r="F8" s="2">
        <v>6.1462042741751768</v>
      </c>
      <c r="G8" s="3">
        <f t="shared" si="67"/>
        <v>466.94163635575455</v>
      </c>
      <c r="H8" s="4">
        <f t="shared" si="52"/>
        <v>499.42985301287376</v>
      </c>
      <c r="I8" s="4">
        <f t="shared" si="53"/>
        <v>157.14803214729395</v>
      </c>
      <c r="J8" s="4">
        <f t="shared" si="54"/>
        <v>43.100432855966822</v>
      </c>
      <c r="K8" s="4">
        <f t="shared" si="55"/>
        <v>8.9450418187878924</v>
      </c>
      <c r="L8" s="4">
        <f t="shared" si="56"/>
        <v>8.8848961596774592E-2</v>
      </c>
      <c r="M8" s="4">
        <f t="shared" si="57"/>
        <v>2.7273078403112507E-3</v>
      </c>
      <c r="N8" s="4">
        <f t="shared" si="58"/>
        <v>2.1554725967449683E-5</v>
      </c>
      <c r="O8" s="4">
        <f t="shared" si="59"/>
        <v>9.9999999999999995E-7</v>
      </c>
      <c r="P8" s="22">
        <v>1.1245094154553115</v>
      </c>
      <c r="Q8" s="4"/>
      <c r="R8" s="5">
        <f t="shared" si="15"/>
        <v>35.409075401955796</v>
      </c>
      <c r="S8" s="4">
        <f t="shared" si="16"/>
        <v>-0.26437637666210501</v>
      </c>
      <c r="T8" s="5">
        <v>22.589098896803542</v>
      </c>
      <c r="U8" s="5">
        <f t="shared" si="60"/>
        <v>25.409998274853123</v>
      </c>
      <c r="V8" s="5">
        <v>27.183</v>
      </c>
      <c r="W8" s="4"/>
      <c r="X8" s="4">
        <f t="shared" si="17"/>
        <v>0.56879152227974084</v>
      </c>
      <c r="Y8" s="23">
        <v>23.870454887029098</v>
      </c>
      <c r="Z8" s="23">
        <v>124.12636541255129</v>
      </c>
      <c r="AA8" s="23">
        <v>30.844779097500204</v>
      </c>
      <c r="AB8" s="23">
        <v>11.706901353290792</v>
      </c>
      <c r="AC8" s="23">
        <v>2.1587193984791533</v>
      </c>
      <c r="AD8" s="23">
        <v>0.29059684210296294</v>
      </c>
      <c r="AE8" s="23">
        <v>8.3027669172275123E-2</v>
      </c>
      <c r="AF8" s="23">
        <v>8.3027669172275123E-2</v>
      </c>
      <c r="AG8" s="23">
        <v>0</v>
      </c>
      <c r="AH8" s="23">
        <f t="shared" si="18"/>
        <v>17.098000000000003</v>
      </c>
      <c r="AI8" s="10">
        <v>5.3488524023750621</v>
      </c>
      <c r="AJ8" s="4">
        <f t="shared" si="19"/>
        <v>5.3488524023750621</v>
      </c>
      <c r="AK8" s="23">
        <f t="shared" si="20"/>
        <v>7.4675131575781455</v>
      </c>
      <c r="AL8" s="23">
        <f t="shared" si="1"/>
        <v>38.831068419406364</v>
      </c>
      <c r="AM8" s="23">
        <f t="shared" si="2"/>
        <v>9.6493256975314132</v>
      </c>
      <c r="AN8" s="23">
        <f t="shared" si="3"/>
        <v>3.6623281920644128</v>
      </c>
      <c r="AO8" s="23">
        <f t="shared" si="4"/>
        <v>0.67532292903315416</v>
      </c>
      <c r="AP8" s="23">
        <f t="shared" si="5"/>
        <v>9.0908855831386123E-2</v>
      </c>
      <c r="AQ8" s="23">
        <f t="shared" si="6"/>
        <v>2.5973958808967464E-2</v>
      </c>
      <c r="AR8" s="23">
        <f t="shared" si="7"/>
        <v>2.5973958808967464E-2</v>
      </c>
      <c r="AS8" s="23">
        <f t="shared" si="8"/>
        <v>0</v>
      </c>
      <c r="AT8" s="23">
        <f t="shared" si="21"/>
        <v>35.409075401955796</v>
      </c>
      <c r="AU8" s="23">
        <f t="shared" si="22"/>
        <v>60.326622650290524</v>
      </c>
      <c r="AV8" s="4">
        <f t="shared" si="23"/>
        <v>0.37106368139083207</v>
      </c>
      <c r="AW8" s="4">
        <f t="shared" si="23"/>
        <v>0.37106368139083207</v>
      </c>
      <c r="AX8" s="4">
        <f t="shared" si="23"/>
        <v>0.37106368139083207</v>
      </c>
      <c r="AY8" s="4">
        <f t="shared" si="9"/>
        <v>0.49515641167153346</v>
      </c>
      <c r="AZ8" s="4">
        <f t="shared" si="9"/>
        <v>0.66074877255687903</v>
      </c>
      <c r="BA8" s="4">
        <f t="shared" si="9"/>
        <v>0.88171925101726745</v>
      </c>
      <c r="BB8" s="4">
        <f t="shared" si="9"/>
        <v>1.1765876380005351</v>
      </c>
      <c r="BC8" s="4">
        <f t="shared" si="9"/>
        <v>1.5700671934955486</v>
      </c>
      <c r="BD8" s="24">
        <f t="shared" si="24"/>
        <v>1.5700671934955486</v>
      </c>
      <c r="BE8" s="4">
        <f t="shared" si="25"/>
        <v>0.58102995524793399</v>
      </c>
      <c r="BF8" s="4">
        <f t="shared" si="26"/>
        <v>0.15105879895637211</v>
      </c>
      <c r="BG8" s="4">
        <f t="shared" si="27"/>
        <v>8.8664874103461896E-2</v>
      </c>
      <c r="BH8" s="4">
        <f t="shared" si="28"/>
        <v>0.51010918685811524</v>
      </c>
      <c r="BI8" s="23"/>
      <c r="BJ8" s="23"/>
      <c r="BK8" s="23"/>
      <c r="BL8" s="23"/>
      <c r="BM8" s="23"/>
      <c r="BN8" s="23"/>
      <c r="BO8" s="23"/>
      <c r="BP8" s="23"/>
      <c r="BQ8" s="23"/>
      <c r="BR8" s="13">
        <v>37.9500862787526</v>
      </c>
      <c r="BS8" s="13">
        <v>197.34044864951352</v>
      </c>
      <c r="BT8" s="13">
        <v>49.038111487153358</v>
      </c>
      <c r="BU8" s="13">
        <v>18.612042314101277</v>
      </c>
      <c r="BV8" s="13">
        <v>3.4320078026002352</v>
      </c>
      <c r="BW8" s="13">
        <v>0.46200105035003169</v>
      </c>
      <c r="BX8" s="13">
        <v>0.13200030010000904</v>
      </c>
      <c r="BY8" s="13">
        <v>0.13200030010000904</v>
      </c>
      <c r="BZ8" s="13">
        <v>0</v>
      </c>
      <c r="CA8" s="4"/>
      <c r="CB8" s="4"/>
      <c r="CC8" s="4"/>
      <c r="CD8" s="4"/>
      <c r="CE8" s="4"/>
      <c r="CF8" s="4"/>
      <c r="CG8" s="4"/>
      <c r="CH8" s="4"/>
      <c r="CI8" s="4"/>
      <c r="CJ8" s="23"/>
      <c r="CK8" s="23"/>
      <c r="CL8" s="23"/>
      <c r="CM8" s="23"/>
      <c r="CN8" s="23"/>
      <c r="CO8" s="23"/>
      <c r="CP8" s="23"/>
      <c r="CQ8" s="23"/>
      <c r="CR8" s="23"/>
      <c r="CS8" s="31">
        <f t="shared" si="29"/>
        <v>1956</v>
      </c>
      <c r="CT8" s="1">
        <v>2.6197453885975358E-2</v>
      </c>
      <c r="CU8" s="1">
        <v>0.34768661313711668</v>
      </c>
      <c r="CV8" s="1">
        <v>0.8</v>
      </c>
      <c r="CW8" s="1">
        <v>1</v>
      </c>
      <c r="CX8">
        <f t="shared" si="61"/>
        <v>1</v>
      </c>
      <c r="CY8">
        <f t="shared" si="62"/>
        <v>1</v>
      </c>
      <c r="CZ8">
        <f t="shared" si="63"/>
        <v>1</v>
      </c>
      <c r="DA8">
        <f t="shared" si="64"/>
        <v>1</v>
      </c>
      <c r="DB8">
        <f t="shared" si="65"/>
        <v>1</v>
      </c>
      <c r="DC8" s="11">
        <v>5.7700000000000001E-2</v>
      </c>
      <c r="DD8" s="11">
        <v>8.5999999999999993E-2</v>
      </c>
      <c r="DE8" s="11">
        <v>0.10639999999999999</v>
      </c>
      <c r="DF8" s="11">
        <v>0.1192</v>
      </c>
      <c r="DG8" s="11">
        <v>0.1389</v>
      </c>
      <c r="DH8" s="11">
        <v>0.14399999999999999</v>
      </c>
      <c r="DI8" s="11">
        <v>0.18240000000000001</v>
      </c>
      <c r="DJ8" s="11">
        <v>0.14000000000000001</v>
      </c>
      <c r="DK8" s="11">
        <v>0.14879999999999999</v>
      </c>
      <c r="DL8" s="10">
        <f t="shared" si="31"/>
        <v>8.8515516870836017E-2</v>
      </c>
      <c r="DN8" s="1">
        <v>575</v>
      </c>
      <c r="DO8" s="1">
        <v>2990</v>
      </c>
      <c r="DP8" s="1">
        <v>743</v>
      </c>
      <c r="DQ8" s="1">
        <v>282</v>
      </c>
      <c r="DR8" s="1">
        <v>52</v>
      </c>
      <c r="DS8" s="1">
        <v>7</v>
      </c>
      <c r="DT8" s="1">
        <v>2</v>
      </c>
      <c r="DU8" s="1">
        <v>2</v>
      </c>
      <c r="DV8" s="1">
        <v>0</v>
      </c>
      <c r="DW8">
        <f t="shared" si="32"/>
        <v>4653</v>
      </c>
      <c r="DX8" s="19">
        <f t="shared" si="33"/>
        <v>363.73325529623872</v>
      </c>
      <c r="DY8">
        <f t="shared" si="66"/>
        <v>3.3630914434559955E-2</v>
      </c>
      <c r="DZ8">
        <f t="shared" si="34"/>
        <v>0.4773967504076323</v>
      </c>
      <c r="EA8">
        <f t="shared" si="35"/>
        <v>0.34563357594412175</v>
      </c>
      <c r="EB8">
        <f t="shared" si="36"/>
        <v>0.11849461721850021</v>
      </c>
      <c r="EC8">
        <f t="shared" si="37"/>
        <v>2.4592312329271893E-2</v>
      </c>
      <c r="ED8">
        <f t="shared" si="38"/>
        <v>2.4426955826299825E-4</v>
      </c>
      <c r="EE8">
        <f t="shared" si="39"/>
        <v>7.4980986769824592E-6</v>
      </c>
      <c r="EF8">
        <f t="shared" si="40"/>
        <v>5.9259706539328286E-8</v>
      </c>
      <c r="EG8">
        <f t="shared" si="41"/>
        <v>2.7492674520111188E-9</v>
      </c>
      <c r="EH8">
        <f t="shared" si="42"/>
        <v>0.12357618740597465</v>
      </c>
      <c r="EI8">
        <f t="shared" si="43"/>
        <v>0.6425961745110681</v>
      </c>
      <c r="EJ8">
        <f t="shared" si="44"/>
        <v>0.15968192563937245</v>
      </c>
      <c r="EK8">
        <f t="shared" si="45"/>
        <v>6.0606060606060608E-2</v>
      </c>
      <c r="EL8">
        <f t="shared" si="46"/>
        <v>1.117558564367075E-2</v>
      </c>
      <c r="EM8">
        <f t="shared" si="47"/>
        <v>1.5044057597249087E-3</v>
      </c>
      <c r="EN8">
        <f t="shared" si="48"/>
        <v>4.298302170642596E-4</v>
      </c>
      <c r="EO8">
        <f t="shared" si="49"/>
        <v>4.298302170642596E-4</v>
      </c>
      <c r="EP8">
        <f t="shared" si="50"/>
        <v>0</v>
      </c>
      <c r="EQ8">
        <f t="shared" si="51"/>
        <v>-1.253904882055733</v>
      </c>
      <c r="ER8">
        <v>100</v>
      </c>
      <c r="ES8">
        <v>0.4572144395926932</v>
      </c>
    </row>
    <row r="9" spans="1:149" x14ac:dyDescent="0.3">
      <c r="A9" s="21" t="s">
        <v>100</v>
      </c>
      <c r="B9" s="20">
        <v>0</v>
      </c>
      <c r="C9">
        <f t="shared" si="13"/>
        <v>0.2201251843338409</v>
      </c>
      <c r="D9">
        <v>7</v>
      </c>
      <c r="E9">
        <v>1957</v>
      </c>
      <c r="F9" s="2">
        <v>5.5525043920989896</v>
      </c>
      <c r="G9" s="3">
        <f t="shared" si="67"/>
        <v>257.88258697657216</v>
      </c>
      <c r="H9" s="4">
        <f t="shared" si="52"/>
        <v>301.85942850732602</v>
      </c>
      <c r="I9" s="4">
        <f t="shared" si="53"/>
        <v>250.11053452512743</v>
      </c>
      <c r="J9" s="4">
        <f t="shared" si="54"/>
        <v>49.605257282208775</v>
      </c>
      <c r="K9" s="4">
        <f t="shared" si="55"/>
        <v>9.0412373719349368</v>
      </c>
      <c r="L9" s="4">
        <f t="shared" si="56"/>
        <v>1.5576094240932679</v>
      </c>
      <c r="M9" s="4">
        <f t="shared" si="57"/>
        <v>1.2067396565840478E-2</v>
      </c>
      <c r="N9" s="4">
        <f t="shared" si="58"/>
        <v>2.6588328515932602E-4</v>
      </c>
      <c r="O9" s="4">
        <f t="shared" si="59"/>
        <v>1.3500083833869662E-6</v>
      </c>
      <c r="P9" s="22">
        <v>1.7318384982809956</v>
      </c>
      <c r="Q9" s="4"/>
      <c r="R9" s="5">
        <f t="shared" si="15"/>
        <v>38.452649973677403</v>
      </c>
      <c r="S9" s="4">
        <f t="shared" si="16"/>
        <v>0.13734957882200677</v>
      </c>
      <c r="T9" s="5">
        <v>27.301549651379659</v>
      </c>
      <c r="U9" s="5">
        <f t="shared" si="60"/>
        <v>27.594105703214868</v>
      </c>
      <c r="V9" s="5">
        <v>44.113999999999997</v>
      </c>
      <c r="W9" s="4"/>
      <c r="X9" s="4">
        <f t="shared" si="17"/>
        <v>7.602019791662569E-2</v>
      </c>
      <c r="Y9" s="23">
        <v>0.79279894526174011</v>
      </c>
      <c r="Z9" s="23">
        <v>20.959622115357252</v>
      </c>
      <c r="AA9" s="23">
        <v>7.2342903755133774</v>
      </c>
      <c r="AB9" s="23">
        <v>9.9099868157717513E-2</v>
      </c>
      <c r="AC9" s="23">
        <v>4.9549934078858757E-2</v>
      </c>
      <c r="AD9" s="23">
        <v>0</v>
      </c>
      <c r="AE9" s="23">
        <v>0</v>
      </c>
      <c r="AF9" s="23">
        <v>0</v>
      </c>
      <c r="AG9" s="23">
        <v>0</v>
      </c>
      <c r="AH9" s="23">
        <f t="shared" si="18"/>
        <v>2.6119999999999997</v>
      </c>
      <c r="AI9" s="10">
        <v>4.0933603166749135</v>
      </c>
      <c r="AJ9" s="4">
        <f t="shared" si="19"/>
        <v>4.0933603166749135</v>
      </c>
      <c r="AK9" s="23">
        <f t="shared" si="20"/>
        <v>1.2424240971041858</v>
      </c>
      <c r="AL9" s="23">
        <f t="shared" si="1"/>
        <v>32.846587067191912</v>
      </c>
      <c r="AM9" s="23">
        <f t="shared" si="2"/>
        <v>11.337119886075696</v>
      </c>
      <c r="AN9" s="23">
        <f t="shared" si="3"/>
        <v>0.15530301213802322</v>
      </c>
      <c r="AO9" s="23">
        <f t="shared" si="4"/>
        <v>7.7651506069011611E-2</v>
      </c>
      <c r="AP9" s="23">
        <f t="shared" si="5"/>
        <v>0</v>
      </c>
      <c r="AQ9" s="23">
        <f t="shared" si="6"/>
        <v>0</v>
      </c>
      <c r="AR9" s="23">
        <f t="shared" si="7"/>
        <v>0</v>
      </c>
      <c r="AS9" s="23">
        <f t="shared" si="8"/>
        <v>0</v>
      </c>
      <c r="AT9" s="23">
        <f t="shared" si="21"/>
        <v>38.452649973677403</v>
      </c>
      <c r="AU9" s="23">
        <f t="shared" si="22"/>
        <v>68.178640849233574</v>
      </c>
      <c r="AV9" s="4">
        <f t="shared" si="23"/>
        <v>0.37106368139083207</v>
      </c>
      <c r="AW9" s="4">
        <f t="shared" si="23"/>
        <v>0.37106368139083207</v>
      </c>
      <c r="AX9" s="4">
        <f t="shared" si="23"/>
        <v>0.37106368139083207</v>
      </c>
      <c r="AY9" s="4">
        <f t="shared" si="9"/>
        <v>0.49515641167153346</v>
      </c>
      <c r="AZ9" s="4">
        <f t="shared" si="9"/>
        <v>0.66074877255687903</v>
      </c>
      <c r="BA9" s="4">
        <f t="shared" si="9"/>
        <v>0.88171925101726745</v>
      </c>
      <c r="BB9" s="4">
        <f t="shared" si="9"/>
        <v>1.1765876380005351</v>
      </c>
      <c r="BC9" s="4">
        <f t="shared" si="9"/>
        <v>1.5700671934955486</v>
      </c>
      <c r="BD9" s="24">
        <f t="shared" si="24"/>
        <v>1.5700671934955486</v>
      </c>
      <c r="BE9" s="4">
        <f t="shared" si="25"/>
        <v>0.7551775589572991</v>
      </c>
      <c r="BF9" s="4">
        <f t="shared" si="26"/>
        <v>0.10645196935652045</v>
      </c>
      <c r="BG9" s="4">
        <f t="shared" si="27"/>
        <v>6.0038749169651844E-2</v>
      </c>
      <c r="BH9" s="4">
        <f t="shared" si="28"/>
        <v>0.70453899583518154</v>
      </c>
      <c r="BI9" s="23"/>
      <c r="BJ9" s="23"/>
      <c r="BK9" s="23"/>
      <c r="BL9" s="23"/>
      <c r="BM9" s="23"/>
      <c r="BN9" s="23"/>
      <c r="BO9" s="23"/>
      <c r="BP9" s="23"/>
      <c r="BQ9" s="23"/>
      <c r="BR9" s="13">
        <v>13.389560747043031</v>
      </c>
      <c r="BS9" s="13">
        <v>353.98651224995012</v>
      </c>
      <c r="BT9" s="13">
        <v>122.17974181676766</v>
      </c>
      <c r="BU9" s="13">
        <v>1.6736950933803789</v>
      </c>
      <c r="BV9" s="13">
        <v>0.83684754669018946</v>
      </c>
      <c r="BW9" s="13">
        <v>0</v>
      </c>
      <c r="BX9" s="13">
        <v>0</v>
      </c>
      <c r="BY9" s="13">
        <v>0</v>
      </c>
      <c r="BZ9" s="13">
        <v>0</v>
      </c>
      <c r="CA9" s="4"/>
      <c r="CB9" s="4"/>
      <c r="CC9" s="4"/>
      <c r="CD9" s="4"/>
      <c r="CE9" s="4"/>
      <c r="CF9" s="4"/>
      <c r="CG9" s="4"/>
      <c r="CH9" s="4"/>
      <c r="CI9" s="4"/>
      <c r="CJ9" s="23"/>
      <c r="CK9" s="23"/>
      <c r="CL9" s="23"/>
      <c r="CM9" s="23"/>
      <c r="CN9" s="23"/>
      <c r="CO9" s="23"/>
      <c r="CP9" s="23"/>
      <c r="CQ9" s="23"/>
      <c r="CR9" s="23"/>
      <c r="CS9" s="31">
        <f t="shared" si="29"/>
        <v>1957</v>
      </c>
      <c r="CT9" s="1">
        <v>2.6197453885975358E-2</v>
      </c>
      <c r="CU9" s="1">
        <v>0.34768661313711668</v>
      </c>
      <c r="CV9" s="1">
        <v>0.8</v>
      </c>
      <c r="CW9" s="1">
        <v>1</v>
      </c>
      <c r="CX9">
        <f t="shared" si="61"/>
        <v>1</v>
      </c>
      <c r="CY9">
        <f t="shared" si="62"/>
        <v>1</v>
      </c>
      <c r="CZ9">
        <f t="shared" si="63"/>
        <v>1</v>
      </c>
      <c r="DA9">
        <f t="shared" si="64"/>
        <v>1</v>
      </c>
      <c r="DB9">
        <f t="shared" si="65"/>
        <v>1</v>
      </c>
      <c r="DC9" s="11">
        <v>5.3199999999999997E-2</v>
      </c>
      <c r="DD9" s="11">
        <v>8.48E-2</v>
      </c>
      <c r="DE9" s="11">
        <v>0.10680000000000001</v>
      </c>
      <c r="DF9" s="11">
        <v>0.12590000000000001</v>
      </c>
      <c r="DG9" s="11">
        <v>0.14829999999999999</v>
      </c>
      <c r="DH9" s="11">
        <v>0.1512</v>
      </c>
      <c r="DI9" s="11">
        <v>0.1779</v>
      </c>
      <c r="DJ9" s="11">
        <v>0.18179999999999999</v>
      </c>
      <c r="DK9" s="11">
        <v>0.14879999999999999</v>
      </c>
      <c r="DL9" s="10">
        <f t="shared" si="31"/>
        <v>8.9650510204081643E-2</v>
      </c>
      <c r="DN9" s="1">
        <v>16</v>
      </c>
      <c r="DO9" s="1">
        <v>423</v>
      </c>
      <c r="DP9" s="1">
        <v>146</v>
      </c>
      <c r="DQ9" s="1">
        <v>2</v>
      </c>
      <c r="DR9" s="1">
        <v>1</v>
      </c>
      <c r="DS9" s="1">
        <v>0</v>
      </c>
      <c r="DT9" s="1">
        <v>0</v>
      </c>
      <c r="DU9" s="1">
        <v>0</v>
      </c>
      <c r="DV9" s="1">
        <v>0</v>
      </c>
      <c r="DW9">
        <f t="shared" si="32"/>
        <v>588</v>
      </c>
      <c r="DX9" s="19">
        <f t="shared" si="33"/>
        <v>372.01321584973084</v>
      </c>
      <c r="DY9">
        <f t="shared" si="66"/>
        <v>1.8160288109344239E-2</v>
      </c>
      <c r="DZ9">
        <f t="shared" si="34"/>
        <v>0.28212030613345673</v>
      </c>
      <c r="EA9">
        <f t="shared" si="35"/>
        <v>0.53785300923536183</v>
      </c>
      <c r="EB9">
        <f t="shared" si="36"/>
        <v>0.13334272861490512</v>
      </c>
      <c r="EC9">
        <f t="shared" si="37"/>
        <v>2.4303538118352789E-2</v>
      </c>
      <c r="ED9">
        <f t="shared" si="38"/>
        <v>4.1869733593616221E-3</v>
      </c>
      <c r="EE9">
        <f t="shared" si="39"/>
        <v>3.2438085669286874E-5</v>
      </c>
      <c r="EF9">
        <f t="shared" si="40"/>
        <v>7.1471462257600433E-7</v>
      </c>
      <c r="EG9">
        <f t="shared" si="41"/>
        <v>3.628925871096692E-9</v>
      </c>
      <c r="EH9">
        <f t="shared" si="42"/>
        <v>2.7210884353741496E-2</v>
      </c>
      <c r="EI9">
        <f t="shared" si="43"/>
        <v>0.71938775510204078</v>
      </c>
      <c r="EJ9">
        <f t="shared" si="44"/>
        <v>0.24829931972789115</v>
      </c>
      <c r="EK9">
        <f t="shared" si="45"/>
        <v>3.4013605442176869E-3</v>
      </c>
      <c r="EL9">
        <f t="shared" si="46"/>
        <v>1.7006802721088435E-3</v>
      </c>
      <c r="EM9">
        <f t="shared" si="47"/>
        <v>0</v>
      </c>
      <c r="EN9">
        <f t="shared" si="48"/>
        <v>0</v>
      </c>
      <c r="EO9">
        <f t="shared" si="49"/>
        <v>0</v>
      </c>
      <c r="EP9">
        <f t="shared" si="50"/>
        <v>0</v>
      </c>
      <c r="EQ9">
        <f t="shared" si="51"/>
        <v>-1.1861067251901287</v>
      </c>
      <c r="ER9">
        <v>100</v>
      </c>
      <c r="ES9">
        <v>0.37436630761621048</v>
      </c>
    </row>
    <row r="10" spans="1:149" x14ac:dyDescent="0.3">
      <c r="A10" s="21" t="s">
        <v>101</v>
      </c>
      <c r="B10" s="15">
        <f>EXP(lnq)</f>
        <v>1</v>
      </c>
      <c r="C10">
        <f t="shared" si="13"/>
        <v>1.3158137554086791E-2</v>
      </c>
      <c r="D10">
        <v>8</v>
      </c>
      <c r="E10">
        <v>1958</v>
      </c>
      <c r="F10" s="2">
        <v>5.2356099023386502</v>
      </c>
      <c r="G10" s="3">
        <f t="shared" si="67"/>
        <v>187.84363768810795</v>
      </c>
      <c r="H10" s="4">
        <f t="shared" si="52"/>
        <v>134.97584487205941</v>
      </c>
      <c r="I10" s="4">
        <f t="shared" si="53"/>
        <v>148.83495873066039</v>
      </c>
      <c r="J10" s="4">
        <f t="shared" si="54"/>
        <v>113.01592529064801</v>
      </c>
      <c r="K10" s="4">
        <f t="shared" si="55"/>
        <v>17.373492555583468</v>
      </c>
      <c r="L10" s="4">
        <f t="shared" si="56"/>
        <v>2.3770628369976503</v>
      </c>
      <c r="M10" s="4">
        <f t="shared" si="57"/>
        <v>0.27930151685108529</v>
      </c>
      <c r="N10" s="4">
        <f t="shared" si="58"/>
        <v>1.298522775886198E-3</v>
      </c>
      <c r="O10" s="4">
        <f t="shared" si="59"/>
        <v>1.4473716759029192E-5</v>
      </c>
      <c r="P10" s="22">
        <v>1.5701839023455406</v>
      </c>
      <c r="Q10" s="4"/>
      <c r="R10" s="5">
        <f t="shared" si="15"/>
        <v>29.672960668777019</v>
      </c>
      <c r="S10" s="4">
        <f t="shared" si="16"/>
        <v>-0.44653435047673651</v>
      </c>
      <c r="T10" s="5">
        <v>33.00712137810158</v>
      </c>
      <c r="U10" s="5">
        <f t="shared" si="60"/>
        <v>21.293690130123039</v>
      </c>
      <c r="V10" s="5">
        <v>18.986000000000001</v>
      </c>
      <c r="W10" s="4"/>
      <c r="X10" s="4">
        <f t="shared" si="17"/>
        <v>2.0785721296608689E-2</v>
      </c>
      <c r="Y10" s="23">
        <v>0.90504739596986272</v>
      </c>
      <c r="Z10" s="23">
        <v>3.4027431316009773</v>
      </c>
      <c r="AA10" s="23">
        <v>1.8923718279369859</v>
      </c>
      <c r="AB10" s="23">
        <v>0.44076983569960854</v>
      </c>
      <c r="AC10" s="23">
        <v>0.19981565885048919</v>
      </c>
      <c r="AD10" s="23">
        <v>0.11753862285322893</v>
      </c>
      <c r="AE10" s="23">
        <v>2.9384655713307232E-2</v>
      </c>
      <c r="AF10" s="23">
        <v>5.8769311426614471E-3</v>
      </c>
      <c r="AG10" s="23">
        <v>0</v>
      </c>
      <c r="AH10" s="23">
        <f t="shared" si="18"/>
        <v>0.55600000000000005</v>
      </c>
      <c r="AI10" s="10">
        <v>2.923828797624938</v>
      </c>
      <c r="AJ10" s="4">
        <f t="shared" si="19"/>
        <v>2.923828797624938</v>
      </c>
      <c r="AK10" s="23">
        <f t="shared" si="20"/>
        <v>4.759359063942707</v>
      </c>
      <c r="AL10" s="23">
        <f t="shared" si="1"/>
        <v>17.893953883265112</v>
      </c>
      <c r="AM10" s="23">
        <f t="shared" si="2"/>
        <v>9.9513871336983879</v>
      </c>
      <c r="AN10" s="23">
        <f t="shared" si="3"/>
        <v>2.3178696739980715</v>
      </c>
      <c r="AO10" s="23">
        <f t="shared" si="4"/>
        <v>1.0507675855457925</v>
      </c>
      <c r="AP10" s="23">
        <f t="shared" si="5"/>
        <v>0.61809857973281912</v>
      </c>
      <c r="AQ10" s="23">
        <f t="shared" si="6"/>
        <v>0.15452464493320478</v>
      </c>
      <c r="AR10" s="23">
        <f t="shared" si="7"/>
        <v>3.0904928986640955E-2</v>
      </c>
      <c r="AS10" s="23">
        <f t="shared" si="8"/>
        <v>0</v>
      </c>
      <c r="AT10" s="23">
        <f t="shared" si="21"/>
        <v>29.672960668777019</v>
      </c>
      <c r="AU10" s="23">
        <f t="shared" si="22"/>
        <v>29.937001218878031</v>
      </c>
      <c r="AV10" s="4">
        <f t="shared" si="23"/>
        <v>0.37106368139083207</v>
      </c>
      <c r="AW10" s="4">
        <f t="shared" si="23"/>
        <v>0.37106368139083207</v>
      </c>
      <c r="AX10" s="4">
        <f t="shared" si="23"/>
        <v>0.37106368139083207</v>
      </c>
      <c r="AY10" s="4">
        <f t="shared" si="9"/>
        <v>0.49515641167153346</v>
      </c>
      <c r="AZ10" s="4">
        <f t="shared" si="9"/>
        <v>0.66074877255687903</v>
      </c>
      <c r="BA10" s="4">
        <f t="shared" si="9"/>
        <v>0.88171925101726745</v>
      </c>
      <c r="BB10" s="4">
        <f t="shared" si="9"/>
        <v>1.1765876380005351</v>
      </c>
      <c r="BC10" s="4">
        <f t="shared" si="9"/>
        <v>1.5700671934955486</v>
      </c>
      <c r="BD10" s="24">
        <f t="shared" si="24"/>
        <v>1.5700671934955486</v>
      </c>
      <c r="BE10" s="4">
        <f t="shared" si="25"/>
        <v>0.68637241580078567</v>
      </c>
      <c r="BF10" s="4">
        <f t="shared" si="26"/>
        <v>9.8535121933467806E-2</v>
      </c>
      <c r="BG10" s="4">
        <f t="shared" si="27"/>
        <v>9.7666054667532809E-2</v>
      </c>
      <c r="BH10" s="4">
        <f t="shared" si="28"/>
        <v>0.68540881906049855</v>
      </c>
      <c r="BI10" s="23"/>
      <c r="BJ10" s="23"/>
      <c r="BK10" s="23"/>
      <c r="BL10" s="23"/>
      <c r="BM10" s="23"/>
      <c r="BN10" s="23"/>
      <c r="BO10" s="23"/>
      <c r="BP10" s="23"/>
      <c r="BQ10" s="23"/>
      <c r="BR10" s="13">
        <v>30.905089676050025</v>
      </c>
      <c r="BS10" s="13">
        <v>116.19510988592835</v>
      </c>
      <c r="BT10" s="13">
        <v>64.619732959013689</v>
      </c>
      <c r="BU10" s="13">
        <v>15.051180037037351</v>
      </c>
      <c r="BV10" s="13">
        <v>6.823201616790266</v>
      </c>
      <c r="BW10" s="13">
        <v>4.0136480098766265</v>
      </c>
      <c r="BX10" s="13">
        <v>1.0034120024691566</v>
      </c>
      <c r="BY10" s="13">
        <v>0.20068240049383135</v>
      </c>
      <c r="BZ10" s="13">
        <v>0</v>
      </c>
      <c r="CA10" s="4"/>
      <c r="CB10" s="4"/>
      <c r="CC10" s="4"/>
      <c r="CD10" s="4"/>
      <c r="CE10" s="4"/>
      <c r="CF10" s="4"/>
      <c r="CG10" s="4"/>
      <c r="CH10" s="4"/>
      <c r="CI10" s="4"/>
      <c r="CJ10" s="23"/>
      <c r="CK10" s="23"/>
      <c r="CL10" s="23"/>
      <c r="CM10" s="23"/>
      <c r="CN10" s="23"/>
      <c r="CO10" s="23"/>
      <c r="CP10" s="23"/>
      <c r="CQ10" s="23"/>
      <c r="CR10" s="23"/>
      <c r="CS10" s="31">
        <f t="shared" si="29"/>
        <v>1958</v>
      </c>
      <c r="CT10" s="1">
        <v>2.6197453885975358E-2</v>
      </c>
      <c r="CU10" s="1">
        <v>0.34768661313711668</v>
      </c>
      <c r="CV10" s="1">
        <v>0.8</v>
      </c>
      <c r="CW10" s="1">
        <v>1</v>
      </c>
      <c r="CX10">
        <f t="shared" si="61"/>
        <v>1</v>
      </c>
      <c r="CY10">
        <f t="shared" si="62"/>
        <v>1</v>
      </c>
      <c r="CZ10">
        <f t="shared" si="63"/>
        <v>1</v>
      </c>
      <c r="DA10">
        <f t="shared" si="64"/>
        <v>1</v>
      </c>
      <c r="DB10">
        <f t="shared" si="65"/>
        <v>1</v>
      </c>
      <c r="DC10" s="11">
        <v>5.0700000000000002E-2</v>
      </c>
      <c r="DD10" s="11">
        <v>6.9000000000000006E-2</v>
      </c>
      <c r="DE10" s="11">
        <v>9.6600000000000005E-2</v>
      </c>
      <c r="DF10" s="11">
        <v>0.1077</v>
      </c>
      <c r="DG10" s="11">
        <v>0.12479999999999999</v>
      </c>
      <c r="DH10" s="11">
        <v>0.12809999999999999</v>
      </c>
      <c r="DI10" s="11">
        <v>0.13830000000000001</v>
      </c>
      <c r="DJ10" s="11">
        <v>0.16900000000000001</v>
      </c>
      <c r="DK10" s="11">
        <v>0.14879999999999999</v>
      </c>
      <c r="DL10" s="10">
        <f t="shared" si="31"/>
        <v>7.9501848739495798E-2</v>
      </c>
      <c r="DN10" s="1">
        <v>154</v>
      </c>
      <c r="DO10" s="1">
        <v>579</v>
      </c>
      <c r="DP10" s="1">
        <v>322</v>
      </c>
      <c r="DQ10" s="1">
        <v>75</v>
      </c>
      <c r="DR10" s="1">
        <v>34</v>
      </c>
      <c r="DS10" s="1">
        <v>20</v>
      </c>
      <c r="DT10" s="1">
        <v>5</v>
      </c>
      <c r="DU10" s="1">
        <v>1</v>
      </c>
      <c r="DV10" s="1">
        <v>0</v>
      </c>
      <c r="DW10">
        <f t="shared" si="32"/>
        <v>1190</v>
      </c>
      <c r="DX10" s="19">
        <f t="shared" si="33"/>
        <v>303.96538157609643</v>
      </c>
      <c r="DY10">
        <f t="shared" si="66"/>
        <v>1.6189425949073456E-2</v>
      </c>
      <c r="DZ10">
        <f t="shared" si="34"/>
        <v>0.1543902602182961</v>
      </c>
      <c r="EA10">
        <f t="shared" si="35"/>
        <v>0.39171555118266044</v>
      </c>
      <c r="EB10">
        <f t="shared" si="36"/>
        <v>0.37180525198181147</v>
      </c>
      <c r="EC10">
        <f t="shared" si="37"/>
        <v>5.7156155301303906E-2</v>
      </c>
      <c r="ED10">
        <f t="shared" si="38"/>
        <v>7.8201761814858609E-3</v>
      </c>
      <c r="EE10">
        <f t="shared" si="39"/>
        <v>9.1885962606292173E-4</v>
      </c>
      <c r="EF10">
        <f t="shared" si="40"/>
        <v>4.2719429730885933E-6</v>
      </c>
      <c r="EG10">
        <f t="shared" si="41"/>
        <v>4.7616332767834481E-8</v>
      </c>
      <c r="EH10">
        <f t="shared" si="42"/>
        <v>0.12941176470588237</v>
      </c>
      <c r="EI10">
        <f t="shared" si="43"/>
        <v>0.48655462184873949</v>
      </c>
      <c r="EJ10">
        <f t="shared" si="44"/>
        <v>0.27058823529411763</v>
      </c>
      <c r="EK10">
        <f t="shared" si="45"/>
        <v>6.3025210084033612E-2</v>
      </c>
      <c r="EL10">
        <f t="shared" si="46"/>
        <v>2.8571428571428571E-2</v>
      </c>
      <c r="EM10">
        <f t="shared" si="47"/>
        <v>1.680672268907563E-2</v>
      </c>
      <c r="EN10">
        <f t="shared" si="48"/>
        <v>4.2016806722689074E-3</v>
      </c>
      <c r="EO10">
        <f t="shared" si="49"/>
        <v>8.4033613445378156E-4</v>
      </c>
      <c r="EP10">
        <f t="shared" si="50"/>
        <v>0</v>
      </c>
      <c r="EQ10">
        <f t="shared" si="51"/>
        <v>-1.9570786379453482</v>
      </c>
      <c r="ER10">
        <v>100</v>
      </c>
      <c r="ES10">
        <v>0.26119478593975937</v>
      </c>
    </row>
    <row r="11" spans="1:149" x14ac:dyDescent="0.3">
      <c r="A11" s="12" t="s">
        <v>103</v>
      </c>
      <c r="B11" s="12">
        <v>1</v>
      </c>
      <c r="C11">
        <f t="shared" si="13"/>
        <v>7.5138816377027295E-2</v>
      </c>
      <c r="D11">
        <v>9</v>
      </c>
      <c r="E11">
        <v>1959</v>
      </c>
      <c r="F11" s="2">
        <v>5.2121767420757852</v>
      </c>
      <c r="G11" s="3">
        <f t="shared" si="67"/>
        <v>183.49304081760869</v>
      </c>
      <c r="H11" s="4">
        <f t="shared" si="52"/>
        <v>104.56849330194262</v>
      </c>
      <c r="I11" s="4">
        <f t="shared" si="53"/>
        <v>72.265331627764667</v>
      </c>
      <c r="J11" s="4">
        <f t="shared" si="54"/>
        <v>75.288154891010137</v>
      </c>
      <c r="K11" s="4">
        <f t="shared" si="55"/>
        <v>45.846695858513861</v>
      </c>
      <c r="L11" s="4">
        <f t="shared" si="56"/>
        <v>5.434185026891786</v>
      </c>
      <c r="M11" s="4">
        <f t="shared" si="57"/>
        <v>0.52553697333820748</v>
      </c>
      <c r="N11" s="4">
        <f t="shared" si="58"/>
        <v>3.8864994186283149E-2</v>
      </c>
      <c r="O11" s="4">
        <f t="shared" si="59"/>
        <v>9.7411995136265295E-5</v>
      </c>
      <c r="P11" s="22">
        <v>1.1031425681387741</v>
      </c>
      <c r="Q11" s="4"/>
      <c r="R11" s="5">
        <f t="shared" si="15"/>
        <v>23.790175380027083</v>
      </c>
      <c r="S11" s="4">
        <f t="shared" si="16"/>
        <v>-0.60594002958825388</v>
      </c>
      <c r="T11" s="5">
        <v>16.865013860344799</v>
      </c>
      <c r="U11" s="5">
        <f t="shared" si="60"/>
        <v>17.072129348273009</v>
      </c>
      <c r="V11" s="5">
        <v>12.978999999999999</v>
      </c>
      <c r="W11" s="4"/>
      <c r="X11" s="4">
        <f t="shared" si="17"/>
        <v>0.99</v>
      </c>
      <c r="Y11" s="23">
        <v>31.448491847388027</v>
      </c>
      <c r="Z11" s="23">
        <v>334.77426805284023</v>
      </c>
      <c r="AA11" s="23">
        <v>203.70506977275858</v>
      </c>
      <c r="AB11" s="23">
        <v>107.12776577690889</v>
      </c>
      <c r="AC11" s="23">
        <v>28.607982906333625</v>
      </c>
      <c r="AD11" s="23">
        <v>17.854627629484813</v>
      </c>
      <c r="AE11" s="23">
        <v>15.014118688430413</v>
      </c>
      <c r="AF11" s="23">
        <v>4.2607634115816033</v>
      </c>
      <c r="AG11" s="23">
        <v>0.81157398315840068</v>
      </c>
      <c r="AH11" s="23">
        <f t="shared" si="18"/>
        <v>69.222999999999985</v>
      </c>
      <c r="AI11" s="10">
        <v>2.3390630380999502</v>
      </c>
      <c r="AJ11" s="4">
        <f t="shared" si="19"/>
        <v>2.3390630380999502</v>
      </c>
      <c r="AK11" s="23">
        <f t="shared" si="20"/>
        <v>1.0626526571257091</v>
      </c>
      <c r="AL11" s="23">
        <f t="shared" si="1"/>
        <v>11.312108930693032</v>
      </c>
      <c r="AM11" s="23">
        <f t="shared" si="2"/>
        <v>6.8832468887368519</v>
      </c>
      <c r="AN11" s="23">
        <f t="shared" si="3"/>
        <v>3.6198748578217703</v>
      </c>
      <c r="AO11" s="23">
        <f t="shared" si="4"/>
        <v>0.96667112680467726</v>
      </c>
      <c r="AP11" s="23">
        <f t="shared" si="5"/>
        <v>0.60331247630362839</v>
      </c>
      <c r="AQ11" s="23">
        <f t="shared" si="6"/>
        <v>0.50733094598259665</v>
      </c>
      <c r="AR11" s="23">
        <f t="shared" si="7"/>
        <v>0.14397229548154769</v>
      </c>
      <c r="AS11" s="23">
        <f t="shared" si="8"/>
        <v>2.7423294377437655E-2</v>
      </c>
      <c r="AT11" s="23">
        <f t="shared" si="21"/>
        <v>23.790175380027083</v>
      </c>
      <c r="AU11" s="23">
        <f t="shared" si="22"/>
        <v>89.648423559296816</v>
      </c>
      <c r="AV11" s="4">
        <f t="shared" si="23"/>
        <v>0.37106368139083207</v>
      </c>
      <c r="AW11" s="4">
        <f t="shared" si="23"/>
        <v>0.37106368139083207</v>
      </c>
      <c r="AX11" s="4">
        <f t="shared" si="23"/>
        <v>0.37106368139083207</v>
      </c>
      <c r="AY11" s="4">
        <f t="shared" si="9"/>
        <v>0.49515641167153346</v>
      </c>
      <c r="AZ11" s="4">
        <f t="shared" si="9"/>
        <v>0.66074877255687903</v>
      </c>
      <c r="BA11" s="4">
        <f t="shared" si="9"/>
        <v>0.88171925101726745</v>
      </c>
      <c r="BB11" s="4">
        <f t="shared" si="9"/>
        <v>1.1765876380005351</v>
      </c>
      <c r="BC11" s="4">
        <f t="shared" si="9"/>
        <v>1.5700671934955486</v>
      </c>
      <c r="BD11" s="24">
        <f t="shared" si="24"/>
        <v>1.5700671934955486</v>
      </c>
      <c r="BE11" s="4">
        <f t="shared" si="25"/>
        <v>0.51283233726440991</v>
      </c>
      <c r="BF11" s="4">
        <f t="shared" si="26"/>
        <v>9.8320546222778096E-2</v>
      </c>
      <c r="BG11" s="4">
        <f t="shared" si="27"/>
        <v>2.6091513327647156E-2</v>
      </c>
      <c r="BH11" s="4">
        <f t="shared" si="28"/>
        <v>0.43577407837482085</v>
      </c>
      <c r="BI11" s="23"/>
      <c r="BJ11" s="23"/>
      <c r="BK11" s="23"/>
      <c r="BL11" s="23"/>
      <c r="BM11" s="23"/>
      <c r="BN11" s="23"/>
      <c r="BO11" s="23"/>
      <c r="BP11" s="23"/>
      <c r="BQ11" s="23"/>
      <c r="BR11" s="13">
        <v>5.8964502504550396</v>
      </c>
      <c r="BS11" s="13">
        <v>62.768663956456869</v>
      </c>
      <c r="BT11" s="13">
        <v>38.193780977141031</v>
      </c>
      <c r="BU11" s="13">
        <v>20.085972466066199</v>
      </c>
      <c r="BV11" s="13">
        <v>5.3638676471881332</v>
      </c>
      <c r="BW11" s="13">
        <v>3.3476620776776995</v>
      </c>
      <c r="BX11" s="13">
        <v>2.8150794744107932</v>
      </c>
      <c r="BY11" s="13">
        <v>0.79887390490036014</v>
      </c>
      <c r="BZ11" s="13">
        <v>0.15216645807625909</v>
      </c>
      <c r="CA11" s="4"/>
      <c r="CB11" s="4"/>
      <c r="CC11" s="4"/>
      <c r="CD11" s="4"/>
      <c r="CE11" s="4"/>
      <c r="CF11" s="4"/>
      <c r="CG11" s="4"/>
      <c r="CH11" s="4"/>
      <c r="CI11" s="4"/>
      <c r="CJ11" s="23"/>
      <c r="CK11" s="23"/>
      <c r="CL11" s="23"/>
      <c r="CM11" s="23"/>
      <c r="CN11" s="23"/>
      <c r="CO11" s="23"/>
      <c r="CP11" s="23"/>
      <c r="CQ11" s="23"/>
      <c r="CR11" s="23"/>
      <c r="CS11" s="31">
        <f t="shared" si="29"/>
        <v>1959</v>
      </c>
      <c r="CT11" s="1">
        <v>2.6197453885975358E-2</v>
      </c>
      <c r="CU11" s="1">
        <v>0.34768661313711668</v>
      </c>
      <c r="CV11" s="1">
        <v>0.8</v>
      </c>
      <c r="CW11" s="1">
        <v>1</v>
      </c>
      <c r="CX11">
        <f t="shared" si="61"/>
        <v>1</v>
      </c>
      <c r="CY11">
        <f t="shared" si="62"/>
        <v>1</v>
      </c>
      <c r="CZ11">
        <f t="shared" si="63"/>
        <v>1</v>
      </c>
      <c r="DA11">
        <f t="shared" si="64"/>
        <v>1</v>
      </c>
      <c r="DB11">
        <f t="shared" si="65"/>
        <v>1</v>
      </c>
      <c r="DC11" s="11">
        <v>5.1200000000000002E-2</v>
      </c>
      <c r="DD11" s="11">
        <v>8.0699999999999994E-2</v>
      </c>
      <c r="DE11" s="11">
        <v>9.69E-2</v>
      </c>
      <c r="DF11" s="11">
        <v>0.113</v>
      </c>
      <c r="DG11" s="11">
        <v>0.12429999999999999</v>
      </c>
      <c r="DH11" s="11">
        <v>0.13320000000000001</v>
      </c>
      <c r="DI11" s="11">
        <v>0.1371</v>
      </c>
      <c r="DJ11" s="11">
        <v>0.14990000000000001</v>
      </c>
      <c r="DK11" s="11">
        <v>0.14879999999999999</v>
      </c>
      <c r="DL11" s="10">
        <f t="shared" si="31"/>
        <v>9.3091132332878579E-2</v>
      </c>
      <c r="DN11" s="1">
        <v>155</v>
      </c>
      <c r="DO11" s="1">
        <v>1650</v>
      </c>
      <c r="DP11" s="1">
        <v>1004</v>
      </c>
      <c r="DQ11" s="1">
        <v>528</v>
      </c>
      <c r="DR11" s="1">
        <v>141</v>
      </c>
      <c r="DS11" s="1">
        <v>88</v>
      </c>
      <c r="DT11" s="1">
        <v>74</v>
      </c>
      <c r="DU11" s="1">
        <v>21</v>
      </c>
      <c r="DV11" s="1">
        <v>4</v>
      </c>
      <c r="DW11">
        <f t="shared" si="32"/>
        <v>3665</v>
      </c>
      <c r="DX11" s="19">
        <f t="shared" si="33"/>
        <v>226.10991621036754</v>
      </c>
      <c r="DY11">
        <f t="shared" si="66"/>
        <v>2.1259795040321567E-2</v>
      </c>
      <c r="DZ11">
        <f t="shared" si="34"/>
        <v>0.16079376741344645</v>
      </c>
      <c r="EA11">
        <f t="shared" si="35"/>
        <v>0.25568213137730994</v>
      </c>
      <c r="EB11">
        <f t="shared" si="36"/>
        <v>0.33297148640293928</v>
      </c>
      <c r="EC11">
        <f t="shared" si="37"/>
        <v>0.20276287138092225</v>
      </c>
      <c r="ED11">
        <f t="shared" si="38"/>
        <v>2.4033377739328971E-2</v>
      </c>
      <c r="EE11">
        <f t="shared" si="39"/>
        <v>2.3242544252206074E-3</v>
      </c>
      <c r="EF11">
        <f t="shared" si="40"/>
        <v>1.7188540351376733E-4</v>
      </c>
      <c r="EG11">
        <f t="shared" si="41"/>
        <v>4.3081699718837356E-7</v>
      </c>
      <c r="EH11">
        <f t="shared" si="42"/>
        <v>4.229195088676671E-2</v>
      </c>
      <c r="EI11">
        <f t="shared" si="43"/>
        <v>0.45020463847203274</v>
      </c>
      <c r="EJ11">
        <f t="shared" si="44"/>
        <v>0.27394270122783082</v>
      </c>
      <c r="EK11">
        <f t="shared" si="45"/>
        <v>0.14406548431105048</v>
      </c>
      <c r="EL11">
        <f t="shared" si="46"/>
        <v>3.8472032742155528E-2</v>
      </c>
      <c r="EM11">
        <f t="shared" si="47"/>
        <v>2.4010914051841747E-2</v>
      </c>
      <c r="EN11">
        <f t="shared" si="48"/>
        <v>2.0190995907230558E-2</v>
      </c>
      <c r="EO11">
        <f t="shared" si="49"/>
        <v>5.7298772169167801E-3</v>
      </c>
      <c r="EP11">
        <f t="shared" si="50"/>
        <v>1.0914051841746249E-3</v>
      </c>
      <c r="EQ11">
        <f t="shared" si="51"/>
        <v>-1.8465582500724225</v>
      </c>
      <c r="ER11">
        <v>100</v>
      </c>
      <c r="ES11">
        <v>0.29647791072171464</v>
      </c>
    </row>
    <row r="12" spans="1:149" x14ac:dyDescent="0.3">
      <c r="A12" s="12" t="s">
        <v>104</v>
      </c>
      <c r="B12" s="12">
        <v>0.1</v>
      </c>
      <c r="C12">
        <f t="shared" si="13"/>
        <v>8.1744882879044543E-3</v>
      </c>
      <c r="D12">
        <v>10</v>
      </c>
      <c r="E12">
        <v>1960</v>
      </c>
      <c r="F12" s="2">
        <v>5.8779351549659316</v>
      </c>
      <c r="G12" s="3">
        <f t="shared" si="67"/>
        <v>357.07118332329361</v>
      </c>
      <c r="H12" s="4">
        <f t="shared" si="52"/>
        <v>118.38994491722552</v>
      </c>
      <c r="I12" s="4">
        <f t="shared" si="53"/>
        <v>43.983262867495107</v>
      </c>
      <c r="J12" s="4">
        <f t="shared" si="54"/>
        <v>9.1969222085901876</v>
      </c>
      <c r="K12" s="4">
        <f t="shared" si="55"/>
        <v>0.39314700459788982</v>
      </c>
      <c r="L12" s="4">
        <f t="shared" si="56"/>
        <v>0.19943571069903657</v>
      </c>
      <c r="M12" s="4">
        <f t="shared" si="57"/>
        <v>1.8525282477117731E-2</v>
      </c>
      <c r="N12" s="4">
        <f t="shared" si="58"/>
        <v>1.2940932499277641E-3</v>
      </c>
      <c r="O12" s="4">
        <f t="shared" si="59"/>
        <v>6.2002511685050091E-5</v>
      </c>
      <c r="P12" s="22">
        <v>0.97523400100225799</v>
      </c>
      <c r="Q12" s="4"/>
      <c r="R12" s="5">
        <f t="shared" si="15"/>
        <v>9.175112462315921</v>
      </c>
      <c r="S12" s="4">
        <f t="shared" si="16"/>
        <v>-0.42223830191199446</v>
      </c>
      <c r="T12" s="5">
        <v>6.3197814824402609</v>
      </c>
      <c r="U12" s="5">
        <f t="shared" si="60"/>
        <v>6.5841762088527629</v>
      </c>
      <c r="V12" s="5">
        <v>6.0149999999999997</v>
      </c>
      <c r="W12" s="4"/>
      <c r="X12" s="4">
        <f t="shared" si="17"/>
        <v>0.99</v>
      </c>
      <c r="Y12" s="23">
        <v>49.917719471327636</v>
      </c>
      <c r="Z12" s="23">
        <v>308.31532614643544</v>
      </c>
      <c r="AA12" s="23">
        <v>131.35211672651312</v>
      </c>
      <c r="AB12" s="23">
        <v>49.330452183429664</v>
      </c>
      <c r="AC12" s="23">
        <v>15.856216773245251</v>
      </c>
      <c r="AD12" s="23">
        <v>5.2854055910817506</v>
      </c>
      <c r="AE12" s="23">
        <v>1.9575576263265739</v>
      </c>
      <c r="AF12" s="23">
        <v>0.78302305053062959</v>
      </c>
      <c r="AG12" s="23">
        <v>0.3915115252653148</v>
      </c>
      <c r="AH12" s="23">
        <f t="shared" si="18"/>
        <v>53.911000000000008</v>
      </c>
      <c r="AI12" s="10">
        <v>2.496365027412172</v>
      </c>
      <c r="AJ12" s="4">
        <f t="shared" si="19"/>
        <v>2.496365027412172</v>
      </c>
      <c r="AK12" s="23">
        <f t="shared" si="20"/>
        <v>2.3114549746136026</v>
      </c>
      <c r="AL12" s="23">
        <f t="shared" si="1"/>
        <v>14.276633666731074</v>
      </c>
      <c r="AM12" s="23">
        <f t="shared" si="2"/>
        <v>6.0822991684930479</v>
      </c>
      <c r="AN12" s="23">
        <f t="shared" si="3"/>
        <v>2.2842613866769721</v>
      </c>
      <c r="AO12" s="23">
        <f t="shared" si="4"/>
        <v>0.73422687428902667</v>
      </c>
      <c r="AP12" s="23">
        <f t="shared" si="5"/>
        <v>0.24474229142967557</v>
      </c>
      <c r="AQ12" s="23">
        <f t="shared" si="6"/>
        <v>9.0645293122102066E-2</v>
      </c>
      <c r="AR12" s="23">
        <f t="shared" si="7"/>
        <v>3.6258117248840822E-2</v>
      </c>
      <c r="AS12" s="23">
        <f t="shared" si="8"/>
        <v>1.8129058624420411E-2</v>
      </c>
      <c r="AT12" s="23">
        <f t="shared" si="21"/>
        <v>9.175112462315921</v>
      </c>
      <c r="AU12" s="23">
        <f t="shared" si="22"/>
        <v>64.789325003912623</v>
      </c>
      <c r="AV12" s="4">
        <f t="shared" si="23"/>
        <v>0.37106368139083207</v>
      </c>
      <c r="AW12" s="4">
        <f t="shared" si="23"/>
        <v>0.37106368139083207</v>
      </c>
      <c r="AX12" s="4">
        <f t="shared" si="23"/>
        <v>0.37106368139083207</v>
      </c>
      <c r="AY12" s="4">
        <f t="shared" si="9"/>
        <v>0.49515641167153346</v>
      </c>
      <c r="AZ12" s="4">
        <f t="shared" si="9"/>
        <v>0.66074877255687903</v>
      </c>
      <c r="BA12" s="4">
        <f t="shared" si="9"/>
        <v>0.88171925101726745</v>
      </c>
      <c r="BB12" s="4">
        <f t="shared" si="9"/>
        <v>1.1765876380005351</v>
      </c>
      <c r="BC12" s="4">
        <f t="shared" si="9"/>
        <v>1.5700671934955486</v>
      </c>
      <c r="BD12" s="24">
        <f t="shared" si="24"/>
        <v>1.5700671934955486</v>
      </c>
      <c r="BE12" s="4">
        <f t="shared" si="25"/>
        <v>0.67943810974658847</v>
      </c>
      <c r="BF12" s="4">
        <f t="shared" si="26"/>
        <v>0.27208004672043618</v>
      </c>
      <c r="BG12" s="4">
        <f t="shared" si="27"/>
        <v>3.8530499079306918E-2</v>
      </c>
      <c r="BH12" s="4">
        <f t="shared" si="28"/>
        <v>0.40116635339710227</v>
      </c>
      <c r="BI12" s="23"/>
      <c r="BJ12" s="23"/>
      <c r="BK12" s="23"/>
      <c r="BL12" s="23"/>
      <c r="BM12" s="23"/>
      <c r="BN12" s="23"/>
      <c r="BO12" s="23"/>
      <c r="BP12" s="23"/>
      <c r="BQ12" s="23"/>
      <c r="BR12" s="13">
        <v>5.5694586006573008</v>
      </c>
      <c r="BS12" s="13">
        <v>34.399597239353916</v>
      </c>
      <c r="BT12" s="13">
        <v>14.655320474670779</v>
      </c>
      <c r="BU12" s="13">
        <v>5.5039355582966261</v>
      </c>
      <c r="BV12" s="13">
        <v>1.7691221437382014</v>
      </c>
      <c r="BW12" s="13">
        <v>0.58970738124606714</v>
      </c>
      <c r="BX12" s="13">
        <v>0.21841014120224708</v>
      </c>
      <c r="BY12" s="13">
        <v>8.736405648089883E-2</v>
      </c>
      <c r="BZ12" s="13">
        <v>4.3682028240449415E-2</v>
      </c>
      <c r="CA12" s="4"/>
      <c r="CB12" s="4"/>
      <c r="CC12" s="4"/>
      <c r="CD12" s="4"/>
      <c r="CE12" s="4"/>
      <c r="CF12" s="4"/>
      <c r="CG12" s="4"/>
      <c r="CH12" s="4"/>
      <c r="CI12" s="4"/>
      <c r="CJ12" s="23"/>
      <c r="CK12" s="23"/>
      <c r="CL12" s="23"/>
      <c r="CM12" s="23"/>
      <c r="CN12" s="23"/>
      <c r="CO12" s="23"/>
      <c r="CP12" s="23"/>
      <c r="CQ12" s="23"/>
      <c r="CR12" s="23"/>
      <c r="CS12" s="31">
        <f t="shared" si="29"/>
        <v>1960</v>
      </c>
      <c r="CT12" s="1">
        <v>2.6197453885975358E-2</v>
      </c>
      <c r="CU12" s="1">
        <v>0.34768661313711668</v>
      </c>
      <c r="CV12" s="1">
        <v>0.8</v>
      </c>
      <c r="CW12" s="1">
        <v>1</v>
      </c>
      <c r="CX12">
        <f t="shared" si="61"/>
        <v>1</v>
      </c>
      <c r="CY12">
        <f t="shared" si="62"/>
        <v>1</v>
      </c>
      <c r="CZ12">
        <f t="shared" si="63"/>
        <v>1</v>
      </c>
      <c r="DA12">
        <f t="shared" si="64"/>
        <v>1</v>
      </c>
      <c r="DB12">
        <f t="shared" si="65"/>
        <v>1</v>
      </c>
      <c r="DC12" s="11">
        <v>5.9400000000000001E-2</v>
      </c>
      <c r="DD12" s="11">
        <v>8.9700000000000002E-2</v>
      </c>
      <c r="DE12" s="11">
        <v>0.106</v>
      </c>
      <c r="DF12" s="11">
        <v>0.121</v>
      </c>
      <c r="DG12" s="11">
        <v>0.1336</v>
      </c>
      <c r="DH12" s="11">
        <v>0.14460000000000001</v>
      </c>
      <c r="DI12" s="11">
        <v>0.16039999999999999</v>
      </c>
      <c r="DJ12" s="11">
        <v>0.17449999999999999</v>
      </c>
      <c r="DK12" s="11">
        <v>0.16450000000000001</v>
      </c>
      <c r="DL12" s="10">
        <f t="shared" si="31"/>
        <v>9.5724469933958972E-2</v>
      </c>
      <c r="DN12" s="1">
        <v>255</v>
      </c>
      <c r="DO12" s="1">
        <v>1575</v>
      </c>
      <c r="DP12" s="1">
        <v>671</v>
      </c>
      <c r="DQ12" s="1">
        <v>252</v>
      </c>
      <c r="DR12" s="1">
        <v>81</v>
      </c>
      <c r="DS12" s="1">
        <v>27</v>
      </c>
      <c r="DT12" s="1">
        <v>10</v>
      </c>
      <c r="DU12" s="1">
        <v>4</v>
      </c>
      <c r="DV12" s="1">
        <v>2</v>
      </c>
      <c r="DW12">
        <f t="shared" si="32"/>
        <v>2877</v>
      </c>
      <c r="DX12" s="19">
        <f t="shared" si="33"/>
        <v>95.512951433004517</v>
      </c>
      <c r="DY12">
        <f t="shared" si="66"/>
        <v>9.7938088173142132E-2</v>
      </c>
      <c r="DZ12">
        <f t="shared" si="34"/>
        <v>0.43096353280039251</v>
      </c>
      <c r="EA12">
        <f t="shared" si="35"/>
        <v>0.36839622026209684</v>
      </c>
      <c r="EB12">
        <f t="shared" si="36"/>
        <v>9.628979180945077E-2</v>
      </c>
      <c r="EC12">
        <f t="shared" si="37"/>
        <v>4.1161643389656345E-3</v>
      </c>
      <c r="ED12">
        <f t="shared" si="38"/>
        <v>2.0880488740726059E-3</v>
      </c>
      <c r="EE12">
        <f t="shared" si="39"/>
        <v>1.9395571175613693E-4</v>
      </c>
      <c r="EF12">
        <f t="shared" si="40"/>
        <v>1.3548877199501867E-5</v>
      </c>
      <c r="EG12">
        <f t="shared" si="41"/>
        <v>6.4915292381620526E-7</v>
      </c>
      <c r="EH12">
        <f t="shared" si="42"/>
        <v>8.8633993743482797E-2</v>
      </c>
      <c r="EI12">
        <f t="shared" si="43"/>
        <v>0.54744525547445255</v>
      </c>
      <c r="EJ12">
        <f t="shared" si="44"/>
        <v>0.23322905804657629</v>
      </c>
      <c r="EK12">
        <f t="shared" si="45"/>
        <v>8.7591240875912413E-2</v>
      </c>
      <c r="EL12">
        <f t="shared" si="46"/>
        <v>2.8154327424400417E-2</v>
      </c>
      <c r="EM12">
        <f t="shared" si="47"/>
        <v>9.384775808133473E-3</v>
      </c>
      <c r="EN12">
        <f t="shared" si="48"/>
        <v>3.4758428919012862E-3</v>
      </c>
      <c r="EO12">
        <f t="shared" si="49"/>
        <v>1.3903371567605145E-3</v>
      </c>
      <c r="EP12">
        <f t="shared" si="50"/>
        <v>6.9516857838025723E-4</v>
      </c>
      <c r="EQ12">
        <f t="shared" si="51"/>
        <v>-1.363007421927372</v>
      </c>
      <c r="ER12">
        <v>100</v>
      </c>
      <c r="ES12">
        <v>0.3886849348544118</v>
      </c>
    </row>
    <row r="13" spans="1:149" x14ac:dyDescent="0.3">
      <c r="A13" t="s">
        <v>106</v>
      </c>
      <c r="B13" s="12">
        <v>0.71761258904403979</v>
      </c>
      <c r="C13">
        <f t="shared" si="13"/>
        <v>1.6625227285596705E-3</v>
      </c>
      <c r="D13">
        <v>11</v>
      </c>
      <c r="E13">
        <v>1961</v>
      </c>
      <c r="F13" s="2">
        <v>6.7273158868690741</v>
      </c>
      <c r="G13" s="3">
        <f t="shared" si="67"/>
        <v>834.90328088719411</v>
      </c>
      <c r="H13" s="4">
        <f t="shared" si="52"/>
        <v>240.47837607603165</v>
      </c>
      <c r="I13" s="4">
        <f t="shared" si="53"/>
        <v>48.950946824466236</v>
      </c>
      <c r="J13" s="4">
        <f t="shared" si="54"/>
        <v>4.9840710813567641</v>
      </c>
      <c r="K13" s="4">
        <f t="shared" si="55"/>
        <v>4.1305531223908933E-2</v>
      </c>
      <c r="L13" s="4">
        <f t="shared" si="56"/>
        <v>1.5024010873369714E-3</v>
      </c>
      <c r="M13" s="4">
        <f t="shared" si="57"/>
        <v>6.1439020615714239E-4</v>
      </c>
      <c r="N13" s="4">
        <f t="shared" si="58"/>
        <v>4.2807317244561545E-5</v>
      </c>
      <c r="O13" s="4">
        <f t="shared" si="59"/>
        <v>2.0373465445080781E-6</v>
      </c>
      <c r="P13" s="22">
        <v>1.0439035561952446</v>
      </c>
      <c r="Q13" s="4"/>
      <c r="R13" s="5">
        <f t="shared" si="15"/>
        <v>14.122168531359952</v>
      </c>
      <c r="S13" s="4">
        <f t="shared" si="16"/>
        <v>-0.29105138034022782</v>
      </c>
      <c r="T13" s="5">
        <v>6.2570403107503321</v>
      </c>
      <c r="U13" s="5">
        <f t="shared" si="60"/>
        <v>10.13424592270548</v>
      </c>
      <c r="V13" s="5">
        <v>10.555999999999999</v>
      </c>
      <c r="W13" s="4"/>
      <c r="X13" s="4">
        <f t="shared" si="17"/>
        <v>0.99</v>
      </c>
      <c r="Y13" s="23">
        <v>129.18212364632529</v>
      </c>
      <c r="Z13" s="23">
        <v>116.92396592806084</v>
      </c>
      <c r="AA13" s="23">
        <v>55.633177336738619</v>
      </c>
      <c r="AB13" s="23">
        <v>12.258157718264442</v>
      </c>
      <c r="AC13" s="23">
        <v>0.4714676045486324</v>
      </c>
      <c r="AD13" s="23">
        <v>0</v>
      </c>
      <c r="AE13" s="23">
        <v>0</v>
      </c>
      <c r="AF13" s="23">
        <v>0</v>
      </c>
      <c r="AG13" s="23">
        <v>0</v>
      </c>
      <c r="AH13" s="23">
        <f t="shared" si="18"/>
        <v>26.434999999999999</v>
      </c>
      <c r="AI13" s="10">
        <v>2.432157747016328</v>
      </c>
      <c r="AJ13" s="4">
        <f t="shared" si="19"/>
        <v>2.432157747016328</v>
      </c>
      <c r="AK13" s="23">
        <f t="shared" si="20"/>
        <v>11.885428515317997</v>
      </c>
      <c r="AL13" s="23">
        <f t="shared" si="1"/>
        <v>10.757614130652785</v>
      </c>
      <c r="AM13" s="23">
        <f t="shared" si="2"/>
        <v>5.1185422073267279</v>
      </c>
      <c r="AN13" s="23">
        <f t="shared" si="3"/>
        <v>1.1278143846652113</v>
      </c>
      <c r="AO13" s="23">
        <f t="shared" si="4"/>
        <v>4.3377476333277355E-2</v>
      </c>
      <c r="AP13" s="23">
        <f t="shared" si="5"/>
        <v>0</v>
      </c>
      <c r="AQ13" s="23">
        <f t="shared" si="6"/>
        <v>0</v>
      </c>
      <c r="AR13" s="23">
        <f t="shared" si="7"/>
        <v>0</v>
      </c>
      <c r="AS13" s="23">
        <f t="shared" si="8"/>
        <v>0</v>
      </c>
      <c r="AT13" s="23">
        <f t="shared" si="21"/>
        <v>14.122168531359952</v>
      </c>
      <c r="AU13" s="23">
        <f t="shared" si="22"/>
        <v>43.577044615169058</v>
      </c>
      <c r="AV13" s="4">
        <f t="shared" si="23"/>
        <v>0.37106368139083207</v>
      </c>
      <c r="AW13" s="4">
        <f t="shared" si="23"/>
        <v>0.37106368139083207</v>
      </c>
      <c r="AX13" s="4">
        <f t="shared" si="23"/>
        <v>0.37106368139083207</v>
      </c>
      <c r="AY13" s="4">
        <f t="shared" ref="AY13:BC22" si="68">AX13*EXP(tanasMsl)</f>
        <v>0.49515641167153346</v>
      </c>
      <c r="AZ13" s="4">
        <f t="shared" si="68"/>
        <v>0.66074877255687903</v>
      </c>
      <c r="BA13" s="4">
        <f t="shared" si="68"/>
        <v>0.88171925101726745</v>
      </c>
      <c r="BB13" s="4">
        <f t="shared" si="68"/>
        <v>1.1765876380005351</v>
      </c>
      <c r="BC13" s="4">
        <f t="shared" si="68"/>
        <v>1.5700671934955486</v>
      </c>
      <c r="BD13" s="24">
        <f t="shared" si="24"/>
        <v>1.5700671934955486</v>
      </c>
      <c r="BE13" s="4">
        <f t="shared" si="25"/>
        <v>0.57636579754928652</v>
      </c>
      <c r="BF13" s="4">
        <f t="shared" si="26"/>
        <v>0.17222268248785114</v>
      </c>
      <c r="BG13" s="4">
        <f t="shared" si="27"/>
        <v>5.5812819994903923E-2</v>
      </c>
      <c r="BH13" s="4">
        <f t="shared" si="28"/>
        <v>0.44478554516737673</v>
      </c>
      <c r="BI13" s="23"/>
      <c r="BJ13" s="23"/>
      <c r="BK13" s="23"/>
      <c r="BL13" s="23"/>
      <c r="BM13" s="23"/>
      <c r="BN13" s="23"/>
      <c r="BO13" s="23"/>
      <c r="BP13" s="23"/>
      <c r="BQ13" s="23"/>
      <c r="BR13" s="13">
        <v>51.584887354288234</v>
      </c>
      <c r="BS13" s="13">
        <v>46.689971035998113</v>
      </c>
      <c r="BT13" s="13">
        <v>22.215389444547487</v>
      </c>
      <c r="BU13" s="13">
        <v>4.8949163182901243</v>
      </c>
      <c r="BV13" s="13">
        <v>0.18826601224192788</v>
      </c>
      <c r="BW13" s="13">
        <v>0</v>
      </c>
      <c r="BX13" s="13">
        <v>0</v>
      </c>
      <c r="BY13" s="13">
        <v>0</v>
      </c>
      <c r="BZ13" s="13">
        <v>0</v>
      </c>
      <c r="CA13" s="4"/>
      <c r="CB13" s="4"/>
      <c r="CC13" s="4"/>
      <c r="CD13" s="4"/>
      <c r="CE13" s="4"/>
      <c r="CF13" s="4"/>
      <c r="CG13" s="4"/>
      <c r="CH13" s="4"/>
      <c r="CI13" s="4"/>
      <c r="CJ13" s="23"/>
      <c r="CK13" s="23"/>
      <c r="CL13" s="23"/>
      <c r="CM13" s="23"/>
      <c r="CN13" s="23"/>
      <c r="CO13" s="23"/>
      <c r="CP13" s="23"/>
      <c r="CQ13" s="23"/>
      <c r="CR13" s="23"/>
      <c r="CS13" s="31">
        <f t="shared" si="29"/>
        <v>1961</v>
      </c>
      <c r="CT13" s="1">
        <v>2.6197453885975358E-2</v>
      </c>
      <c r="CU13" s="1">
        <v>0.34768661313711668</v>
      </c>
      <c r="CV13" s="1">
        <v>0.8</v>
      </c>
      <c r="CW13" s="1">
        <v>1</v>
      </c>
      <c r="CX13">
        <f t="shared" si="61"/>
        <v>1</v>
      </c>
      <c r="CY13">
        <f t="shared" si="62"/>
        <v>1</v>
      </c>
      <c r="CZ13">
        <f t="shared" si="63"/>
        <v>1</v>
      </c>
      <c r="DA13">
        <f t="shared" si="64"/>
        <v>1</v>
      </c>
      <c r="DB13">
        <f t="shared" si="65"/>
        <v>1</v>
      </c>
      <c r="DC13" s="11">
        <v>5.8500000000000003E-2</v>
      </c>
      <c r="DD13" s="11">
        <v>9.0399999999999994E-2</v>
      </c>
      <c r="DE13" s="11">
        <v>0.1168</v>
      </c>
      <c r="DF13" s="11">
        <v>0.14099999999999999</v>
      </c>
      <c r="DG13" s="11">
        <v>0.17299999999999999</v>
      </c>
      <c r="DH13" s="11">
        <v>0.14019999999999999</v>
      </c>
      <c r="DI13" s="11">
        <v>0.15920000000000001</v>
      </c>
      <c r="DJ13" s="11">
        <v>0.16300000000000001</v>
      </c>
      <c r="DK13" s="11">
        <v>0.15659999999999999</v>
      </c>
      <c r="DL13" s="10">
        <f t="shared" si="31"/>
        <v>8.4062368815592203E-2</v>
      </c>
      <c r="DN13" s="1">
        <v>274</v>
      </c>
      <c r="DO13" s="1">
        <v>248</v>
      </c>
      <c r="DP13" s="1">
        <v>118</v>
      </c>
      <c r="DQ13" s="1">
        <v>26</v>
      </c>
      <c r="DR13" s="1">
        <v>1</v>
      </c>
      <c r="DS13" s="1">
        <v>0</v>
      </c>
      <c r="DT13" s="1">
        <v>0</v>
      </c>
      <c r="DU13" s="1">
        <v>0</v>
      </c>
      <c r="DV13" s="1">
        <v>0</v>
      </c>
      <c r="DW13">
        <f t="shared" si="32"/>
        <v>667</v>
      </c>
      <c r="DX13" s="19">
        <f t="shared" si="33"/>
        <v>149.67174801899205</v>
      </c>
      <c r="DY13">
        <f t="shared" si="66"/>
        <v>0.14613539622398469</v>
      </c>
      <c r="DZ13">
        <f t="shared" si="34"/>
        <v>0.5586298898572345</v>
      </c>
      <c r="EA13">
        <f t="shared" si="35"/>
        <v>0.26164428476243778</v>
      </c>
      <c r="EB13">
        <f t="shared" si="36"/>
        <v>3.3300012509537395E-2</v>
      </c>
      <c r="EC13">
        <f t="shared" si="37"/>
        <v>2.7597413520330917E-4</v>
      </c>
      <c r="ED13">
        <f t="shared" si="38"/>
        <v>1.0037973814178544E-5</v>
      </c>
      <c r="EE13">
        <f t="shared" si="39"/>
        <v>4.1049176901386998E-6</v>
      </c>
      <c r="EF13">
        <f t="shared" si="40"/>
        <v>2.8600799958005213E-7</v>
      </c>
      <c r="EG13">
        <f t="shared" si="41"/>
        <v>1.3612098284905155E-8</v>
      </c>
      <c r="EH13">
        <f t="shared" si="42"/>
        <v>0.4107946026986507</v>
      </c>
      <c r="EI13">
        <f t="shared" si="43"/>
        <v>0.37181409295352325</v>
      </c>
      <c r="EJ13">
        <f t="shared" si="44"/>
        <v>0.17691154422788605</v>
      </c>
      <c r="EK13">
        <f t="shared" si="45"/>
        <v>3.8980509745127435E-2</v>
      </c>
      <c r="EL13">
        <f t="shared" si="46"/>
        <v>1.4992503748125937E-3</v>
      </c>
      <c r="EM13">
        <f t="shared" si="47"/>
        <v>0</v>
      </c>
      <c r="EN13">
        <f t="shared" si="48"/>
        <v>0</v>
      </c>
      <c r="EO13">
        <f t="shared" si="49"/>
        <v>0</v>
      </c>
      <c r="EP13">
        <f t="shared" si="50"/>
        <v>0</v>
      </c>
      <c r="EQ13">
        <f t="shared" si="51"/>
        <v>-1.3876525957242885</v>
      </c>
      <c r="ER13">
        <v>100</v>
      </c>
      <c r="ES13">
        <v>0.48775405524351434</v>
      </c>
    </row>
    <row r="14" spans="1:149" x14ac:dyDescent="0.3">
      <c r="A14" t="s">
        <v>109</v>
      </c>
      <c r="B14" s="12">
        <v>1</v>
      </c>
      <c r="C14">
        <f t="shared" si="13"/>
        <v>0.31017139670755539</v>
      </c>
      <c r="D14">
        <v>12</v>
      </c>
      <c r="E14">
        <v>1962</v>
      </c>
      <c r="F14" s="2">
        <v>5.8703041349140221</v>
      </c>
      <c r="G14" s="3">
        <f t="shared" si="67"/>
        <v>354.35673613625187</v>
      </c>
      <c r="H14" s="4">
        <f t="shared" si="52"/>
        <v>549.58390254354936</v>
      </c>
      <c r="I14" s="4">
        <f t="shared" si="53"/>
        <v>100.64645758958075</v>
      </c>
      <c r="J14" s="4">
        <f t="shared" si="54"/>
        <v>5.9596046526183599</v>
      </c>
      <c r="K14" s="4">
        <f t="shared" si="55"/>
        <v>2.4604405107052214E-2</v>
      </c>
      <c r="L14" s="4">
        <f t="shared" si="56"/>
        <v>1.7153930388808338E-4</v>
      </c>
      <c r="M14" s="4">
        <f t="shared" si="57"/>
        <v>4.9540661485214684E-6</v>
      </c>
      <c r="N14" s="4">
        <f t="shared" si="58"/>
        <v>1.4891491770741277E-6</v>
      </c>
      <c r="O14" s="4">
        <f t="shared" si="59"/>
        <v>9.9999999999999995E-7</v>
      </c>
      <c r="P14" s="22">
        <v>1.5054172213902424</v>
      </c>
      <c r="Q14" s="4"/>
      <c r="R14" s="5">
        <f t="shared" si="15"/>
        <v>27.521966616255742</v>
      </c>
      <c r="S14" s="4">
        <f t="shared" si="16"/>
        <v>0.22510490867036914</v>
      </c>
      <c r="T14" s="5">
        <v>12.013251698887803</v>
      </c>
      <c r="U14" s="5">
        <f t="shared" si="60"/>
        <v>19.750109719074914</v>
      </c>
      <c r="V14" s="5">
        <v>34.47</v>
      </c>
      <c r="W14" s="4"/>
      <c r="X14" s="4">
        <f t="shared" si="17"/>
        <v>0.94155938594892863</v>
      </c>
      <c r="Y14" s="23">
        <v>11.899926421495826</v>
      </c>
      <c r="Z14" s="23">
        <v>207.9461718739355</v>
      </c>
      <c r="AA14" s="23">
        <v>26.220176860923004</v>
      </c>
      <c r="AB14" s="23">
        <v>6.2525037129893315</v>
      </c>
      <c r="AC14" s="23">
        <v>2.016936681609462</v>
      </c>
      <c r="AD14" s="23">
        <v>0</v>
      </c>
      <c r="AE14" s="23">
        <v>0</v>
      </c>
      <c r="AF14" s="23">
        <v>0</v>
      </c>
      <c r="AG14" s="23">
        <v>0</v>
      </c>
      <c r="AH14" s="23">
        <f t="shared" si="18"/>
        <v>23.684000000000008</v>
      </c>
      <c r="AI14" s="10">
        <v>2.3679504666204849</v>
      </c>
      <c r="AJ14" s="4">
        <f t="shared" si="19"/>
        <v>2.3679504666204849</v>
      </c>
      <c r="AK14" s="23">
        <f t="shared" si="20"/>
        <v>1.1897667759892954</v>
      </c>
      <c r="AL14" s="23">
        <f t="shared" si="1"/>
        <v>20.790670271948535</v>
      </c>
      <c r="AM14" s="23">
        <f t="shared" si="2"/>
        <v>2.6215200148916682</v>
      </c>
      <c r="AN14" s="23">
        <f t="shared" si="3"/>
        <v>0.62513169585878237</v>
      </c>
      <c r="AO14" s="23">
        <f t="shared" si="4"/>
        <v>0.20165538576089753</v>
      </c>
      <c r="AP14" s="23">
        <f t="shared" si="5"/>
        <v>0</v>
      </c>
      <c r="AQ14" s="23">
        <f t="shared" si="6"/>
        <v>0</v>
      </c>
      <c r="AR14" s="23">
        <f t="shared" si="7"/>
        <v>0</v>
      </c>
      <c r="AS14" s="23">
        <f t="shared" si="8"/>
        <v>0</v>
      </c>
      <c r="AT14" s="23">
        <f t="shared" si="21"/>
        <v>27.521966616255742</v>
      </c>
      <c r="AU14" s="23">
        <f t="shared" si="22"/>
        <v>74.0862248456679</v>
      </c>
      <c r="AV14" s="4">
        <f t="shared" si="23"/>
        <v>0.37106368139083207</v>
      </c>
      <c r="AW14" s="4">
        <f t="shared" si="23"/>
        <v>0.37106368139083207</v>
      </c>
      <c r="AX14" s="4">
        <f t="shared" si="23"/>
        <v>0.37106368139083207</v>
      </c>
      <c r="AY14" s="4">
        <f t="shared" si="68"/>
        <v>0.49515641167153346</v>
      </c>
      <c r="AZ14" s="4">
        <f t="shared" si="68"/>
        <v>0.66074877255687903</v>
      </c>
      <c r="BA14" s="4">
        <f t="shared" si="68"/>
        <v>0.88171925101726745</v>
      </c>
      <c r="BB14" s="4">
        <f t="shared" si="68"/>
        <v>1.1765876380005351</v>
      </c>
      <c r="BC14" s="4">
        <f t="shared" si="68"/>
        <v>1.5700671934955486</v>
      </c>
      <c r="BD14" s="24">
        <f t="shared" si="24"/>
        <v>1.5700671934955486</v>
      </c>
      <c r="BE14" s="4">
        <f t="shared" si="25"/>
        <v>0.64857255640136524</v>
      </c>
      <c r="BF14" s="4">
        <f t="shared" si="26"/>
        <v>8.6038563291544148E-2</v>
      </c>
      <c r="BG14" s="4">
        <f t="shared" si="27"/>
        <v>3.1962088384895587E-2</v>
      </c>
      <c r="BH14" s="4">
        <f t="shared" si="28"/>
        <v>0.59108968377906812</v>
      </c>
      <c r="BI14" s="23"/>
      <c r="BJ14" s="23"/>
      <c r="BK14" s="23"/>
      <c r="BL14" s="23"/>
      <c r="BM14" s="23"/>
      <c r="BN14" s="23"/>
      <c r="BO14" s="23"/>
      <c r="BP14" s="23"/>
      <c r="BQ14" s="23"/>
      <c r="BR14" s="13">
        <v>17.319306863239362</v>
      </c>
      <c r="BS14" s="13">
        <v>302.64754874575902</v>
      </c>
      <c r="BT14" s="13">
        <v>38.161184613917236</v>
      </c>
      <c r="BU14" s="13">
        <v>9.099974792549494</v>
      </c>
      <c r="BV14" s="13">
        <v>2.935475739532095</v>
      </c>
      <c r="BW14" s="13">
        <v>0</v>
      </c>
      <c r="BX14" s="13">
        <v>0</v>
      </c>
      <c r="BY14" s="13">
        <v>0</v>
      </c>
      <c r="BZ14" s="13">
        <v>0</v>
      </c>
      <c r="CA14" s="4"/>
      <c r="CB14" s="4"/>
      <c r="CC14" s="4"/>
      <c r="CD14" s="4"/>
      <c r="CE14" s="4"/>
      <c r="CF14" s="4"/>
      <c r="CG14" s="4"/>
      <c r="CH14" s="4"/>
      <c r="CI14" s="4"/>
      <c r="CJ14" s="23"/>
      <c r="CK14" s="23"/>
      <c r="CL14" s="23"/>
      <c r="CM14" s="23"/>
      <c r="CN14" s="23"/>
      <c r="CO14" s="23"/>
      <c r="CP14" s="23"/>
      <c r="CQ14" s="23"/>
      <c r="CR14" s="23"/>
      <c r="CS14" s="31">
        <f t="shared" si="29"/>
        <v>1962</v>
      </c>
      <c r="CT14" s="1">
        <v>2.6197453885975358E-2</v>
      </c>
      <c r="CU14" s="1">
        <v>0.34768661313711668</v>
      </c>
      <c r="CV14" s="1">
        <v>0.8</v>
      </c>
      <c r="CW14" s="1">
        <v>1</v>
      </c>
      <c r="CX14">
        <f t="shared" si="61"/>
        <v>1</v>
      </c>
      <c r="CY14">
        <f t="shared" si="62"/>
        <v>1</v>
      </c>
      <c r="CZ14">
        <f t="shared" si="63"/>
        <v>1</v>
      </c>
      <c r="DA14">
        <f t="shared" si="64"/>
        <v>1</v>
      </c>
      <c r="DB14">
        <f t="shared" si="65"/>
        <v>1</v>
      </c>
      <c r="DC14" s="11">
        <v>5.67E-2</v>
      </c>
      <c r="DD14" s="11">
        <v>9.2100000000000001E-2</v>
      </c>
      <c r="DE14" s="11">
        <v>0.1074</v>
      </c>
      <c r="DF14" s="11">
        <v>0.12520000000000001</v>
      </c>
      <c r="DG14" s="11">
        <v>0.12820000000000001</v>
      </c>
      <c r="DH14" s="11">
        <v>0.13950000000000001</v>
      </c>
      <c r="DI14" s="11">
        <v>0.15459999999999999</v>
      </c>
      <c r="DJ14" s="11">
        <v>0.1676</v>
      </c>
      <c r="DK14" s="11">
        <v>0.15659999999999999</v>
      </c>
      <c r="DL14" s="10">
        <f t="shared" si="31"/>
        <v>9.3121015067406818E-2</v>
      </c>
      <c r="DN14" s="1">
        <v>59</v>
      </c>
      <c r="DO14" s="1">
        <v>1031</v>
      </c>
      <c r="DP14" s="1">
        <v>130</v>
      </c>
      <c r="DQ14" s="1">
        <v>31</v>
      </c>
      <c r="DR14" s="1">
        <v>10</v>
      </c>
      <c r="DS14" s="1">
        <v>0</v>
      </c>
      <c r="DT14" s="1">
        <v>0</v>
      </c>
      <c r="DU14" s="1">
        <v>0</v>
      </c>
      <c r="DV14" s="1">
        <v>0</v>
      </c>
      <c r="DW14">
        <f t="shared" si="32"/>
        <v>1261</v>
      </c>
      <c r="DX14" s="19">
        <f t="shared" si="33"/>
        <v>286.86776407606925</v>
      </c>
      <c r="DY14">
        <f t="shared" si="66"/>
        <v>3.236070906751496E-2</v>
      </c>
      <c r="DZ14">
        <f t="shared" si="34"/>
        <v>0.66610121330808048</v>
      </c>
      <c r="EA14">
        <f t="shared" si="35"/>
        <v>0.28067693953341416</v>
      </c>
      <c r="EB14">
        <f t="shared" si="36"/>
        <v>2.0774745018189079E-2</v>
      </c>
      <c r="EC14">
        <f t="shared" si="37"/>
        <v>8.576915285792731E-5</v>
      </c>
      <c r="ED14">
        <f t="shared" si="38"/>
        <v>5.9797344062191662E-7</v>
      </c>
      <c r="EE14">
        <f t="shared" si="39"/>
        <v>1.7269511492437296E-8</v>
      </c>
      <c r="EF14">
        <f t="shared" si="40"/>
        <v>5.1910648861865403E-9</v>
      </c>
      <c r="EG14">
        <f t="shared" si="41"/>
        <v>3.4859267064068869E-9</v>
      </c>
      <c r="EH14">
        <f t="shared" si="42"/>
        <v>4.6788263283108644E-2</v>
      </c>
      <c r="EI14">
        <f t="shared" si="43"/>
        <v>0.81760507533703408</v>
      </c>
      <c r="EJ14">
        <f t="shared" si="44"/>
        <v>0.10309278350515463</v>
      </c>
      <c r="EK14">
        <f t="shared" si="45"/>
        <v>2.458366375892149E-2</v>
      </c>
      <c r="EL14">
        <f t="shared" si="46"/>
        <v>7.9302141157811257E-3</v>
      </c>
      <c r="EM14">
        <f t="shared" si="47"/>
        <v>0</v>
      </c>
      <c r="EN14">
        <f t="shared" si="48"/>
        <v>0</v>
      </c>
      <c r="EO14">
        <f t="shared" si="49"/>
        <v>0</v>
      </c>
      <c r="EP14">
        <f t="shared" si="50"/>
        <v>0</v>
      </c>
      <c r="EQ14">
        <f t="shared" si="51"/>
        <v>-0.78665457100910774</v>
      </c>
      <c r="ER14">
        <v>100</v>
      </c>
      <c r="ES14">
        <v>0.57175118866040675</v>
      </c>
    </row>
    <row r="15" spans="1:149" x14ac:dyDescent="0.3">
      <c r="A15" s="12" t="s">
        <v>112</v>
      </c>
      <c r="B15">
        <v>0.69</v>
      </c>
      <c r="C15">
        <f t="shared" si="13"/>
        <v>0.28726686648109201</v>
      </c>
      <c r="D15">
        <v>13</v>
      </c>
      <c r="E15">
        <v>1963</v>
      </c>
      <c r="F15" s="2">
        <v>5.8537791192509721</v>
      </c>
      <c r="G15" s="3">
        <f t="shared" si="67"/>
        <v>348.54910329303908</v>
      </c>
      <c r="H15" s="4">
        <f t="shared" si="52"/>
        <v>197.24885810294168</v>
      </c>
      <c r="I15" s="4">
        <f t="shared" si="53"/>
        <v>205.12683023612337</v>
      </c>
      <c r="J15" s="4">
        <f t="shared" si="54"/>
        <v>13.227850098236836</v>
      </c>
      <c r="K15" s="4">
        <f t="shared" si="55"/>
        <v>0.1510530878227678</v>
      </c>
      <c r="L15" s="4">
        <f t="shared" si="56"/>
        <v>4.8602842462870525E-4</v>
      </c>
      <c r="M15" s="4">
        <f t="shared" si="57"/>
        <v>2.4296470202489801E-6</v>
      </c>
      <c r="N15" s="4">
        <f t="shared" si="58"/>
        <v>9.9999999999999995E-7</v>
      </c>
      <c r="O15" s="4">
        <f t="shared" si="59"/>
        <v>9.9999999999999995E-7</v>
      </c>
      <c r="P15" s="22">
        <v>0.84619042032492442</v>
      </c>
      <c r="Q15" s="4"/>
      <c r="R15" s="5">
        <f t="shared" si="15"/>
        <v>26.781780736379087</v>
      </c>
      <c r="S15" s="4">
        <f t="shared" si="16"/>
        <v>-0.86779824765147373</v>
      </c>
      <c r="T15" s="5">
        <v>11.377786054458213</v>
      </c>
      <c r="U15" s="5">
        <f t="shared" si="60"/>
        <v>19.218943013442786</v>
      </c>
      <c r="V15" s="5">
        <v>11.244999999999999</v>
      </c>
      <c r="W15" s="4"/>
      <c r="X15" s="4">
        <f t="shared" si="17"/>
        <v>0.743768774874076</v>
      </c>
      <c r="Y15" s="23">
        <v>3.0730365210737451</v>
      </c>
      <c r="Z15" s="23">
        <v>77.613871109170233</v>
      </c>
      <c r="AA15" s="23">
        <v>87.463347138252757</v>
      </c>
      <c r="AB15" s="23">
        <v>8.3523556726619752</v>
      </c>
      <c r="AC15" s="23">
        <v>1.103141315257242</v>
      </c>
      <c r="AD15" s="23">
        <v>0.31518323293064054</v>
      </c>
      <c r="AE15" s="23">
        <v>0</v>
      </c>
      <c r="AF15" s="23">
        <v>0</v>
      </c>
      <c r="AG15" s="23">
        <v>0</v>
      </c>
      <c r="AH15" s="23">
        <f t="shared" si="18"/>
        <v>18.206</v>
      </c>
      <c r="AI15" s="10">
        <v>2.3037431862246414</v>
      </c>
      <c r="AJ15" s="4">
        <f t="shared" si="19"/>
        <v>2.3037431862246414</v>
      </c>
      <c r="AK15" s="23">
        <f t="shared" si="20"/>
        <v>0.38885460542915068</v>
      </c>
      <c r="AL15" s="23">
        <f t="shared" si="1"/>
        <v>9.821071444813164</v>
      </c>
      <c r="AM15" s="23">
        <f t="shared" si="2"/>
        <v>11.067400308368134</v>
      </c>
      <c r="AN15" s="23">
        <f t="shared" si="3"/>
        <v>1.0568868762946146</v>
      </c>
      <c r="AO15" s="23">
        <f t="shared" si="4"/>
        <v>0.13958883271815664</v>
      </c>
      <c r="AP15" s="23">
        <f t="shared" si="5"/>
        <v>3.9882523633759041E-2</v>
      </c>
      <c r="AQ15" s="23">
        <f t="shared" si="6"/>
        <v>0</v>
      </c>
      <c r="AR15" s="23">
        <f t="shared" si="7"/>
        <v>0</v>
      </c>
      <c r="AS15" s="23">
        <f t="shared" si="8"/>
        <v>0</v>
      </c>
      <c r="AT15" s="23">
        <f t="shared" si="21"/>
        <v>26.781780736379083</v>
      </c>
      <c r="AU15" s="23">
        <f t="shared" si="22"/>
        <v>36.179758138136101</v>
      </c>
      <c r="AV15" s="4">
        <f t="shared" si="23"/>
        <v>0.37106368139083207</v>
      </c>
      <c r="AW15" s="4">
        <f t="shared" si="23"/>
        <v>0.37106368139083207</v>
      </c>
      <c r="AX15" s="4">
        <f t="shared" si="23"/>
        <v>0.37106368139083207</v>
      </c>
      <c r="AY15" s="4">
        <f t="shared" si="68"/>
        <v>0.49515641167153346</v>
      </c>
      <c r="AZ15" s="4">
        <f t="shared" si="68"/>
        <v>0.66074877255687903</v>
      </c>
      <c r="BA15" s="4">
        <f t="shared" si="68"/>
        <v>0.88171925101726745</v>
      </c>
      <c r="BB15" s="4">
        <f t="shared" si="68"/>
        <v>1.1765876380005351</v>
      </c>
      <c r="BC15" s="4">
        <f t="shared" si="68"/>
        <v>1.5700671934955486</v>
      </c>
      <c r="BD15" s="24">
        <f t="shared" si="24"/>
        <v>1.5700671934955486</v>
      </c>
      <c r="BE15" s="4">
        <f t="shared" si="25"/>
        <v>0.40393607659033698</v>
      </c>
      <c r="BF15" s="4">
        <f t="shared" si="26"/>
        <v>8.6019044398169806E-2</v>
      </c>
      <c r="BG15" s="4">
        <f t="shared" si="27"/>
        <v>6.3674919479252357E-2</v>
      </c>
      <c r="BH15" s="4">
        <f t="shared" si="28"/>
        <v>0.37978308707685393</v>
      </c>
      <c r="BI15" s="23"/>
      <c r="BJ15" s="23"/>
      <c r="BK15" s="23"/>
      <c r="BL15" s="23"/>
      <c r="BM15" s="23"/>
      <c r="BN15" s="23"/>
      <c r="BO15" s="23"/>
      <c r="BP15" s="23"/>
      <c r="BQ15" s="23"/>
      <c r="BR15" s="13">
        <v>1.8980718268413854</v>
      </c>
      <c r="BS15" s="13">
        <v>47.938480754840121</v>
      </c>
      <c r="BT15" s="13">
        <v>54.022044302408666</v>
      </c>
      <c r="BU15" s="13">
        <v>5.1588618883381248</v>
      </c>
      <c r="BV15" s="13">
        <v>0.68135911732767684</v>
      </c>
      <c r="BW15" s="13">
        <v>0.19467403352219337</v>
      </c>
      <c r="BX15" s="13">
        <v>0</v>
      </c>
      <c r="BY15" s="13">
        <v>0</v>
      </c>
      <c r="BZ15" s="13">
        <v>0</v>
      </c>
      <c r="CA15" s="4"/>
      <c r="CB15" s="4"/>
      <c r="CC15" s="4"/>
      <c r="CD15" s="4"/>
      <c r="CE15" s="4"/>
      <c r="CF15" s="4"/>
      <c r="CG15" s="4"/>
      <c r="CH15" s="4"/>
      <c r="CI15" s="4"/>
      <c r="CJ15" s="23"/>
      <c r="CK15" s="23"/>
      <c r="CL15" s="23"/>
      <c r="CM15" s="23"/>
      <c r="CN15" s="23"/>
      <c r="CO15" s="23"/>
      <c r="CP15" s="23"/>
      <c r="CQ15" s="23"/>
      <c r="CR15" s="23"/>
      <c r="CS15" s="31">
        <f t="shared" si="29"/>
        <v>1963</v>
      </c>
      <c r="CT15" s="1">
        <v>2.6197453885975358E-2</v>
      </c>
      <c r="CU15" s="1">
        <v>0.34768661313711668</v>
      </c>
      <c r="CV15" s="1">
        <v>0.8</v>
      </c>
      <c r="CW15" s="1">
        <v>1</v>
      </c>
      <c r="CX15">
        <f t="shared" si="61"/>
        <v>1</v>
      </c>
      <c r="CY15">
        <f t="shared" si="62"/>
        <v>1</v>
      </c>
      <c r="CZ15">
        <f t="shared" si="63"/>
        <v>1</v>
      </c>
      <c r="DA15">
        <f t="shared" si="64"/>
        <v>1</v>
      </c>
      <c r="DB15">
        <f t="shared" si="65"/>
        <v>1</v>
      </c>
      <c r="DC15" s="11">
        <v>5.6300000000000003E-2</v>
      </c>
      <c r="DD15" s="11">
        <v>8.9800000000000005E-2</v>
      </c>
      <c r="DE15" s="11">
        <v>0.1125</v>
      </c>
      <c r="DF15" s="11">
        <v>0.123</v>
      </c>
      <c r="DG15" s="11">
        <v>0.1366</v>
      </c>
      <c r="DH15" s="11">
        <v>0.1447</v>
      </c>
      <c r="DI15" s="11">
        <v>0.14990000000000001</v>
      </c>
      <c r="DJ15" s="11">
        <v>0.1648</v>
      </c>
      <c r="DK15" s="11">
        <v>0.15659999999999999</v>
      </c>
      <c r="DL15" s="10">
        <f t="shared" si="31"/>
        <v>0.10232635075287866</v>
      </c>
      <c r="DN15" s="1">
        <v>39</v>
      </c>
      <c r="DO15" s="1">
        <v>985</v>
      </c>
      <c r="DP15" s="1">
        <v>1110</v>
      </c>
      <c r="DQ15" s="1">
        <v>106</v>
      </c>
      <c r="DR15" s="1">
        <v>14</v>
      </c>
      <c r="DS15" s="1">
        <v>4</v>
      </c>
      <c r="DT15" s="1">
        <v>0</v>
      </c>
      <c r="DU15" s="1">
        <v>0</v>
      </c>
      <c r="DV15" s="1">
        <v>0</v>
      </c>
      <c r="DW15">
        <f t="shared" si="32"/>
        <v>2258</v>
      </c>
      <c r="DX15" s="19">
        <f t="shared" si="33"/>
        <v>255.19274431252293</v>
      </c>
      <c r="DY15">
        <f t="shared" si="66"/>
        <v>3.5781186040834342E-2</v>
      </c>
      <c r="DZ15">
        <f t="shared" si="34"/>
        <v>0.26874113370162178</v>
      </c>
      <c r="EA15">
        <f t="shared" si="35"/>
        <v>0.64304909855873926</v>
      </c>
      <c r="EB15">
        <f t="shared" si="36"/>
        <v>5.1834742143128061E-2</v>
      </c>
      <c r="EC15">
        <f t="shared" si="37"/>
        <v>5.9191764338636509E-4</v>
      </c>
      <c r="ED15">
        <f t="shared" si="38"/>
        <v>1.9045542456077371E-6</v>
      </c>
      <c r="EE15">
        <f t="shared" si="39"/>
        <v>9.5208311145143765E-9</v>
      </c>
      <c r="EF15">
        <f t="shared" si="40"/>
        <v>3.9186067091913296E-9</v>
      </c>
      <c r="EG15">
        <f t="shared" si="41"/>
        <v>3.9186067091913296E-9</v>
      </c>
      <c r="EH15">
        <f t="shared" si="42"/>
        <v>1.7271922054915855E-2</v>
      </c>
      <c r="EI15">
        <f t="shared" si="43"/>
        <v>0.43622674933569533</v>
      </c>
      <c r="EJ15">
        <f t="shared" si="44"/>
        <v>0.49158547387068202</v>
      </c>
      <c r="EK15">
        <f t="shared" si="45"/>
        <v>4.6944198405668734E-2</v>
      </c>
      <c r="EL15">
        <f t="shared" si="46"/>
        <v>6.2001771479185119E-3</v>
      </c>
      <c r="EM15">
        <f t="shared" si="47"/>
        <v>1.7714791851195749E-3</v>
      </c>
      <c r="EN15">
        <f t="shared" si="48"/>
        <v>0</v>
      </c>
      <c r="EO15">
        <f t="shared" si="49"/>
        <v>0</v>
      </c>
      <c r="EP15">
        <f t="shared" si="50"/>
        <v>0</v>
      </c>
      <c r="EQ15">
        <f t="shared" si="51"/>
        <v>-1.047736262445216</v>
      </c>
      <c r="ER15">
        <v>100</v>
      </c>
      <c r="ES15">
        <v>0.50475862972622665</v>
      </c>
    </row>
    <row r="16" spans="1:149" x14ac:dyDescent="0.3">
      <c r="A16" s="12" t="s">
        <v>113</v>
      </c>
      <c r="B16" s="12">
        <v>0.28849999999999998</v>
      </c>
      <c r="C16">
        <f t="shared" si="13"/>
        <v>4.6772904550463235E-2</v>
      </c>
      <c r="D16">
        <v>14</v>
      </c>
      <c r="E16">
        <v>1964</v>
      </c>
      <c r="F16" s="2">
        <v>4.5358404072102294</v>
      </c>
      <c r="G16" s="3">
        <f t="shared" si="67"/>
        <v>93.301893949224592</v>
      </c>
      <c r="H16" s="4">
        <f t="shared" si="52"/>
        <v>249.10023945828971</v>
      </c>
      <c r="I16" s="4">
        <f t="shared" si="53"/>
        <v>103.63744666437857</v>
      </c>
      <c r="J16" s="4">
        <f t="shared" si="54"/>
        <v>56.510986882634796</v>
      </c>
      <c r="K16" s="4">
        <f t="shared" si="55"/>
        <v>2.0374668329593457</v>
      </c>
      <c r="L16" s="4">
        <f t="shared" si="56"/>
        <v>2.022443456557714E-2</v>
      </c>
      <c r="M16" s="4">
        <f t="shared" si="57"/>
        <v>5.3976251477285976E-5</v>
      </c>
      <c r="N16" s="4">
        <f t="shared" si="58"/>
        <v>9.9999999999999995E-7</v>
      </c>
      <c r="O16" s="4">
        <f t="shared" si="59"/>
        <v>9.9999999999999995E-7</v>
      </c>
      <c r="P16" s="22">
        <v>1.1603973497973039</v>
      </c>
      <c r="Q16" s="4"/>
      <c r="R16" s="5">
        <f t="shared" si="15"/>
        <v>25.549136690913976</v>
      </c>
      <c r="S16" s="4">
        <f t="shared" si="16"/>
        <v>-0.11555498204948091</v>
      </c>
      <c r="T16" s="5">
        <v>11.817436658593181</v>
      </c>
      <c r="U16" s="5">
        <f t="shared" si="60"/>
        <v>18.334382128606851</v>
      </c>
      <c r="V16" s="5">
        <v>22.760999999999999</v>
      </c>
      <c r="W16" s="4"/>
      <c r="X16" s="4">
        <f t="shared" si="17"/>
        <v>0.91232793714799298</v>
      </c>
      <c r="Y16" s="23">
        <v>5.2684908768843899</v>
      </c>
      <c r="Z16" s="23">
        <v>125.21446650728568</v>
      </c>
      <c r="AA16" s="23">
        <v>53.562990581657971</v>
      </c>
      <c r="AB16" s="23">
        <v>21.600812595226</v>
      </c>
      <c r="AC16" s="23">
        <v>1.7561636256281301</v>
      </c>
      <c r="AD16" s="23">
        <v>0.52684908768843897</v>
      </c>
      <c r="AE16" s="23">
        <v>0</v>
      </c>
      <c r="AF16" s="23">
        <v>0</v>
      </c>
      <c r="AG16" s="23">
        <v>0</v>
      </c>
      <c r="AH16" s="23">
        <f t="shared" si="18"/>
        <v>21.265999999999998</v>
      </c>
      <c r="AI16" s="10">
        <v>2.2395359058287978</v>
      </c>
      <c r="AJ16" s="4">
        <f t="shared" si="19"/>
        <v>2.2395359058287978</v>
      </c>
      <c r="AK16" s="23">
        <f t="shared" si="20"/>
        <v>0.55482810534722282</v>
      </c>
      <c r="AL16" s="23">
        <f t="shared" si="1"/>
        <v>13.186414637085663</v>
      </c>
      <c r="AM16" s="23">
        <f t="shared" si="2"/>
        <v>5.6407524043634316</v>
      </c>
      <c r="AN16" s="23">
        <f t="shared" si="3"/>
        <v>2.2747952319236133</v>
      </c>
      <c r="AO16" s="23">
        <f t="shared" si="4"/>
        <v>0.1849427017824076</v>
      </c>
      <c r="AP16" s="23">
        <f t="shared" si="5"/>
        <v>5.5482810534722281E-2</v>
      </c>
      <c r="AQ16" s="23">
        <f t="shared" si="6"/>
        <v>0</v>
      </c>
      <c r="AR16" s="23">
        <f t="shared" si="7"/>
        <v>0</v>
      </c>
      <c r="AS16" s="23">
        <f t="shared" si="8"/>
        <v>0</v>
      </c>
      <c r="AT16" s="23">
        <f t="shared" si="21"/>
        <v>25.549136690913976</v>
      </c>
      <c r="AU16" s="23">
        <f t="shared" si="22"/>
        <v>55.223206899199788</v>
      </c>
      <c r="AV16" s="4">
        <f t="shared" si="23"/>
        <v>0.37106368139083207</v>
      </c>
      <c r="AW16" s="4">
        <f t="shared" si="23"/>
        <v>0.37106368139083207</v>
      </c>
      <c r="AX16" s="4">
        <f t="shared" si="23"/>
        <v>0.37106368139083207</v>
      </c>
      <c r="AY16" s="4">
        <f t="shared" si="68"/>
        <v>0.49515641167153346</v>
      </c>
      <c r="AZ16" s="4">
        <f t="shared" si="68"/>
        <v>0.66074877255687903</v>
      </c>
      <c r="BA16" s="4">
        <f t="shared" si="68"/>
        <v>0.88171925101726745</v>
      </c>
      <c r="BB16" s="4">
        <f t="shared" si="68"/>
        <v>1.1765876380005351</v>
      </c>
      <c r="BC16" s="4">
        <f t="shared" si="68"/>
        <v>1.5700671934955486</v>
      </c>
      <c r="BD16" s="24">
        <f t="shared" si="24"/>
        <v>1.5700671934955486</v>
      </c>
      <c r="BE16" s="4">
        <f t="shared" si="25"/>
        <v>0.52231951300144486</v>
      </c>
      <c r="BF16" s="4">
        <f t="shared" si="26"/>
        <v>8.7656030531365961E-2</v>
      </c>
      <c r="BG16" s="4">
        <f t="shared" si="27"/>
        <v>4.0554253032002927E-2</v>
      </c>
      <c r="BH16" s="4">
        <f t="shared" si="28"/>
        <v>0.47198082064944713</v>
      </c>
      <c r="BI16" s="23"/>
      <c r="BJ16" s="23"/>
      <c r="BK16" s="23"/>
      <c r="BL16" s="23"/>
      <c r="BM16" s="23"/>
      <c r="BN16" s="23"/>
      <c r="BO16" s="23"/>
      <c r="BP16" s="23"/>
      <c r="BQ16" s="23"/>
      <c r="BR16" s="13">
        <v>5.6388658350778522</v>
      </c>
      <c r="BS16" s="13">
        <v>134.0170446803503</v>
      </c>
      <c r="BT16" s="13">
        <v>57.3284693232915</v>
      </c>
      <c r="BU16" s="13">
        <v>23.119349923819197</v>
      </c>
      <c r="BV16" s="13">
        <v>1.8796219450259506</v>
      </c>
      <c r="BW16" s="13">
        <v>0.56388658350778531</v>
      </c>
      <c r="BX16" s="13">
        <v>0</v>
      </c>
      <c r="BY16" s="13">
        <v>0</v>
      </c>
      <c r="BZ16" s="13">
        <v>0</v>
      </c>
      <c r="CA16" s="4"/>
      <c r="CB16" s="4"/>
      <c r="CC16" s="4"/>
      <c r="CD16" s="4"/>
      <c r="CE16" s="4"/>
      <c r="CF16" s="4"/>
      <c r="CG16" s="4"/>
      <c r="CH16" s="4"/>
      <c r="CI16" s="4"/>
      <c r="CJ16" s="23"/>
      <c r="CK16" s="23"/>
      <c r="CL16" s="23"/>
      <c r="CM16" s="23"/>
      <c r="CN16" s="23"/>
      <c r="CO16" s="23"/>
      <c r="CP16" s="23"/>
      <c r="CQ16" s="23"/>
      <c r="CR16" s="23"/>
      <c r="CS16" s="31">
        <f t="shared" si="29"/>
        <v>1964</v>
      </c>
      <c r="CT16" s="1">
        <v>2.6197453885975358E-2</v>
      </c>
      <c r="CU16" s="1">
        <v>0.34768661313711668</v>
      </c>
      <c r="CV16" s="1">
        <v>0.8</v>
      </c>
      <c r="CW16" s="1">
        <v>1</v>
      </c>
      <c r="CX16">
        <f t="shared" si="61"/>
        <v>1</v>
      </c>
      <c r="CY16">
        <f t="shared" si="62"/>
        <v>1</v>
      </c>
      <c r="CZ16">
        <f t="shared" si="63"/>
        <v>1</v>
      </c>
      <c r="DA16">
        <f t="shared" si="64"/>
        <v>1</v>
      </c>
      <c r="DB16">
        <f t="shared" si="65"/>
        <v>1</v>
      </c>
      <c r="DC16" s="11">
        <v>6.13E-2</v>
      </c>
      <c r="DD16" s="11">
        <v>9.2700000000000005E-2</v>
      </c>
      <c r="DE16" s="11">
        <v>0.1137</v>
      </c>
      <c r="DF16" s="11">
        <v>0.1353</v>
      </c>
      <c r="DG16" s="11">
        <v>0.1449</v>
      </c>
      <c r="DH16" s="11">
        <v>0.13</v>
      </c>
      <c r="DI16" s="11">
        <v>0.1522</v>
      </c>
      <c r="DJ16" s="11">
        <v>0.16400000000000001</v>
      </c>
      <c r="DK16" s="11">
        <v>0.15659999999999999</v>
      </c>
      <c r="DL16" s="10">
        <f t="shared" si="31"/>
        <v>0.10227491554054055</v>
      </c>
      <c r="DN16" s="1">
        <v>30</v>
      </c>
      <c r="DO16" s="1">
        <v>713</v>
      </c>
      <c r="DP16" s="1">
        <v>305</v>
      </c>
      <c r="DQ16" s="1">
        <v>123</v>
      </c>
      <c r="DR16" s="1">
        <v>10</v>
      </c>
      <c r="DS16" s="1">
        <v>3</v>
      </c>
      <c r="DT16" s="1">
        <v>0</v>
      </c>
      <c r="DU16" s="1">
        <v>0</v>
      </c>
      <c r="DV16" s="1">
        <v>0</v>
      </c>
      <c r="DW16">
        <f t="shared" si="32"/>
        <v>1184</v>
      </c>
      <c r="DX16" s="19">
        <f t="shared" si="33"/>
        <v>230.53178211102056</v>
      </c>
      <c r="DY16">
        <f t="shared" si="66"/>
        <v>1.0602755254942899E-2</v>
      </c>
      <c r="DZ16">
        <f t="shared" si="34"/>
        <v>0.37569144608090538</v>
      </c>
      <c r="EA16">
        <f t="shared" si="35"/>
        <v>0.35964653798396745</v>
      </c>
      <c r="EB16">
        <f t="shared" si="36"/>
        <v>0.24513317150960112</v>
      </c>
      <c r="EC16">
        <f t="shared" si="37"/>
        <v>8.8381168717905148E-3</v>
      </c>
      <c r="ED16">
        <f t="shared" si="38"/>
        <v>8.7729485194528895E-5</v>
      </c>
      <c r="EE16">
        <f t="shared" si="39"/>
        <v>2.3413800467343737E-7</v>
      </c>
      <c r="EF16">
        <f t="shared" si="40"/>
        <v>4.3377966840095625E-9</v>
      </c>
      <c r="EG16">
        <f t="shared" si="41"/>
        <v>4.3377966840095625E-9</v>
      </c>
      <c r="EH16">
        <f t="shared" si="42"/>
        <v>2.5337837837837839E-2</v>
      </c>
      <c r="EI16">
        <f t="shared" si="43"/>
        <v>0.60219594594594594</v>
      </c>
      <c r="EJ16">
        <f t="shared" si="44"/>
        <v>0.25760135135135137</v>
      </c>
      <c r="EK16">
        <f t="shared" si="45"/>
        <v>0.10388513513513513</v>
      </c>
      <c r="EL16">
        <f t="shared" si="46"/>
        <v>8.4459459459459464E-3</v>
      </c>
      <c r="EM16">
        <f t="shared" si="47"/>
        <v>2.5337837837837839E-3</v>
      </c>
      <c r="EN16">
        <f t="shared" si="48"/>
        <v>0</v>
      </c>
      <c r="EO16">
        <f t="shared" si="49"/>
        <v>0</v>
      </c>
      <c r="EP16">
        <f t="shared" si="50"/>
        <v>0</v>
      </c>
      <c r="EQ16">
        <f t="shared" si="51"/>
        <v>-1.1753058022102905</v>
      </c>
      <c r="ER16">
        <v>100</v>
      </c>
      <c r="ES16">
        <v>0.52521676516759497</v>
      </c>
    </row>
    <row r="17" spans="1:149" x14ac:dyDescent="0.3">
      <c r="A17" s="2" t="s">
        <v>124</v>
      </c>
      <c r="B17" s="2" cm="1">
        <f t="array" ref="B17">SUMPRODUCT(LN(AU3:AU74/AT3:AT74)^2)</f>
        <v>24.282933239704356</v>
      </c>
      <c r="C17">
        <f t="shared" si="13"/>
        <v>1.9755272919371944E-4</v>
      </c>
      <c r="D17">
        <v>15</v>
      </c>
      <c r="E17">
        <v>1965</v>
      </c>
      <c r="F17" s="2">
        <v>4.4960430908358946</v>
      </c>
      <c r="G17" s="3">
        <f t="shared" si="67"/>
        <v>89.661645465156013</v>
      </c>
      <c r="H17" s="4">
        <f t="shared" si="52"/>
        <v>59.072716316448023</v>
      </c>
      <c r="I17" s="4">
        <f t="shared" si="53"/>
        <v>107.20723236155494</v>
      </c>
      <c r="J17" s="4">
        <f t="shared" si="54"/>
        <v>16.924949763672579</v>
      </c>
      <c r="K17" s="4">
        <f t="shared" si="55"/>
        <v>2.5445827943660846</v>
      </c>
      <c r="L17" s="4">
        <f t="shared" si="56"/>
        <v>7.5704776612426097E-2</v>
      </c>
      <c r="M17" s="4">
        <f t="shared" si="57"/>
        <v>5.8150054998149815E-4</v>
      </c>
      <c r="N17" s="4">
        <f t="shared" si="58"/>
        <v>1.1022403616863796E-6</v>
      </c>
      <c r="O17" s="4">
        <f t="shared" si="59"/>
        <v>9.9999999999999995E-7</v>
      </c>
      <c r="P17" s="22">
        <v>1.1630265295788151</v>
      </c>
      <c r="Q17" s="4"/>
      <c r="R17" s="5">
        <f t="shared" si="15"/>
        <v>16.338951037308785</v>
      </c>
      <c r="S17" s="4">
        <f t="shared" si="16"/>
        <v>-0.31777007991262918</v>
      </c>
      <c r="T17" s="5">
        <v>10.571222132154876</v>
      </c>
      <c r="U17" s="5">
        <f t="shared" si="60"/>
        <v>11.725036956146957</v>
      </c>
      <c r="V17" s="5">
        <v>11.891</v>
      </c>
      <c r="W17" s="4"/>
      <c r="X17" s="4">
        <f t="shared" si="17"/>
        <v>0.99</v>
      </c>
      <c r="Y17" s="23">
        <v>2.84444146809374</v>
      </c>
      <c r="Z17" s="23">
        <v>44.720940859473799</v>
      </c>
      <c r="AA17" s="23">
        <v>64.948080188140395</v>
      </c>
      <c r="AB17" s="23">
        <v>12.958011132427037</v>
      </c>
      <c r="AC17" s="23">
        <v>4.2666622021406093</v>
      </c>
      <c r="AD17" s="23">
        <v>0.47407357801562333</v>
      </c>
      <c r="AE17" s="23">
        <v>0</v>
      </c>
      <c r="AF17" s="23">
        <v>0</v>
      </c>
      <c r="AG17" s="23">
        <v>0</v>
      </c>
      <c r="AH17" s="23">
        <f t="shared" si="18"/>
        <v>16.046000000000003</v>
      </c>
      <c r="AI17" s="10">
        <v>2.1753286254329538</v>
      </c>
      <c r="AJ17" s="4">
        <f t="shared" si="19"/>
        <v>2.1753286254329538</v>
      </c>
      <c r="AK17" s="23">
        <f t="shared" si="20"/>
        <v>0.38561603819723589</v>
      </c>
      <c r="AL17" s="23">
        <f t="shared" si="1"/>
        <v>6.0627410449898758</v>
      </c>
      <c r="AM17" s="23">
        <f t="shared" si="2"/>
        <v>8.8048995388368869</v>
      </c>
      <c r="AN17" s="23">
        <f t="shared" si="3"/>
        <v>1.7566952851207416</v>
      </c>
      <c r="AO17" s="23">
        <f t="shared" si="4"/>
        <v>0.57842405729585389</v>
      </c>
      <c r="AP17" s="23">
        <f t="shared" si="5"/>
        <v>6.426933969953931E-2</v>
      </c>
      <c r="AQ17" s="23">
        <f t="shared" si="6"/>
        <v>0</v>
      </c>
      <c r="AR17" s="23">
        <f t="shared" si="7"/>
        <v>0</v>
      </c>
      <c r="AS17" s="23">
        <f t="shared" si="8"/>
        <v>0</v>
      </c>
      <c r="AT17" s="23">
        <f t="shared" si="21"/>
        <v>16.338951037308785</v>
      </c>
      <c r="AU17" s="23">
        <f t="shared" si="22"/>
        <v>34.791550750215457</v>
      </c>
      <c r="AV17" s="4">
        <f t="shared" si="23"/>
        <v>0.37106368139083207</v>
      </c>
      <c r="AW17" s="4">
        <f t="shared" si="23"/>
        <v>0.37106368139083207</v>
      </c>
      <c r="AX17" s="4">
        <f t="shared" si="23"/>
        <v>0.37106368139083207</v>
      </c>
      <c r="AY17" s="4">
        <f t="shared" si="68"/>
        <v>0.49515641167153346</v>
      </c>
      <c r="AZ17" s="4">
        <f t="shared" si="68"/>
        <v>0.66074877255687903</v>
      </c>
      <c r="BA17" s="4">
        <f t="shared" si="68"/>
        <v>0.88171925101726745</v>
      </c>
      <c r="BB17" s="4">
        <f t="shared" si="68"/>
        <v>1.1765876380005351</v>
      </c>
      <c r="BC17" s="4">
        <f t="shared" si="68"/>
        <v>1.5700671934955486</v>
      </c>
      <c r="BD17" s="24">
        <f t="shared" si="24"/>
        <v>1.5700671934955486</v>
      </c>
      <c r="BE17" s="4">
        <f t="shared" si="25"/>
        <v>0.57443192139185639</v>
      </c>
      <c r="BF17" s="4">
        <f t="shared" si="26"/>
        <v>0.1331375937455074</v>
      </c>
      <c r="BG17" s="4">
        <f t="shared" si="27"/>
        <v>6.2524623896492521E-2</v>
      </c>
      <c r="BH17" s="4">
        <f t="shared" si="28"/>
        <v>0.49612169259282574</v>
      </c>
      <c r="BI17" s="23"/>
      <c r="BJ17" s="23"/>
      <c r="BK17" s="23"/>
      <c r="BL17" s="23"/>
      <c r="BM17" s="23"/>
      <c r="BN17" s="23"/>
      <c r="BO17" s="23"/>
      <c r="BP17" s="23"/>
      <c r="BQ17" s="23"/>
      <c r="BR17" s="13">
        <v>2.1078931507604799</v>
      </c>
      <c r="BS17" s="13">
        <v>33.140764536956432</v>
      </c>
      <c r="BT17" s="13">
        <v>48.130226942364288</v>
      </c>
      <c r="BU17" s="13">
        <v>9.6026243534644085</v>
      </c>
      <c r="BV17" s="13">
        <v>3.1618397261407196</v>
      </c>
      <c r="BW17" s="13">
        <v>0.35131552512674663</v>
      </c>
      <c r="BX17" s="13">
        <v>0</v>
      </c>
      <c r="BY17" s="13">
        <v>0</v>
      </c>
      <c r="BZ17" s="13">
        <v>0</v>
      </c>
      <c r="CA17" s="4"/>
      <c r="CB17" s="4"/>
      <c r="CC17" s="4"/>
      <c r="CD17" s="4"/>
      <c r="CE17" s="4"/>
      <c r="CF17" s="4"/>
      <c r="CG17" s="4"/>
      <c r="CH17" s="4"/>
      <c r="CI17" s="4"/>
      <c r="CJ17" s="23"/>
      <c r="CK17" s="23"/>
      <c r="CL17" s="23"/>
      <c r="CM17" s="23"/>
      <c r="CN17" s="23"/>
      <c r="CO17" s="23"/>
      <c r="CP17" s="23"/>
      <c r="CQ17" s="23"/>
      <c r="CR17" s="23"/>
      <c r="CS17" s="31">
        <f t="shared" si="29"/>
        <v>1965</v>
      </c>
      <c r="CT17" s="1">
        <v>2.6197453885975358E-2</v>
      </c>
      <c r="CU17" s="1">
        <v>0.34768661313711668</v>
      </c>
      <c r="CV17" s="1">
        <v>0.8</v>
      </c>
      <c r="CW17" s="1">
        <v>1</v>
      </c>
      <c r="CX17">
        <f t="shared" si="61"/>
        <v>1</v>
      </c>
      <c r="CY17">
        <f t="shared" si="62"/>
        <v>1</v>
      </c>
      <c r="CZ17">
        <f t="shared" si="63"/>
        <v>1</v>
      </c>
      <c r="DA17">
        <f t="shared" si="64"/>
        <v>1</v>
      </c>
      <c r="DB17">
        <f t="shared" si="65"/>
        <v>1</v>
      </c>
      <c r="DC17" s="11">
        <v>6.8699999999999997E-2</v>
      </c>
      <c r="DD17" s="11">
        <v>0.1067</v>
      </c>
      <c r="DE17" s="11">
        <v>0.12889999999999999</v>
      </c>
      <c r="DF17" s="11">
        <v>0.1467</v>
      </c>
      <c r="DG17" s="11">
        <v>0.17130000000000001</v>
      </c>
      <c r="DH17" s="11">
        <v>0.15870000000000001</v>
      </c>
      <c r="DI17" s="11">
        <v>0.15529999999999999</v>
      </c>
      <c r="DJ17" s="11">
        <v>0.1668</v>
      </c>
      <c r="DK17" s="11">
        <v>0.15820000000000001</v>
      </c>
      <c r="DL17" s="10">
        <f t="shared" si="31"/>
        <v>0.12322961165048542</v>
      </c>
      <c r="DN17" s="1">
        <v>18</v>
      </c>
      <c r="DO17" s="1">
        <v>283</v>
      </c>
      <c r="DP17" s="1">
        <v>411</v>
      </c>
      <c r="DQ17" s="1">
        <v>82</v>
      </c>
      <c r="DR17" s="1">
        <v>27</v>
      </c>
      <c r="DS17" s="1">
        <v>3</v>
      </c>
      <c r="DT17" s="1">
        <v>0</v>
      </c>
      <c r="DU17" s="1">
        <v>0</v>
      </c>
      <c r="DV17" s="1">
        <v>0</v>
      </c>
      <c r="DW17">
        <f t="shared" si="32"/>
        <v>824</v>
      </c>
      <c r="DX17" s="19">
        <f t="shared" si="33"/>
        <v>128.19930631397497</v>
      </c>
      <c r="DY17">
        <f t="shared" si="66"/>
        <v>1.8322305244471065E-2</v>
      </c>
      <c r="DZ17">
        <f t="shared" si="34"/>
        <v>0.16020985803599919</v>
      </c>
      <c r="EA17">
        <f t="shared" si="35"/>
        <v>0.66900350988790536</v>
      </c>
      <c r="EB17">
        <f t="shared" si="36"/>
        <v>0.13202060331138932</v>
      </c>
      <c r="EC17">
        <f t="shared" si="37"/>
        <v>1.9848647138028235E-2</v>
      </c>
      <c r="ED17">
        <f t="shared" si="38"/>
        <v>5.9052407371859193E-4</v>
      </c>
      <c r="EE17">
        <f t="shared" si="39"/>
        <v>4.5359102689474458E-6</v>
      </c>
      <c r="EF17">
        <f t="shared" si="40"/>
        <v>8.5978652566720218E-9</v>
      </c>
      <c r="EG17">
        <f t="shared" si="41"/>
        <v>7.8003542199431566E-9</v>
      </c>
      <c r="EH17">
        <f t="shared" si="42"/>
        <v>2.1844660194174758E-2</v>
      </c>
      <c r="EI17">
        <f t="shared" si="43"/>
        <v>0.34344660194174759</v>
      </c>
      <c r="EJ17">
        <f t="shared" si="44"/>
        <v>0.49878640776699029</v>
      </c>
      <c r="EK17">
        <f t="shared" si="45"/>
        <v>9.9514563106796114E-2</v>
      </c>
      <c r="EL17">
        <f t="shared" si="46"/>
        <v>3.2766990291262135E-2</v>
      </c>
      <c r="EM17">
        <f t="shared" si="47"/>
        <v>3.6407766990291263E-3</v>
      </c>
      <c r="EN17">
        <f t="shared" si="48"/>
        <v>0</v>
      </c>
      <c r="EO17">
        <f t="shared" si="49"/>
        <v>0</v>
      </c>
      <c r="EP17">
        <f t="shared" si="50"/>
        <v>0</v>
      </c>
      <c r="EQ17">
        <f t="shared" si="51"/>
        <v>-1.2725905198846159</v>
      </c>
      <c r="ER17">
        <v>100</v>
      </c>
      <c r="ES17">
        <v>0.49348777951308964</v>
      </c>
    </row>
    <row r="18" spans="1:149" x14ac:dyDescent="0.3">
      <c r="C18">
        <f t="shared" si="13"/>
        <v>7.8972672909637859E-2</v>
      </c>
      <c r="D18">
        <v>16</v>
      </c>
      <c r="E18">
        <v>1966</v>
      </c>
      <c r="F18" s="2">
        <v>5.1143572700034987</v>
      </c>
      <c r="G18" s="3">
        <f t="shared" si="67"/>
        <v>166.39380032046313</v>
      </c>
      <c r="H18" s="4">
        <f t="shared" si="52"/>
        <v>56.526778854471289</v>
      </c>
      <c r="I18" s="4">
        <f t="shared" si="53"/>
        <v>23.996360623119646</v>
      </c>
      <c r="J18" s="4">
        <f t="shared" si="54"/>
        <v>12.940596523452898</v>
      </c>
      <c r="K18" s="4">
        <f t="shared" si="55"/>
        <v>8.2485200121303684E-2</v>
      </c>
      <c r="L18" s="4">
        <f t="shared" si="56"/>
        <v>1.0228811859274958E-2</v>
      </c>
      <c r="M18" s="4">
        <f t="shared" si="57"/>
        <v>2.3535345649185982E-4</v>
      </c>
      <c r="N18" s="4">
        <f t="shared" si="58"/>
        <v>1.2829525208903246E-6</v>
      </c>
      <c r="O18" s="4">
        <f t="shared" si="59"/>
        <v>9.9999999999999995E-7</v>
      </c>
      <c r="P18" s="22">
        <v>0.79108497379395648</v>
      </c>
      <c r="Q18" s="4"/>
      <c r="R18" s="5">
        <f t="shared" si="15"/>
        <v>6.8696101155532538</v>
      </c>
      <c r="S18" s="4">
        <f t="shared" si="16"/>
        <v>-0.61284619466478474</v>
      </c>
      <c r="T18" s="5">
        <v>8.9915498817934694</v>
      </c>
      <c r="U18" s="5">
        <f t="shared" si="60"/>
        <v>4.9297187007452958</v>
      </c>
      <c r="V18" s="5">
        <v>3.722</v>
      </c>
      <c r="W18" s="4"/>
      <c r="X18" s="4">
        <f t="shared" si="17"/>
        <v>0.99</v>
      </c>
      <c r="Y18" s="23">
        <v>0.2814528709854095</v>
      </c>
      <c r="Z18" s="23">
        <v>34.900156002190776</v>
      </c>
      <c r="AA18" s="23">
        <v>28.145287098540951</v>
      </c>
      <c r="AB18" s="23">
        <v>18.012983743066208</v>
      </c>
      <c r="AC18" s="23">
        <v>2.251622967883276</v>
      </c>
      <c r="AD18" s="23">
        <v>0.8443586129562286</v>
      </c>
      <c r="AE18" s="23">
        <v>0</v>
      </c>
      <c r="AF18" s="23">
        <v>0</v>
      </c>
      <c r="AG18" s="23">
        <v>0</v>
      </c>
      <c r="AH18" s="23">
        <f t="shared" si="18"/>
        <v>10.842999999999998</v>
      </c>
      <c r="AI18" s="10">
        <v>2.1111213450371098</v>
      </c>
      <c r="AJ18" s="4">
        <f t="shared" si="19"/>
        <v>2.1111213450371098</v>
      </c>
      <c r="AK18" s="23">
        <f t="shared" si="20"/>
        <v>5.4798594813176595E-2</v>
      </c>
      <c r="AL18" s="23">
        <f t="shared" si="1"/>
        <v>6.7950257568338976</v>
      </c>
      <c r="AM18" s="23">
        <f t="shared" si="2"/>
        <v>5.4798594813176598</v>
      </c>
      <c r="AN18" s="23">
        <f t="shared" si="3"/>
        <v>3.5071100680433021</v>
      </c>
      <c r="AO18" s="23">
        <f t="shared" si="4"/>
        <v>0.43838875850541276</v>
      </c>
      <c r="AP18" s="23">
        <f t="shared" si="5"/>
        <v>0.16439578443952976</v>
      </c>
      <c r="AQ18" s="23">
        <f t="shared" si="6"/>
        <v>0</v>
      </c>
      <c r="AR18" s="23">
        <f t="shared" si="7"/>
        <v>0</v>
      </c>
      <c r="AS18" s="23">
        <f t="shared" si="8"/>
        <v>0</v>
      </c>
      <c r="AT18" s="23">
        <f t="shared" si="21"/>
        <v>6.8696101155532538</v>
      </c>
      <c r="AU18" s="23">
        <f t="shared" si="22"/>
        <v>18.140763910712028</v>
      </c>
      <c r="AV18" s="4">
        <f t="shared" si="23"/>
        <v>0.37106368139083207</v>
      </c>
      <c r="AW18" s="4">
        <f t="shared" si="23"/>
        <v>0.37106368139083207</v>
      </c>
      <c r="AX18" s="4">
        <f t="shared" si="23"/>
        <v>0.37106368139083207</v>
      </c>
      <c r="AY18" s="4">
        <f t="shared" si="68"/>
        <v>0.49515641167153346</v>
      </c>
      <c r="AZ18" s="4">
        <f t="shared" si="68"/>
        <v>0.66074877255687903</v>
      </c>
      <c r="BA18" s="4">
        <f t="shared" si="68"/>
        <v>0.88171925101726745</v>
      </c>
      <c r="BB18" s="4">
        <f t="shared" si="68"/>
        <v>1.1765876380005351</v>
      </c>
      <c r="BC18" s="4">
        <f t="shared" si="68"/>
        <v>1.5700671934955486</v>
      </c>
      <c r="BD18" s="24">
        <f t="shared" si="24"/>
        <v>1.5700671934955486</v>
      </c>
      <c r="BE18" s="4">
        <f t="shared" si="25"/>
        <v>0.66072012290524595</v>
      </c>
      <c r="BF18" s="4">
        <f t="shared" si="26"/>
        <v>0.30731312396570959</v>
      </c>
      <c r="BG18" s="4">
        <f t="shared" si="27"/>
        <v>0.11637444571948281</v>
      </c>
      <c r="BH18" s="4">
        <f t="shared" si="28"/>
        <v>0.417264789879914</v>
      </c>
      <c r="BI18" s="23"/>
      <c r="BJ18" s="23"/>
      <c r="BK18" s="23"/>
      <c r="BL18" s="23"/>
      <c r="BM18" s="23"/>
      <c r="BN18" s="23"/>
      <c r="BO18" s="23"/>
      <c r="BP18" s="23"/>
      <c r="BQ18" s="23"/>
      <c r="BR18" s="13">
        <v>9.6612338449478377E-2</v>
      </c>
      <c r="BS18" s="13">
        <v>11.97992996773532</v>
      </c>
      <c r="BT18" s="13">
        <v>9.661233844947839</v>
      </c>
      <c r="BU18" s="13">
        <v>6.1831896607666161</v>
      </c>
      <c r="BV18" s="13">
        <v>0.77289870759582702</v>
      </c>
      <c r="BW18" s="13">
        <v>0.28983701534843515</v>
      </c>
      <c r="BX18" s="13">
        <v>0</v>
      </c>
      <c r="BY18" s="13">
        <v>0</v>
      </c>
      <c r="BZ18" s="13">
        <v>0</v>
      </c>
      <c r="CA18" s="4"/>
      <c r="CB18" s="4"/>
      <c r="CC18" s="4"/>
      <c r="CD18" s="4"/>
      <c r="CE18" s="4"/>
      <c r="CF18" s="4"/>
      <c r="CG18" s="4"/>
      <c r="CH18" s="4"/>
      <c r="CI18" s="4"/>
      <c r="CJ18" s="23"/>
      <c r="CK18" s="23"/>
      <c r="CL18" s="23"/>
      <c r="CM18" s="23"/>
      <c r="CN18" s="23"/>
      <c r="CO18" s="23"/>
      <c r="CP18" s="23"/>
      <c r="CQ18" s="23"/>
      <c r="CR18" s="23"/>
      <c r="CS18" s="31">
        <f t="shared" si="29"/>
        <v>1966</v>
      </c>
      <c r="CT18" s="1">
        <v>2.6197453885975358E-2</v>
      </c>
      <c r="CU18" s="1">
        <v>0.34768661313711668</v>
      </c>
      <c r="CV18" s="1">
        <v>0.8</v>
      </c>
      <c r="CW18" s="1">
        <v>1</v>
      </c>
      <c r="CX18">
        <f t="shared" si="61"/>
        <v>1</v>
      </c>
      <c r="CY18">
        <f t="shared" si="62"/>
        <v>1</v>
      </c>
      <c r="CZ18">
        <f t="shared" si="63"/>
        <v>1</v>
      </c>
      <c r="DA18">
        <f t="shared" si="64"/>
        <v>1</v>
      </c>
      <c r="DB18">
        <f t="shared" si="65"/>
        <v>1</v>
      </c>
      <c r="DC18" s="11">
        <v>4.2000000000000003E-2</v>
      </c>
      <c r="DD18" s="11">
        <v>0.1111</v>
      </c>
      <c r="DE18" s="11">
        <v>0.13339999999999999</v>
      </c>
      <c r="DF18" s="11">
        <v>0.1489</v>
      </c>
      <c r="DG18" s="11">
        <v>0.16239999999999999</v>
      </c>
      <c r="DH18" s="11">
        <v>0.17929999999999999</v>
      </c>
      <c r="DI18" s="11">
        <v>0.15429999999999999</v>
      </c>
      <c r="DJ18" s="11">
        <v>0.1653</v>
      </c>
      <c r="DK18" s="11">
        <v>0.15690000000000001</v>
      </c>
      <c r="DL18" s="10">
        <f t="shared" si="31"/>
        <v>0.128417</v>
      </c>
      <c r="DN18" s="1">
        <v>1</v>
      </c>
      <c r="DO18" s="1">
        <v>124</v>
      </c>
      <c r="DP18" s="1">
        <v>100</v>
      </c>
      <c r="DQ18" s="1">
        <v>64</v>
      </c>
      <c r="DR18" s="1">
        <v>8</v>
      </c>
      <c r="DS18" s="1">
        <v>3</v>
      </c>
      <c r="DT18" s="1">
        <v>0</v>
      </c>
      <c r="DU18" s="1">
        <v>0</v>
      </c>
      <c r="DV18" s="1">
        <v>0</v>
      </c>
      <c r="DW18">
        <f t="shared" si="32"/>
        <v>300</v>
      </c>
      <c r="DX18" s="19">
        <f t="shared" si="33"/>
        <v>56.243334872607633</v>
      </c>
      <c r="DY18">
        <f t="shared" si="66"/>
        <v>7.7504186419261337E-2</v>
      </c>
      <c r="DZ18">
        <f t="shared" si="34"/>
        <v>0.34943881503431018</v>
      </c>
      <c r="EA18">
        <f t="shared" si="35"/>
        <v>0.34132201694614189</v>
      </c>
      <c r="EB18">
        <f t="shared" si="36"/>
        <v>0.2300823120244137</v>
      </c>
      <c r="EC18">
        <f t="shared" si="37"/>
        <v>1.4665773341522945E-3</v>
      </c>
      <c r="ED18">
        <f t="shared" si="38"/>
        <v>1.8186709380664282E-4</v>
      </c>
      <c r="EE18">
        <f t="shared" si="39"/>
        <v>4.1845572817639721E-6</v>
      </c>
      <c r="EF18">
        <f t="shared" si="40"/>
        <v>2.2810747687636938E-8</v>
      </c>
      <c r="EG18">
        <f t="shared" si="41"/>
        <v>1.7779884536808166E-8</v>
      </c>
      <c r="EH18">
        <f t="shared" si="42"/>
        <v>3.3333333333333335E-3</v>
      </c>
      <c r="EI18">
        <f t="shared" si="43"/>
        <v>0.41333333333333333</v>
      </c>
      <c r="EJ18">
        <f t="shared" si="44"/>
        <v>0.33333333333333331</v>
      </c>
      <c r="EK18">
        <f t="shared" si="45"/>
        <v>0.21333333333333335</v>
      </c>
      <c r="EL18">
        <f t="shared" si="46"/>
        <v>2.6666666666666668E-2</v>
      </c>
      <c r="EM18">
        <f t="shared" si="47"/>
        <v>0.01</v>
      </c>
      <c r="EN18">
        <f t="shared" si="48"/>
        <v>0</v>
      </c>
      <c r="EO18">
        <f t="shared" si="49"/>
        <v>0</v>
      </c>
      <c r="EP18">
        <f t="shared" si="50"/>
        <v>0</v>
      </c>
      <c r="EQ18">
        <f t="shared" si="51"/>
        <v>-1.3685428253324488</v>
      </c>
      <c r="ER18">
        <v>100</v>
      </c>
      <c r="ES18">
        <v>0.38206692066492615</v>
      </c>
    </row>
    <row r="19" spans="1:149" x14ac:dyDescent="0.3">
      <c r="C19">
        <f t="shared" si="13"/>
        <v>3.9798898007417814E-3</v>
      </c>
      <c r="D19">
        <v>17</v>
      </c>
      <c r="E19">
        <v>1967</v>
      </c>
      <c r="F19" s="2">
        <v>5.2826526750720051</v>
      </c>
      <c r="G19" s="3">
        <f t="shared" si="67"/>
        <v>196.891472332832</v>
      </c>
      <c r="H19" s="4">
        <f t="shared" si="52"/>
        <v>119.87544297661455</v>
      </c>
      <c r="I19" s="4">
        <f t="shared" si="53"/>
        <v>24.686537877143508</v>
      </c>
      <c r="J19" s="4">
        <f t="shared" si="54"/>
        <v>2.8066102053558937</v>
      </c>
      <c r="K19" s="4">
        <f t="shared" si="55"/>
        <v>6.0586158718491288E-2</v>
      </c>
      <c r="L19" s="4">
        <f t="shared" si="56"/>
        <v>3.3876895695335502E-4</v>
      </c>
      <c r="M19" s="4">
        <f t="shared" si="57"/>
        <v>3.5272423426943231E-5</v>
      </c>
      <c r="N19" s="4">
        <f t="shared" si="58"/>
        <v>9.9999999999999995E-7</v>
      </c>
      <c r="O19" s="4">
        <f t="shared" si="59"/>
        <v>9.9999999999999995E-7</v>
      </c>
      <c r="P19" s="22">
        <v>0.74493758314533631</v>
      </c>
      <c r="Q19" s="4"/>
      <c r="R19" s="5">
        <f t="shared" si="15"/>
        <v>7.1437109572195299</v>
      </c>
      <c r="S19" s="4">
        <f t="shared" si="16"/>
        <v>-0.39491179291897416</v>
      </c>
      <c r="T19" s="5">
        <v>3.9264071265149258</v>
      </c>
      <c r="U19" s="5">
        <f t="shared" si="60"/>
        <v>5.1264169153925829</v>
      </c>
      <c r="V19" s="5">
        <v>4.8129999999999997</v>
      </c>
      <c r="W19" s="4"/>
      <c r="X19" s="4">
        <f t="shared" si="17"/>
        <v>0.99</v>
      </c>
      <c r="Y19" s="23">
        <v>0.43869304521623265</v>
      </c>
      <c r="Z19" s="23">
        <v>54.397937606812846</v>
      </c>
      <c r="AA19" s="23">
        <v>43.869304521623263</v>
      </c>
      <c r="AB19" s="23">
        <v>28.076354893838889</v>
      </c>
      <c r="AC19" s="23">
        <v>3.5095443617298612</v>
      </c>
      <c r="AD19" s="23">
        <v>1.3160791356486978</v>
      </c>
      <c r="AE19" s="23">
        <v>0</v>
      </c>
      <c r="AF19" s="23">
        <v>0</v>
      </c>
      <c r="AG19" s="23">
        <v>0</v>
      </c>
      <c r="AH19" s="23">
        <f t="shared" si="18"/>
        <v>15.144999999999998</v>
      </c>
      <c r="AI19" s="10">
        <v>2.0469140646412667</v>
      </c>
      <c r="AJ19" s="4">
        <f t="shared" si="19"/>
        <v>2.0469140646412667</v>
      </c>
      <c r="AK19" s="23">
        <f t="shared" si="20"/>
        <v>5.9291314910096642E-2</v>
      </c>
      <c r="AL19" s="23">
        <f t="shared" si="1"/>
        <v>7.3521230488519844</v>
      </c>
      <c r="AM19" s="23">
        <f t="shared" si="2"/>
        <v>5.929131491009664</v>
      </c>
      <c r="AN19" s="23">
        <f t="shared" si="3"/>
        <v>3.7946441542461851</v>
      </c>
      <c r="AO19" s="23">
        <f t="shared" si="4"/>
        <v>0.47433051928077313</v>
      </c>
      <c r="AP19" s="23">
        <f t="shared" si="5"/>
        <v>0.17787394473028992</v>
      </c>
      <c r="AQ19" s="23">
        <f t="shared" si="6"/>
        <v>0</v>
      </c>
      <c r="AR19" s="23">
        <f t="shared" si="7"/>
        <v>0</v>
      </c>
      <c r="AS19" s="23">
        <f t="shared" si="8"/>
        <v>0</v>
      </c>
      <c r="AT19" s="23">
        <f t="shared" si="21"/>
        <v>7.1437109572195299</v>
      </c>
      <c r="AU19" s="23">
        <f t="shared" si="22"/>
        <v>23.898875555397144</v>
      </c>
      <c r="AV19" s="4">
        <f t="shared" si="23"/>
        <v>0.37106368139083207</v>
      </c>
      <c r="AW19" s="4">
        <f t="shared" si="23"/>
        <v>0.37106368139083207</v>
      </c>
      <c r="AX19" s="4">
        <f t="shared" si="23"/>
        <v>0.37106368139083207</v>
      </c>
      <c r="AY19" s="4">
        <f t="shared" si="68"/>
        <v>0.49515641167153346</v>
      </c>
      <c r="AZ19" s="4">
        <f t="shared" si="68"/>
        <v>0.66074877255687903</v>
      </c>
      <c r="BA19" s="4">
        <f t="shared" si="68"/>
        <v>0.88171925101726745</v>
      </c>
      <c r="BB19" s="4">
        <f t="shared" si="68"/>
        <v>1.1765876380005351</v>
      </c>
      <c r="BC19" s="4">
        <f t="shared" si="68"/>
        <v>1.5700671934955486</v>
      </c>
      <c r="BD19" s="24">
        <f t="shared" si="24"/>
        <v>1.5700671934955486</v>
      </c>
      <c r="BE19" s="4">
        <f t="shared" si="25"/>
        <v>0.61403938310921313</v>
      </c>
      <c r="BF19" s="4">
        <f t="shared" si="26"/>
        <v>0.28653371852519144</v>
      </c>
      <c r="BG19" s="4">
        <f t="shared" si="27"/>
        <v>8.5648969546561232E-2</v>
      </c>
      <c r="BH19" s="4">
        <f t="shared" si="28"/>
        <v>0.36596000369121973</v>
      </c>
      <c r="BI19" s="23"/>
      <c r="BJ19" s="23"/>
      <c r="BK19" s="23"/>
      <c r="BL19" s="23"/>
      <c r="BM19" s="23"/>
      <c r="BN19" s="23"/>
      <c r="BO19" s="23"/>
      <c r="BP19" s="23"/>
      <c r="BQ19" s="23"/>
      <c r="BR19" s="13">
        <v>0.13941430350780637</v>
      </c>
      <c r="BS19" s="13">
        <v>17.287373634967988</v>
      </c>
      <c r="BT19" s="13">
        <v>13.941430350780639</v>
      </c>
      <c r="BU19" s="13">
        <v>8.9225154244996077</v>
      </c>
      <c r="BV19" s="13">
        <v>1.115314428062451</v>
      </c>
      <c r="BW19" s="13">
        <v>0.41824291052341911</v>
      </c>
      <c r="BX19" s="13">
        <v>0</v>
      </c>
      <c r="BY19" s="13">
        <v>0</v>
      </c>
      <c r="BZ19" s="13">
        <v>0</v>
      </c>
      <c r="CA19" s="4"/>
      <c r="CB19" s="4"/>
      <c r="CC19" s="4"/>
      <c r="CD19" s="4"/>
      <c r="CE19" s="4"/>
      <c r="CF19" s="4"/>
      <c r="CG19" s="4"/>
      <c r="CH19" s="4"/>
      <c r="CI19" s="4"/>
      <c r="CJ19" s="23"/>
      <c r="CK19" s="23"/>
      <c r="CL19" s="23"/>
      <c r="CM19" s="23"/>
      <c r="CN19" s="23"/>
      <c r="CO19" s="23"/>
      <c r="CP19" s="23"/>
      <c r="CQ19" s="23"/>
      <c r="CR19" s="23"/>
      <c r="CS19" s="31">
        <f t="shared" si="29"/>
        <v>1967</v>
      </c>
      <c r="CT19" s="1">
        <v>2.6197453885975358E-2</v>
      </c>
      <c r="CU19" s="1">
        <v>0.34768661313711668</v>
      </c>
      <c r="CV19" s="1">
        <v>0.8</v>
      </c>
      <c r="CW19" s="1">
        <v>1</v>
      </c>
      <c r="CX19">
        <f t="shared" si="61"/>
        <v>1</v>
      </c>
      <c r="CY19">
        <f t="shared" si="62"/>
        <v>1</v>
      </c>
      <c r="CZ19">
        <f t="shared" si="63"/>
        <v>1</v>
      </c>
      <c r="DA19">
        <f t="shared" si="64"/>
        <v>1</v>
      </c>
      <c r="DB19">
        <f t="shared" si="65"/>
        <v>1</v>
      </c>
      <c r="DC19" s="11">
        <v>5.7000000000000002E-2</v>
      </c>
      <c r="DD19" s="11">
        <v>9.8500000000000004E-2</v>
      </c>
      <c r="DE19" s="11">
        <v>0.1192</v>
      </c>
      <c r="DF19" s="11">
        <v>0.1358</v>
      </c>
      <c r="DG19" s="11">
        <v>0.1487</v>
      </c>
      <c r="DH19" s="11">
        <v>0.15040000000000001</v>
      </c>
      <c r="DI19" s="11">
        <v>0.15329999999999999</v>
      </c>
      <c r="DJ19" s="11">
        <v>0.16569999999999999</v>
      </c>
      <c r="DK19" s="11">
        <v>0.157</v>
      </c>
      <c r="DL19" s="10">
        <f t="shared" si="31"/>
        <v>0.11507666666666667</v>
      </c>
      <c r="DN19" s="1">
        <v>1</v>
      </c>
      <c r="DO19" s="1">
        <v>124</v>
      </c>
      <c r="DP19" s="1">
        <v>100</v>
      </c>
      <c r="DQ19" s="1">
        <v>64</v>
      </c>
      <c r="DR19" s="1">
        <v>8</v>
      </c>
      <c r="DS19" s="1">
        <v>3</v>
      </c>
      <c r="DT19" s="1">
        <v>0</v>
      </c>
      <c r="DU19" s="1">
        <v>0</v>
      </c>
      <c r="DV19" s="1">
        <v>0</v>
      </c>
      <c r="DW19">
        <f t="shared" si="32"/>
        <v>300</v>
      </c>
      <c r="DX19" s="19">
        <f t="shared" si="33"/>
        <v>69.453944741001408</v>
      </c>
      <c r="DY19">
        <f t="shared" si="66"/>
        <v>7.4265835961022889E-2</v>
      </c>
      <c r="DZ19">
        <f t="shared" si="34"/>
        <v>0.60009675364408588</v>
      </c>
      <c r="EA19">
        <f t="shared" si="35"/>
        <v>0.28435001604820376</v>
      </c>
      <c r="EB19">
        <f t="shared" si="36"/>
        <v>4.0409658743242566E-2</v>
      </c>
      <c r="EC19">
        <f t="shared" si="37"/>
        <v>8.7232134826065373E-4</v>
      </c>
      <c r="ED19">
        <f t="shared" si="38"/>
        <v>4.8776057028387374E-6</v>
      </c>
      <c r="EE19">
        <f t="shared" si="39"/>
        <v>5.0785342083126527E-7</v>
      </c>
      <c r="EF19">
        <f t="shared" si="40"/>
        <v>1.4398030287970965E-8</v>
      </c>
      <c r="EG19">
        <f t="shared" si="41"/>
        <v>1.4398030287970965E-8</v>
      </c>
      <c r="EH19">
        <f t="shared" si="42"/>
        <v>3.3333333333333335E-3</v>
      </c>
      <c r="EI19">
        <f t="shared" si="43"/>
        <v>0.41333333333333333</v>
      </c>
      <c r="EJ19">
        <f t="shared" si="44"/>
        <v>0.33333333333333331</v>
      </c>
      <c r="EK19">
        <f t="shared" si="45"/>
        <v>0.21333333333333335</v>
      </c>
      <c r="EL19">
        <f t="shared" si="46"/>
        <v>2.6666666666666668E-2</v>
      </c>
      <c r="EM19">
        <f t="shared" si="47"/>
        <v>0.01</v>
      </c>
      <c r="EN19">
        <f t="shared" si="48"/>
        <v>0</v>
      </c>
      <c r="EO19">
        <f t="shared" si="49"/>
        <v>0</v>
      </c>
      <c r="EP19">
        <f t="shared" si="50"/>
        <v>0</v>
      </c>
      <c r="EQ19">
        <f t="shared" si="51"/>
        <v>-1.5993091558832169</v>
      </c>
      <c r="ER19">
        <v>100</v>
      </c>
      <c r="ES19">
        <v>0.47011639898628327</v>
      </c>
    </row>
    <row r="20" spans="1:149" x14ac:dyDescent="0.3">
      <c r="A20" s="2" t="s">
        <v>130</v>
      </c>
      <c r="C20">
        <f t="shared" si="13"/>
        <v>0.11178655981390548</v>
      </c>
      <c r="D20">
        <v>18</v>
      </c>
      <c r="E20">
        <v>1968</v>
      </c>
      <c r="F20" s="2">
        <v>5.4759197642121489</v>
      </c>
      <c r="G20" s="3">
        <f t="shared" si="67"/>
        <v>238.87007006542567</v>
      </c>
      <c r="H20" s="4">
        <f t="shared" si="52"/>
        <v>144.37598292777216</v>
      </c>
      <c r="I20" s="4">
        <f t="shared" si="53"/>
        <v>53.687323523409717</v>
      </c>
      <c r="J20" s="4">
        <f t="shared" si="54"/>
        <v>3.0019445127682363</v>
      </c>
      <c r="K20" s="4">
        <f t="shared" si="55"/>
        <v>1.3847182659173082E-2</v>
      </c>
      <c r="L20" s="4">
        <f t="shared" si="56"/>
        <v>2.6422865909366255E-4</v>
      </c>
      <c r="M20" s="4">
        <f t="shared" si="57"/>
        <v>1.2532024525945271E-6</v>
      </c>
      <c r="N20" s="4">
        <f t="shared" si="58"/>
        <v>9.9999999999999995E-7</v>
      </c>
      <c r="O20" s="4">
        <f t="shared" si="59"/>
        <v>9.9999999999999995E-7</v>
      </c>
      <c r="P20" s="22">
        <v>1.2138346043107993</v>
      </c>
      <c r="Q20" s="4"/>
      <c r="R20" s="5">
        <f t="shared" si="15"/>
        <v>11.001246902907431</v>
      </c>
      <c r="S20" s="4">
        <f t="shared" si="16"/>
        <v>2.519546140043911E-3</v>
      </c>
      <c r="T20" s="5">
        <v>7.2203454440627963</v>
      </c>
      <c r="U20" s="5">
        <f t="shared" si="60"/>
        <v>7.8946332727081252</v>
      </c>
      <c r="V20" s="5">
        <v>11.029</v>
      </c>
      <c r="W20" s="4"/>
      <c r="X20" s="4">
        <f t="shared" si="17"/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f t="shared" si="18"/>
        <v>0</v>
      </c>
      <c r="AI20" s="10">
        <v>1.9827067842454229</v>
      </c>
      <c r="AJ20" s="4">
        <f t="shared" si="19"/>
        <v>1.9827067842454229</v>
      </c>
      <c r="AK20" s="23">
        <f t="shared" si="20"/>
        <v>5.6496386439016555E-2</v>
      </c>
      <c r="AL20" s="23">
        <f t="shared" si="1"/>
        <v>7.0055519184380532</v>
      </c>
      <c r="AM20" s="23">
        <f t="shared" si="2"/>
        <v>5.6496386439016559</v>
      </c>
      <c r="AN20" s="23">
        <f t="shared" si="3"/>
        <v>3.6157687320970595</v>
      </c>
      <c r="AO20" s="23">
        <f t="shared" si="4"/>
        <v>0.45197109151213244</v>
      </c>
      <c r="AP20" s="23">
        <f t="shared" si="5"/>
        <v>0.16948915931704966</v>
      </c>
      <c r="AQ20" s="23">
        <f t="shared" si="6"/>
        <v>0</v>
      </c>
      <c r="AR20" s="23">
        <f t="shared" si="7"/>
        <v>0</v>
      </c>
      <c r="AS20" s="23">
        <f t="shared" si="8"/>
        <v>0</v>
      </c>
      <c r="AT20" s="23">
        <f t="shared" si="21"/>
        <v>11.001246902907429</v>
      </c>
      <c r="AU20" s="23">
        <f t="shared" si="22"/>
        <v>17.351723672162855</v>
      </c>
      <c r="AV20" s="4">
        <f t="shared" si="23"/>
        <v>0.37106368139083207</v>
      </c>
      <c r="AW20" s="4">
        <f t="shared" si="23"/>
        <v>0.37106368139083207</v>
      </c>
      <c r="AX20" s="4">
        <f t="shared" si="23"/>
        <v>0.37106368139083207</v>
      </c>
      <c r="AY20" s="4">
        <f t="shared" si="68"/>
        <v>0.49515641167153346</v>
      </c>
      <c r="AZ20" s="4">
        <f t="shared" si="68"/>
        <v>0.66074877255687903</v>
      </c>
      <c r="BA20" s="4">
        <f t="shared" si="68"/>
        <v>0.88171925101726745</v>
      </c>
      <c r="BB20" s="4">
        <f t="shared" si="68"/>
        <v>1.1765876380005351</v>
      </c>
      <c r="BC20" s="4">
        <f t="shared" si="68"/>
        <v>1.5700671934955486</v>
      </c>
      <c r="BD20" s="24">
        <f t="shared" si="24"/>
        <v>1.5700671934955486</v>
      </c>
      <c r="BE20" s="4">
        <f t="shared" si="25"/>
        <v>0.64913608645588883</v>
      </c>
      <c r="BF20" s="4">
        <f t="shared" si="26"/>
        <v>0.18022564185169135</v>
      </c>
      <c r="BG20" s="4">
        <f t="shared" si="27"/>
        <v>0.11426569611791673</v>
      </c>
      <c r="BH20" s="4">
        <f t="shared" si="28"/>
        <v>0.57174819297762802</v>
      </c>
      <c r="BI20" s="23"/>
      <c r="BJ20" s="23"/>
      <c r="BK20" s="23"/>
      <c r="BL20" s="23"/>
      <c r="BM20" s="23"/>
      <c r="BN20" s="23"/>
      <c r="BO20" s="23"/>
      <c r="BP20" s="23"/>
      <c r="BQ20" s="23"/>
      <c r="BR20" s="13">
        <v>0.31426666362724537</v>
      </c>
      <c r="BS20" s="13">
        <v>38.969066289778425</v>
      </c>
      <c r="BT20" s="13">
        <v>31.426666362724536</v>
      </c>
      <c r="BU20" s="13">
        <v>20.113066472143704</v>
      </c>
      <c r="BV20" s="13">
        <v>2.5141333090179629</v>
      </c>
      <c r="BW20" s="13">
        <v>0.94279999088173616</v>
      </c>
      <c r="BX20" s="13">
        <v>0</v>
      </c>
      <c r="BY20" s="13">
        <v>0</v>
      </c>
      <c r="BZ20" s="13">
        <v>0</v>
      </c>
      <c r="CA20" s="4"/>
      <c r="CB20" s="4"/>
      <c r="CC20" s="4"/>
      <c r="CD20" s="4"/>
      <c r="CE20" s="4"/>
      <c r="CF20" s="4"/>
      <c r="CG20" s="4"/>
      <c r="CH20" s="4"/>
      <c r="CI20" s="4"/>
      <c r="CJ20" s="23"/>
      <c r="CK20" s="23"/>
      <c r="CL20" s="23"/>
      <c r="CM20" s="23"/>
      <c r="CN20" s="23"/>
      <c r="CO20" s="23"/>
      <c r="CP20" s="23"/>
      <c r="CQ20" s="23"/>
      <c r="CR20" s="23"/>
      <c r="CS20" s="31">
        <f t="shared" si="29"/>
        <v>1968</v>
      </c>
      <c r="CT20" s="1">
        <v>2.6197453885975358E-2</v>
      </c>
      <c r="CU20" s="1">
        <v>0.34768661313711668</v>
      </c>
      <c r="CV20" s="1">
        <v>0.8</v>
      </c>
      <c r="CW20" s="1">
        <v>1</v>
      </c>
      <c r="CX20">
        <f t="shared" si="61"/>
        <v>1</v>
      </c>
      <c r="CY20">
        <f t="shared" si="62"/>
        <v>1</v>
      </c>
      <c r="CZ20">
        <f t="shared" si="63"/>
        <v>1</v>
      </c>
      <c r="DA20">
        <f t="shared" si="64"/>
        <v>1</v>
      </c>
      <c r="DB20">
        <f t="shared" si="65"/>
        <v>1</v>
      </c>
      <c r="DC20" s="11">
        <v>5.7000000000000002E-2</v>
      </c>
      <c r="DD20" s="11">
        <v>9.98E-2</v>
      </c>
      <c r="DE20" s="11">
        <v>0.1215</v>
      </c>
      <c r="DF20" s="11">
        <v>0.13800000000000001</v>
      </c>
      <c r="DG20" s="11">
        <v>0.15279999999999999</v>
      </c>
      <c r="DH20" s="11">
        <v>0.15260000000000001</v>
      </c>
      <c r="DI20" s="11">
        <v>0.153</v>
      </c>
      <c r="DJ20" s="11">
        <v>0.1653</v>
      </c>
      <c r="DK20" s="11">
        <v>0.15709999999999999</v>
      </c>
      <c r="DL20" s="10">
        <f t="shared" si="31"/>
        <v>0.11698133333333334</v>
      </c>
      <c r="DN20" s="1">
        <v>1</v>
      </c>
      <c r="DO20" s="1">
        <v>124</v>
      </c>
      <c r="DP20" s="1">
        <v>100</v>
      </c>
      <c r="DQ20" s="1">
        <v>64</v>
      </c>
      <c r="DR20" s="1">
        <v>8</v>
      </c>
      <c r="DS20" s="1">
        <v>3</v>
      </c>
      <c r="DT20" s="1">
        <v>0</v>
      </c>
      <c r="DU20" s="1">
        <v>0</v>
      </c>
      <c r="DV20" s="1">
        <v>0</v>
      </c>
      <c r="DW20">
        <f t="shared" si="32"/>
        <v>300</v>
      </c>
      <c r="DX20" s="19">
        <f t="shared" si="33"/>
        <v>102.42130216379471</v>
      </c>
      <c r="DY20">
        <f t="shared" si="66"/>
        <v>6.1098497217610855E-2</v>
      </c>
      <c r="DZ20">
        <f t="shared" si="34"/>
        <v>0.49010894669374572</v>
      </c>
      <c r="EA20">
        <f t="shared" si="35"/>
        <v>0.41934497913374785</v>
      </c>
      <c r="EB20">
        <f t="shared" si="36"/>
        <v>2.9309767102623355E-2</v>
      </c>
      <c r="EC20">
        <f t="shared" si="37"/>
        <v>1.351982680031574E-4</v>
      </c>
      <c r="ED20">
        <f t="shared" si="38"/>
        <v>2.5798213214581229E-6</v>
      </c>
      <c r="EE20">
        <f t="shared" si="39"/>
        <v>1.2235759808934809E-8</v>
      </c>
      <c r="EF20">
        <f t="shared" si="40"/>
        <v>9.7635938898802031E-9</v>
      </c>
      <c r="EG20">
        <f t="shared" si="41"/>
        <v>9.7635938898802031E-9</v>
      </c>
      <c r="EH20">
        <f t="shared" si="42"/>
        <v>3.3333333333333335E-3</v>
      </c>
      <c r="EI20">
        <f t="shared" si="43"/>
        <v>0.41333333333333333</v>
      </c>
      <c r="EJ20">
        <f t="shared" si="44"/>
        <v>0.33333333333333331</v>
      </c>
      <c r="EK20">
        <f t="shared" si="45"/>
        <v>0.21333333333333335</v>
      </c>
      <c r="EL20">
        <f t="shared" si="46"/>
        <v>2.6666666666666668E-2</v>
      </c>
      <c r="EM20">
        <f t="shared" si="47"/>
        <v>0.01</v>
      </c>
      <c r="EN20">
        <f t="shared" si="48"/>
        <v>0</v>
      </c>
      <c r="EO20">
        <f t="shared" si="49"/>
        <v>0</v>
      </c>
      <c r="EP20">
        <f t="shared" si="50"/>
        <v>0</v>
      </c>
      <c r="EQ20">
        <f t="shared" si="51"/>
        <v>-1.6605504260092232</v>
      </c>
      <c r="ER20">
        <v>100</v>
      </c>
      <c r="ES20">
        <v>0.59174260933919554</v>
      </c>
    </row>
    <row r="21" spans="1:149" x14ac:dyDescent="0.3">
      <c r="A21" s="2" t="s">
        <v>131</v>
      </c>
      <c r="C21">
        <f t="shared" si="13"/>
        <v>6.3622009800695864E-2</v>
      </c>
      <c r="D21">
        <v>19</v>
      </c>
      <c r="E21">
        <v>1969</v>
      </c>
      <c r="F21" s="2">
        <v>5.9198963694391313</v>
      </c>
      <c r="G21" s="3">
        <f t="shared" si="67"/>
        <v>372.37312264104941</v>
      </c>
      <c r="H21" s="4">
        <f t="shared" si="52"/>
        <v>151.52902535915527</v>
      </c>
      <c r="I21" s="4">
        <f t="shared" si="53"/>
        <v>86.254270745436585</v>
      </c>
      <c r="J21" s="4">
        <f t="shared" si="54"/>
        <v>29.28487497969018</v>
      </c>
      <c r="K21" s="4">
        <f t="shared" si="55"/>
        <v>1.3491788026147238</v>
      </c>
      <c r="L21" s="4">
        <f t="shared" si="56"/>
        <v>5.0901938756955948E-3</v>
      </c>
      <c r="M21" s="4">
        <f t="shared" si="57"/>
        <v>7.4278933121286236E-5</v>
      </c>
      <c r="N21" s="4">
        <f t="shared" si="58"/>
        <v>9.9999999999999995E-7</v>
      </c>
      <c r="O21" s="4">
        <f t="shared" si="59"/>
        <v>9.9999999999999995E-7</v>
      </c>
      <c r="P21" s="22">
        <v>0.84196676311365704</v>
      </c>
      <c r="Q21" s="4"/>
      <c r="R21" s="5">
        <f t="shared" si="15"/>
        <v>18.766921375280919</v>
      </c>
      <c r="S21" s="4">
        <f t="shared" si="16"/>
        <v>-0.58405946288254351</v>
      </c>
      <c r="T21" s="5">
        <v>10.836718536828442</v>
      </c>
      <c r="U21" s="5">
        <f t="shared" si="60"/>
        <v>13.467379036501272</v>
      </c>
      <c r="V21" s="5">
        <v>10.465</v>
      </c>
      <c r="W21" s="4"/>
      <c r="X21" s="4">
        <f t="shared" si="17"/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0</v>
      </c>
      <c r="AH21" s="23">
        <f t="shared" si="18"/>
        <v>0</v>
      </c>
      <c r="AI21" s="10">
        <v>1.9184995038495793</v>
      </c>
      <c r="AJ21" s="4">
        <f t="shared" si="19"/>
        <v>1.9184995038495793</v>
      </c>
      <c r="AK21" s="23">
        <f t="shared" si="20"/>
        <v>5.3681439783583564E-2</v>
      </c>
      <c r="AL21" s="23">
        <f t="shared" si="1"/>
        <v>6.6564985331643625</v>
      </c>
      <c r="AM21" s="23">
        <f t="shared" si="2"/>
        <v>5.3681439783583569</v>
      </c>
      <c r="AN21" s="23">
        <f t="shared" si="3"/>
        <v>3.4356121461493481</v>
      </c>
      <c r="AO21" s="23">
        <f t="shared" si="4"/>
        <v>0.42945151826866851</v>
      </c>
      <c r="AP21" s="23">
        <f t="shared" si="5"/>
        <v>0.1610443193507507</v>
      </c>
      <c r="AQ21" s="23">
        <f t="shared" si="6"/>
        <v>0</v>
      </c>
      <c r="AR21" s="23">
        <f t="shared" si="7"/>
        <v>0</v>
      </c>
      <c r="AS21" s="23">
        <f t="shared" si="8"/>
        <v>0</v>
      </c>
      <c r="AT21" s="23">
        <f t="shared" si="21"/>
        <v>18.766921375280919</v>
      </c>
      <c r="AU21" s="23">
        <f t="shared" si="22"/>
        <v>16.501577002449263</v>
      </c>
      <c r="AV21" s="4">
        <f t="shared" si="23"/>
        <v>0.37106368139083207</v>
      </c>
      <c r="AW21" s="4">
        <f t="shared" si="23"/>
        <v>0.37106368139083207</v>
      </c>
      <c r="AX21" s="4">
        <f t="shared" si="23"/>
        <v>0.37106368139083207</v>
      </c>
      <c r="AY21" s="4">
        <f t="shared" si="68"/>
        <v>0.49515641167153346</v>
      </c>
      <c r="AZ21" s="4">
        <f t="shared" si="68"/>
        <v>0.66074877255687903</v>
      </c>
      <c r="BA21" s="4">
        <f t="shared" si="68"/>
        <v>0.88171925101726745</v>
      </c>
      <c r="BB21" s="4">
        <f t="shared" si="68"/>
        <v>1.1765876380005351</v>
      </c>
      <c r="BC21" s="4">
        <f t="shared" si="68"/>
        <v>1.5700671934955486</v>
      </c>
      <c r="BD21" s="24">
        <f t="shared" si="24"/>
        <v>1.5700671934955486</v>
      </c>
      <c r="BE21" s="4">
        <f t="shared" si="25"/>
        <v>0.42026211057976737</v>
      </c>
      <c r="BF21" s="4">
        <f t="shared" si="26"/>
        <v>0.10222771574972092</v>
      </c>
      <c r="BG21" s="4">
        <f t="shared" si="27"/>
        <v>0.11626158539664568</v>
      </c>
      <c r="BH21" s="4">
        <f t="shared" si="28"/>
        <v>0.43601745794667135</v>
      </c>
      <c r="BI21" s="23"/>
      <c r="BJ21" s="23"/>
      <c r="BK21" s="23"/>
      <c r="BL21" s="23"/>
      <c r="BM21" s="23"/>
      <c r="BN21" s="23"/>
      <c r="BO21" s="23"/>
      <c r="BP21" s="23"/>
      <c r="BQ21" s="23"/>
      <c r="BR21" s="13">
        <v>0.29282064770304378</v>
      </c>
      <c r="BS21" s="13">
        <v>36.309760315177428</v>
      </c>
      <c r="BT21" s="13">
        <v>29.28206477030438</v>
      </c>
      <c r="BU21" s="13">
        <v>18.740521452994802</v>
      </c>
      <c r="BV21" s="13">
        <v>2.3425651816243502</v>
      </c>
      <c r="BW21" s="13">
        <v>0.87846194310913139</v>
      </c>
      <c r="BX21" s="13">
        <v>0</v>
      </c>
      <c r="BY21" s="13">
        <v>0</v>
      </c>
      <c r="BZ21" s="13">
        <v>0</v>
      </c>
      <c r="CA21" s="4"/>
      <c r="CB21" s="4"/>
      <c r="CC21" s="4"/>
      <c r="CD21" s="4"/>
      <c r="CE21" s="4"/>
      <c r="CF21" s="4"/>
      <c r="CG21" s="4"/>
      <c r="CH21" s="4"/>
      <c r="CI21" s="4"/>
      <c r="CJ21" s="23"/>
      <c r="CK21" s="23"/>
      <c r="CL21" s="23"/>
      <c r="CM21" s="23"/>
      <c r="CN21" s="23"/>
      <c r="CO21" s="23"/>
      <c r="CP21" s="23"/>
      <c r="CQ21" s="23"/>
      <c r="CR21" s="23"/>
      <c r="CS21" s="31">
        <f t="shared" si="29"/>
        <v>1969</v>
      </c>
      <c r="CT21" s="1">
        <v>2.6197453885975358E-2</v>
      </c>
      <c r="CU21" s="1">
        <v>0.34768661313711668</v>
      </c>
      <c r="CV21" s="1">
        <v>0.8</v>
      </c>
      <c r="CW21" s="1">
        <v>1</v>
      </c>
      <c r="CX21">
        <f t="shared" si="61"/>
        <v>1</v>
      </c>
      <c r="CY21">
        <f t="shared" si="62"/>
        <v>1</v>
      </c>
      <c r="CZ21">
        <f t="shared" si="63"/>
        <v>1</v>
      </c>
      <c r="DA21">
        <f t="shared" si="64"/>
        <v>1</v>
      </c>
      <c r="DB21">
        <f t="shared" si="65"/>
        <v>1</v>
      </c>
      <c r="DC21" s="11">
        <v>5.7200000000000001E-2</v>
      </c>
      <c r="DD21" s="11">
        <v>0.1018</v>
      </c>
      <c r="DE21" s="11">
        <v>0.12330000000000001</v>
      </c>
      <c r="DF21" s="11">
        <v>0.1409</v>
      </c>
      <c r="DG21" s="11">
        <v>0.156</v>
      </c>
      <c r="DH21" s="11">
        <v>0.1542</v>
      </c>
      <c r="DI21" s="11">
        <v>0.15359999999999999</v>
      </c>
      <c r="DJ21" s="11">
        <v>0.16539999999999999</v>
      </c>
      <c r="DK21" s="11">
        <v>0.15720000000000001</v>
      </c>
      <c r="DL21" s="10">
        <f t="shared" si="31"/>
        <v>0.11912866666666666</v>
      </c>
      <c r="DN21" s="1">
        <v>1</v>
      </c>
      <c r="DO21" s="1">
        <v>124</v>
      </c>
      <c r="DP21" s="1">
        <v>100</v>
      </c>
      <c r="DQ21" s="1">
        <v>64</v>
      </c>
      <c r="DR21" s="1">
        <v>8</v>
      </c>
      <c r="DS21" s="1">
        <v>3</v>
      </c>
      <c r="DT21" s="1">
        <v>0</v>
      </c>
      <c r="DU21" s="1">
        <v>0</v>
      </c>
      <c r="DV21" s="1">
        <v>0</v>
      </c>
      <c r="DW21">
        <f t="shared" si="32"/>
        <v>300</v>
      </c>
      <c r="DX21" s="19">
        <f t="shared" si="33"/>
        <v>162.0824781793215</v>
      </c>
      <c r="DY21">
        <f t="shared" si="66"/>
        <v>6.0186812407771489E-2</v>
      </c>
      <c r="DZ21">
        <f t="shared" si="34"/>
        <v>0.32504817430545974</v>
      </c>
      <c r="EA21">
        <f t="shared" si="35"/>
        <v>0.42573026629076266</v>
      </c>
      <c r="EB21">
        <f t="shared" si="36"/>
        <v>0.18067884516974486</v>
      </c>
      <c r="EC21">
        <f t="shared" si="37"/>
        <v>8.3240262474395723E-3</v>
      </c>
      <c r="ED21">
        <f t="shared" si="38"/>
        <v>3.1404960813000463E-5</v>
      </c>
      <c r="EE21">
        <f t="shared" si="39"/>
        <v>4.5827861194907833E-7</v>
      </c>
      <c r="EF21">
        <f t="shared" si="40"/>
        <v>6.1696983611864595E-9</v>
      </c>
      <c r="EG21">
        <f t="shared" si="41"/>
        <v>6.1696983611864595E-9</v>
      </c>
      <c r="EH21">
        <f t="shared" si="42"/>
        <v>3.3333333333333335E-3</v>
      </c>
      <c r="EI21">
        <f t="shared" si="43"/>
        <v>0.41333333333333333</v>
      </c>
      <c r="EJ21">
        <f t="shared" si="44"/>
        <v>0.33333333333333331</v>
      </c>
      <c r="EK21">
        <f t="shared" si="45"/>
        <v>0.21333333333333335</v>
      </c>
      <c r="EL21">
        <f t="shared" si="46"/>
        <v>2.6666666666666668E-2</v>
      </c>
      <c r="EM21">
        <f t="shared" si="47"/>
        <v>0.01</v>
      </c>
      <c r="EN21">
        <f t="shared" si="48"/>
        <v>0</v>
      </c>
      <c r="EO21">
        <f t="shared" si="49"/>
        <v>0</v>
      </c>
      <c r="EP21">
        <f t="shared" si="50"/>
        <v>0</v>
      </c>
      <c r="EQ21">
        <f t="shared" si="51"/>
        <v>-1.3399556354630136</v>
      </c>
      <c r="ER21">
        <v>100</v>
      </c>
      <c r="ES21">
        <v>0.59676917770520421</v>
      </c>
    </row>
    <row r="22" spans="1:149" x14ac:dyDescent="0.3">
      <c r="A22" s="2" t="s">
        <v>129</v>
      </c>
      <c r="C22">
        <f t="shared" si="13"/>
        <v>2.2874675224066787E-2</v>
      </c>
      <c r="D22">
        <v>20</v>
      </c>
      <c r="E22">
        <v>1970</v>
      </c>
      <c r="F22" s="2">
        <v>6.0795994034441598</v>
      </c>
      <c r="G22" s="3">
        <f t="shared" si="67"/>
        <v>436.85415739020186</v>
      </c>
      <c r="H22" s="4">
        <f t="shared" si="52"/>
        <v>271.72523337108629</v>
      </c>
      <c r="I22" s="4">
        <f t="shared" si="53"/>
        <v>106.92885001484929</v>
      </c>
      <c r="J22" s="4">
        <f t="shared" si="54"/>
        <v>57.948556037261234</v>
      </c>
      <c r="K22" s="4">
        <f t="shared" si="55"/>
        <v>17.328059178054865</v>
      </c>
      <c r="L22" s="4">
        <f t="shared" si="56"/>
        <v>0.69442492908086906</v>
      </c>
      <c r="M22" s="4">
        <f t="shared" si="57"/>
        <v>2.1751525320515886E-3</v>
      </c>
      <c r="N22" s="4">
        <f t="shared" si="58"/>
        <v>2.4762758831038839E-5</v>
      </c>
      <c r="O22" s="4">
        <f t="shared" si="59"/>
        <v>9.9999999999999995E-7</v>
      </c>
      <c r="P22" s="22">
        <v>1.0730150662493978</v>
      </c>
      <c r="Q22" s="4"/>
      <c r="R22" s="5">
        <f t="shared" si="15"/>
        <v>32.238260065113948</v>
      </c>
      <c r="S22" s="4">
        <f t="shared" si="16"/>
        <v>-0.18058166418789245</v>
      </c>
      <c r="T22" s="5">
        <v>20.061270952793006</v>
      </c>
      <c r="U22" s="5">
        <f t="shared" si="60"/>
        <v>23.134581271601494</v>
      </c>
      <c r="V22" s="5">
        <v>26.911999999999999</v>
      </c>
      <c r="W22" s="4"/>
      <c r="X22" s="4">
        <f t="shared" si="17"/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f t="shared" si="18"/>
        <v>0</v>
      </c>
      <c r="AI22" s="10">
        <v>1.8542922234537356</v>
      </c>
      <c r="AJ22" s="4">
        <f t="shared" si="19"/>
        <v>1.8542922234537356</v>
      </c>
      <c r="AK22" s="23">
        <f t="shared" si="20"/>
        <v>5.1124541246198266E-2</v>
      </c>
      <c r="AL22" s="23">
        <f t="shared" si="1"/>
        <v>6.3394431145285841</v>
      </c>
      <c r="AM22" s="23">
        <f t="shared" si="2"/>
        <v>5.112454124619827</v>
      </c>
      <c r="AN22" s="23">
        <f t="shared" si="3"/>
        <v>3.271970639756689</v>
      </c>
      <c r="AO22" s="23">
        <f t="shared" si="4"/>
        <v>0.40899632996958613</v>
      </c>
      <c r="AP22" s="23">
        <f t="shared" si="5"/>
        <v>0.15337362373859478</v>
      </c>
      <c r="AQ22" s="23">
        <f t="shared" si="6"/>
        <v>0</v>
      </c>
      <c r="AR22" s="23">
        <f t="shared" si="7"/>
        <v>0</v>
      </c>
      <c r="AS22" s="23">
        <f t="shared" si="8"/>
        <v>0</v>
      </c>
      <c r="AT22" s="23">
        <f t="shared" si="21"/>
        <v>32.238260065113948</v>
      </c>
      <c r="AU22" s="23">
        <f t="shared" si="22"/>
        <v>39.356421381821121</v>
      </c>
      <c r="AV22" s="4">
        <f t="shared" si="23"/>
        <v>0.37106368139083207</v>
      </c>
      <c r="AW22" s="4">
        <f t="shared" si="23"/>
        <v>0.37106368139083207</v>
      </c>
      <c r="AX22" s="4">
        <f t="shared" si="23"/>
        <v>0.37106368139083207</v>
      </c>
      <c r="AY22" s="4">
        <f t="shared" si="68"/>
        <v>0.49515641167153346</v>
      </c>
      <c r="AZ22" s="4">
        <f t="shared" si="68"/>
        <v>0.66074877255687903</v>
      </c>
      <c r="BA22" s="4">
        <f t="shared" si="68"/>
        <v>0.88171925101726745</v>
      </c>
      <c r="BB22" s="4">
        <f t="shared" si="68"/>
        <v>1.1765876380005351</v>
      </c>
      <c r="BC22" s="4">
        <f t="shared" si="68"/>
        <v>1.5700671934955486</v>
      </c>
      <c r="BD22" s="24">
        <f t="shared" si="24"/>
        <v>1.5700671934955486</v>
      </c>
      <c r="BE22" s="4">
        <f t="shared" si="25"/>
        <v>0.45739577297656486</v>
      </c>
      <c r="BF22" s="4">
        <f t="shared" si="26"/>
        <v>5.7518371640047798E-2</v>
      </c>
      <c r="BG22" s="4">
        <f t="shared" si="27"/>
        <v>4.7115366650440429E-2</v>
      </c>
      <c r="BH22" s="4">
        <f t="shared" si="28"/>
        <v>0.44641835962253873</v>
      </c>
      <c r="BI22" s="23"/>
      <c r="BJ22" s="23"/>
      <c r="BK22" s="23"/>
      <c r="BL22" s="23"/>
      <c r="BM22" s="23"/>
      <c r="BN22" s="23"/>
      <c r="BO22" s="23"/>
      <c r="BP22" s="23"/>
      <c r="BQ22" s="23"/>
      <c r="BR22" s="13">
        <v>0.74198858012522706</v>
      </c>
      <c r="BS22" s="13">
        <v>92.00658393552817</v>
      </c>
      <c r="BT22" s="13">
        <v>74.198858012522706</v>
      </c>
      <c r="BU22" s="13">
        <v>47.487269128014532</v>
      </c>
      <c r="BV22" s="13">
        <v>5.9359086410018165</v>
      </c>
      <c r="BW22" s="13">
        <v>2.2259657403756812</v>
      </c>
      <c r="BX22" s="13">
        <v>0</v>
      </c>
      <c r="BY22" s="13">
        <v>0</v>
      </c>
      <c r="BZ22" s="13">
        <v>0</v>
      </c>
      <c r="CA22" s="4"/>
      <c r="CB22" s="4"/>
      <c r="CC22" s="4"/>
      <c r="CD22" s="4"/>
      <c r="CE22" s="4"/>
      <c r="CF22" s="4"/>
      <c r="CG22" s="4"/>
      <c r="CH22" s="4"/>
      <c r="CI22" s="4"/>
      <c r="CJ22" s="23"/>
      <c r="CK22" s="23"/>
      <c r="CL22" s="23"/>
      <c r="CM22" s="23"/>
      <c r="CN22" s="23"/>
      <c r="CO22" s="23"/>
      <c r="CP22" s="23"/>
      <c r="CQ22" s="23"/>
      <c r="CR22" s="23"/>
      <c r="CS22" s="31">
        <f t="shared" si="29"/>
        <v>1970</v>
      </c>
      <c r="CT22" s="1">
        <v>2.6197453885975358E-2</v>
      </c>
      <c r="CU22" s="1">
        <v>0.34768661313711668</v>
      </c>
      <c r="CV22" s="1">
        <v>0.8</v>
      </c>
      <c r="CW22" s="1">
        <v>1</v>
      </c>
      <c r="CX22">
        <f t="shared" si="61"/>
        <v>1</v>
      </c>
      <c r="CY22">
        <f t="shared" si="62"/>
        <v>1</v>
      </c>
      <c r="CZ22">
        <f t="shared" si="63"/>
        <v>1</v>
      </c>
      <c r="DA22">
        <f t="shared" si="64"/>
        <v>1</v>
      </c>
      <c r="DB22">
        <f t="shared" si="65"/>
        <v>1</v>
      </c>
      <c r="DC22" s="11">
        <v>5.6399999999999999E-2</v>
      </c>
      <c r="DD22" s="11">
        <v>0.1036</v>
      </c>
      <c r="DE22" s="11">
        <v>0.12529999999999999</v>
      </c>
      <c r="DF22" s="11">
        <v>0.1421</v>
      </c>
      <c r="DG22" s="11">
        <v>0.15820000000000001</v>
      </c>
      <c r="DH22" s="11">
        <v>0.15909999999999999</v>
      </c>
      <c r="DI22" s="11">
        <v>0.15390000000000001</v>
      </c>
      <c r="DJ22" s="11">
        <v>0.16569999999999999</v>
      </c>
      <c r="DK22" s="11">
        <v>0.1573</v>
      </c>
      <c r="DL22" s="10">
        <f t="shared" si="31"/>
        <v>0.12090033333333333</v>
      </c>
      <c r="DN22" s="1">
        <v>1</v>
      </c>
      <c r="DO22" s="1">
        <v>124</v>
      </c>
      <c r="DP22" s="1">
        <v>100</v>
      </c>
      <c r="DQ22" s="1">
        <v>64</v>
      </c>
      <c r="DR22" s="1">
        <v>8</v>
      </c>
      <c r="DS22" s="1">
        <v>3</v>
      </c>
      <c r="DT22" s="1">
        <v>0</v>
      </c>
      <c r="DU22" s="1">
        <v>0</v>
      </c>
      <c r="DV22" s="1">
        <v>0</v>
      </c>
      <c r="DW22">
        <f t="shared" si="32"/>
        <v>300</v>
      </c>
      <c r="DX22" s="19">
        <f t="shared" si="33"/>
        <v>267.43601380937935</v>
      </c>
      <c r="DY22">
        <f t="shared" si="66"/>
        <v>4.2793289056737585E-2</v>
      </c>
      <c r="DZ22">
        <f t="shared" si="34"/>
        <v>0.35326291604849014</v>
      </c>
      <c r="EA22">
        <f t="shared" si="35"/>
        <v>0.3198637266290249</v>
      </c>
      <c r="EB22">
        <f t="shared" si="36"/>
        <v>0.21668194650315603</v>
      </c>
      <c r="EC22">
        <f t="shared" si="37"/>
        <v>6.4793289920952096E-2</v>
      </c>
      <c r="ED22">
        <f t="shared" si="38"/>
        <v>2.5966021523781573E-3</v>
      </c>
      <c r="EE22">
        <f t="shared" si="39"/>
        <v>8.1333568395241429E-6</v>
      </c>
      <c r="EF22">
        <f t="shared" si="40"/>
        <v>9.259320941228588E-8</v>
      </c>
      <c r="EG22">
        <f t="shared" si="41"/>
        <v>3.7392121792271814E-9</v>
      </c>
      <c r="EH22">
        <f t="shared" si="42"/>
        <v>3.3333333333333335E-3</v>
      </c>
      <c r="EI22">
        <f t="shared" si="43"/>
        <v>0.41333333333333333</v>
      </c>
      <c r="EJ22">
        <f t="shared" si="44"/>
        <v>0.33333333333333331</v>
      </c>
      <c r="EK22">
        <f t="shared" si="45"/>
        <v>0.21333333333333335</v>
      </c>
      <c r="EL22">
        <f t="shared" si="46"/>
        <v>2.6666666666666668E-2</v>
      </c>
      <c r="EM22">
        <f t="shared" si="47"/>
        <v>0.01</v>
      </c>
      <c r="EN22">
        <f t="shared" si="48"/>
        <v>0</v>
      </c>
      <c r="EO22">
        <f t="shared" si="49"/>
        <v>0</v>
      </c>
      <c r="EP22">
        <f t="shared" si="50"/>
        <v>0</v>
      </c>
      <c r="EQ22">
        <f t="shared" si="51"/>
        <v>-1.2785687633868212</v>
      </c>
      <c r="ER22">
        <v>100</v>
      </c>
      <c r="ES22">
        <v>0.55764890915459442</v>
      </c>
    </row>
    <row r="23" spans="1:149" x14ac:dyDescent="0.3">
      <c r="A23" s="2" t="s">
        <v>132</v>
      </c>
      <c r="C23">
        <f t="shared" si="13"/>
        <v>1.5277891328841621E-2</v>
      </c>
      <c r="D23">
        <v>21</v>
      </c>
      <c r="E23">
        <v>1971</v>
      </c>
      <c r="F23" s="2">
        <v>5.4114727637620161</v>
      </c>
      <c r="G23" s="3">
        <f t="shared" si="67"/>
        <v>223.96118683018992</v>
      </c>
      <c r="H23" s="4">
        <f t="shared" si="52"/>
        <v>292.93024572254501</v>
      </c>
      <c r="I23" s="4">
        <f t="shared" si="53"/>
        <v>178.82960440896497</v>
      </c>
      <c r="J23" s="4">
        <f t="shared" si="54"/>
        <v>68.504519818274943</v>
      </c>
      <c r="K23" s="4">
        <f t="shared" si="55"/>
        <v>32.104830764066612</v>
      </c>
      <c r="L23" s="4">
        <f t="shared" si="56"/>
        <v>8.0373133359953055</v>
      </c>
      <c r="M23" s="4">
        <f t="shared" si="57"/>
        <v>0.2541048990189424</v>
      </c>
      <c r="N23" s="4">
        <f t="shared" si="58"/>
        <v>5.8005269687779653E-4</v>
      </c>
      <c r="O23" s="4">
        <f t="shared" si="59"/>
        <v>4.3292584061550573E-6</v>
      </c>
      <c r="P23" s="22">
        <v>1.2688540365562315</v>
      </c>
      <c r="Q23" s="4"/>
      <c r="R23" s="5">
        <f t="shared" si="15"/>
        <v>44.587186013485905</v>
      </c>
      <c r="S23" s="4">
        <f t="shared" si="16"/>
        <v>-0.20822165767642953</v>
      </c>
      <c r="T23" s="5">
        <v>36.564645473142647</v>
      </c>
      <c r="U23" s="5">
        <f t="shared" si="60"/>
        <v>31.996325993325819</v>
      </c>
      <c r="V23" s="5">
        <v>36.206000000000003</v>
      </c>
      <c r="W23" s="4"/>
      <c r="X23" s="4">
        <f t="shared" si="17"/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f t="shared" si="18"/>
        <v>0</v>
      </c>
      <c r="AI23" s="10">
        <v>1.8542922234537356</v>
      </c>
      <c r="AJ23" s="4">
        <f t="shared" si="19"/>
        <v>1.8542922234537356</v>
      </c>
      <c r="AK23" s="23">
        <f t="shared" si="20"/>
        <v>5.1485234991496431E-2</v>
      </c>
      <c r="AL23" s="23">
        <f t="shared" si="1"/>
        <v>6.3841691389455573</v>
      </c>
      <c r="AM23" s="23">
        <f t="shared" si="2"/>
        <v>5.1485234991496434</v>
      </c>
      <c r="AN23" s="23">
        <f t="shared" si="3"/>
        <v>3.2950550394557716</v>
      </c>
      <c r="AO23" s="23">
        <f t="shared" si="4"/>
        <v>0.41188187993197145</v>
      </c>
      <c r="AP23" s="23">
        <f t="shared" si="5"/>
        <v>0.15445570497448932</v>
      </c>
      <c r="AQ23" s="23">
        <f t="shared" si="6"/>
        <v>0</v>
      </c>
      <c r="AR23" s="23">
        <f t="shared" si="7"/>
        <v>0</v>
      </c>
      <c r="AS23" s="23">
        <f t="shared" si="8"/>
        <v>0</v>
      </c>
      <c r="AT23" s="23">
        <f t="shared" si="21"/>
        <v>44.587186013485905</v>
      </c>
      <c r="AU23" s="23">
        <f t="shared" si="22"/>
        <v>52.307699190897615</v>
      </c>
      <c r="AV23" s="4">
        <f t="shared" ref="AV23:AX42" si="69">-LN(Su)</f>
        <v>0.37106368139083207</v>
      </c>
      <c r="AW23" s="4">
        <f t="shared" si="69"/>
        <v>0.37106368139083207</v>
      </c>
      <c r="AX23" s="4">
        <f t="shared" si="69"/>
        <v>0.37106368139083207</v>
      </c>
      <c r="AY23" s="4">
        <f t="shared" ref="AY23:BC32" si="70">AX23*EXP(tanasMsl)</f>
        <v>0.49515641167153346</v>
      </c>
      <c r="AZ23" s="4">
        <f t="shared" si="70"/>
        <v>0.66074877255687903</v>
      </c>
      <c r="BA23" s="4">
        <f t="shared" si="70"/>
        <v>0.88171925101726745</v>
      </c>
      <c r="BB23" s="4">
        <f t="shared" si="70"/>
        <v>1.1765876380005351</v>
      </c>
      <c r="BC23" s="4">
        <f t="shared" si="70"/>
        <v>1.5700671934955486</v>
      </c>
      <c r="BD23" s="24">
        <f t="shared" si="24"/>
        <v>1.5700671934955486</v>
      </c>
      <c r="BE23" s="4">
        <f t="shared" si="25"/>
        <v>0.51330318854146917</v>
      </c>
      <c r="BF23" s="4">
        <f t="shared" si="26"/>
        <v>4.1588007435429626E-2</v>
      </c>
      <c r="BG23" s="4">
        <f t="shared" si="27"/>
        <v>3.544969960705923E-2</v>
      </c>
      <c r="BH23" s="4">
        <f t="shared" si="28"/>
        <v>0.50691894616721045</v>
      </c>
      <c r="BI23" s="23"/>
      <c r="BJ23" s="23"/>
      <c r="BK23" s="23"/>
      <c r="BL23" s="23"/>
      <c r="BM23" s="23"/>
      <c r="BN23" s="23"/>
      <c r="BO23" s="23"/>
      <c r="BP23" s="23"/>
      <c r="BQ23" s="23"/>
      <c r="BR23" s="13">
        <v>1.0052754331408265</v>
      </c>
      <c r="BS23" s="13">
        <v>124.65415370946248</v>
      </c>
      <c r="BT23" s="13">
        <v>100.52754331408265</v>
      </c>
      <c r="BU23" s="13">
        <v>64.337627721012893</v>
      </c>
      <c r="BV23" s="13">
        <v>8.0422034651266117</v>
      </c>
      <c r="BW23" s="13">
        <v>3.0158262994224794</v>
      </c>
      <c r="BX23" s="13">
        <v>0</v>
      </c>
      <c r="BY23" s="13">
        <v>0</v>
      </c>
      <c r="BZ23" s="13">
        <v>0</v>
      </c>
      <c r="CA23" s="4"/>
      <c r="CB23" s="4"/>
      <c r="CC23" s="4"/>
      <c r="CD23" s="4"/>
      <c r="CE23" s="4"/>
      <c r="CF23" s="4"/>
      <c r="CG23" s="4"/>
      <c r="CH23" s="4"/>
      <c r="CI23" s="4"/>
      <c r="CJ23" s="23"/>
      <c r="CK23" s="23"/>
      <c r="CL23" s="23"/>
      <c r="CM23" s="23"/>
      <c r="CN23" s="23"/>
      <c r="CO23" s="23"/>
      <c r="CP23" s="23"/>
      <c r="CQ23" s="23"/>
      <c r="CR23" s="23"/>
      <c r="CS23" s="31">
        <f t="shared" si="29"/>
        <v>1971</v>
      </c>
      <c r="CT23" s="1">
        <v>2.6197453885975358E-2</v>
      </c>
      <c r="CU23" s="1">
        <v>0.34768661313711668</v>
      </c>
      <c r="CV23" s="1">
        <v>0.8</v>
      </c>
      <c r="CW23" s="1">
        <v>1</v>
      </c>
      <c r="CX23">
        <f t="shared" si="61"/>
        <v>1</v>
      </c>
      <c r="CY23">
        <f t="shared" si="62"/>
        <v>1</v>
      </c>
      <c r="CZ23">
        <f t="shared" si="63"/>
        <v>1</v>
      </c>
      <c r="DA23">
        <f t="shared" si="64"/>
        <v>1</v>
      </c>
      <c r="DB23">
        <f t="shared" si="65"/>
        <v>1</v>
      </c>
      <c r="DC23" s="11">
        <v>5.3900000000000003E-2</v>
      </c>
      <c r="DD23" s="11">
        <v>0.10290000000000001</v>
      </c>
      <c r="DE23" s="11">
        <v>0.1245</v>
      </c>
      <c r="DF23" s="11">
        <v>0.1411</v>
      </c>
      <c r="DG23" s="11">
        <v>0.15559999999999999</v>
      </c>
      <c r="DH23" s="11">
        <v>0.15909999999999999</v>
      </c>
      <c r="DI23" s="11">
        <v>0.15359999999999999</v>
      </c>
      <c r="DJ23" s="11">
        <v>0.16550000000000001</v>
      </c>
      <c r="DK23" s="11">
        <v>0.15709999999999999</v>
      </c>
      <c r="DL23" s="10">
        <f t="shared" si="31"/>
        <v>0.12005333333333333</v>
      </c>
      <c r="DN23" s="1">
        <v>1</v>
      </c>
      <c r="DO23" s="1">
        <v>124</v>
      </c>
      <c r="DP23" s="1">
        <v>100</v>
      </c>
      <c r="DQ23" s="1">
        <v>64</v>
      </c>
      <c r="DR23" s="1">
        <v>8</v>
      </c>
      <c r="DS23" s="1">
        <v>3</v>
      </c>
      <c r="DT23" s="1">
        <v>0</v>
      </c>
      <c r="DU23" s="1">
        <v>0</v>
      </c>
      <c r="DV23" s="1">
        <v>0</v>
      </c>
      <c r="DW23">
        <f t="shared" si="32"/>
        <v>300</v>
      </c>
      <c r="DX23" s="19">
        <f t="shared" si="33"/>
        <v>359.68017461141028</v>
      </c>
      <c r="DY23">
        <f t="shared" si="66"/>
        <v>1.631230542681705E-2</v>
      </c>
      <c r="DZ23">
        <f t="shared" si="34"/>
        <v>0.28316246546179269</v>
      </c>
      <c r="EA23">
        <f t="shared" si="35"/>
        <v>0.39775248575136091</v>
      </c>
      <c r="EB23">
        <f t="shared" si="36"/>
        <v>0.19045953781657707</v>
      </c>
      <c r="EC23">
        <f t="shared" si="37"/>
        <v>8.9259383836631789E-2</v>
      </c>
      <c r="ED23">
        <f t="shared" si="38"/>
        <v>2.2345722403739998E-2</v>
      </c>
      <c r="EE23">
        <f t="shared" si="39"/>
        <v>7.0647457645801903E-4</v>
      </c>
      <c r="EF23">
        <f t="shared" si="40"/>
        <v>1.6126902115315958E-6</v>
      </c>
      <c r="EG23">
        <f t="shared" si="41"/>
        <v>1.2036410988824399E-8</v>
      </c>
      <c r="EH23">
        <f t="shared" si="42"/>
        <v>3.3333333333333335E-3</v>
      </c>
      <c r="EI23">
        <f t="shared" si="43"/>
        <v>0.41333333333333333</v>
      </c>
      <c r="EJ23">
        <f t="shared" si="44"/>
        <v>0.33333333333333331</v>
      </c>
      <c r="EK23">
        <f t="shared" si="45"/>
        <v>0.21333333333333335</v>
      </c>
      <c r="EL23">
        <f t="shared" si="46"/>
        <v>2.6666666666666668E-2</v>
      </c>
      <c r="EM23">
        <f t="shared" si="47"/>
        <v>0.01</v>
      </c>
      <c r="EN23">
        <f t="shared" si="48"/>
        <v>0</v>
      </c>
      <c r="EO23">
        <f t="shared" si="49"/>
        <v>0</v>
      </c>
      <c r="EP23">
        <f t="shared" si="50"/>
        <v>0</v>
      </c>
      <c r="EQ23">
        <f t="shared" si="51"/>
        <v>-1.2983256273564765</v>
      </c>
      <c r="ER23">
        <v>100</v>
      </c>
      <c r="ES23">
        <v>0.57252023599950408</v>
      </c>
    </row>
    <row r="24" spans="1:149" x14ac:dyDescent="0.3">
      <c r="C24">
        <f t="shared" si="13"/>
        <v>1.4339122826097683E-2</v>
      </c>
      <c r="D24">
        <v>22</v>
      </c>
      <c r="E24">
        <v>1972</v>
      </c>
      <c r="F24" s="2">
        <v>5.7647848313128138</v>
      </c>
      <c r="G24" s="3">
        <f t="shared" si="67"/>
        <v>318.87042572337049</v>
      </c>
      <c r="H24" s="4">
        <f t="shared" si="52"/>
        <v>139.70834784177944</v>
      </c>
      <c r="I24" s="4">
        <f t="shared" si="53"/>
        <v>180.28586127324576</v>
      </c>
      <c r="J24" s="4">
        <f t="shared" si="54"/>
        <v>107.96113652133408</v>
      </c>
      <c r="K24" s="4">
        <f t="shared" si="55"/>
        <v>35.027762998360792</v>
      </c>
      <c r="L24" s="4">
        <f t="shared" si="56"/>
        <v>13.304937728467094</v>
      </c>
      <c r="M24" s="4">
        <f t="shared" si="57"/>
        <v>2.5164377137983513</v>
      </c>
      <c r="N24" s="4">
        <f t="shared" si="58"/>
        <v>5.4726697277787811E-2</v>
      </c>
      <c r="O24" s="4">
        <f t="shared" si="59"/>
        <v>7.5827067609414138E-5</v>
      </c>
      <c r="P24" s="22">
        <v>1.4443290029292244</v>
      </c>
      <c r="Q24" s="4"/>
      <c r="R24" s="5">
        <f t="shared" si="15"/>
        <v>51.74554780357446</v>
      </c>
      <c r="S24" s="4">
        <f t="shared" si="16"/>
        <v>-0.21207934867663017</v>
      </c>
      <c r="T24" s="5">
        <v>49.465080435979061</v>
      </c>
      <c r="U24" s="5">
        <f t="shared" si="60"/>
        <v>37.133256530825193</v>
      </c>
      <c r="V24" s="5">
        <v>41.856999999999999</v>
      </c>
      <c r="W24" s="4"/>
      <c r="X24" s="4">
        <f t="shared" si="17"/>
        <v>0.13806563214442796</v>
      </c>
      <c r="Y24" s="23">
        <v>1.6343319693524987</v>
      </c>
      <c r="Z24" s="23">
        <v>9.325305942776021</v>
      </c>
      <c r="AA24" s="23">
        <v>24.226568016284094</v>
      </c>
      <c r="AB24" s="23">
        <v>12.401695532145432</v>
      </c>
      <c r="AC24" s="23">
        <v>1.7625148689095573</v>
      </c>
      <c r="AD24" s="23">
        <v>0.57682304800676421</v>
      </c>
      <c r="AE24" s="23">
        <v>0.38454869867117619</v>
      </c>
      <c r="AF24" s="23">
        <v>3.204572488926468E-2</v>
      </c>
      <c r="AG24" s="23">
        <v>0</v>
      </c>
      <c r="AH24" s="23">
        <f t="shared" si="18"/>
        <v>6.8939999999999984</v>
      </c>
      <c r="AI24" s="10">
        <v>1.8127738545274616</v>
      </c>
      <c r="AJ24" s="4">
        <f t="shared" si="19"/>
        <v>1.8127738545274616</v>
      </c>
      <c r="AK24" s="23">
        <f t="shared" si="20"/>
        <v>0.42974677453736387</v>
      </c>
      <c r="AL24" s="23">
        <f t="shared" si="1"/>
        <v>2.4520845370661348</v>
      </c>
      <c r="AM24" s="23">
        <f t="shared" si="2"/>
        <v>6.3703639519656283</v>
      </c>
      <c r="AN24" s="23">
        <f t="shared" si="3"/>
        <v>3.2610196420776432</v>
      </c>
      <c r="AO24" s="23">
        <f t="shared" si="4"/>
        <v>0.46345240391284337</v>
      </c>
      <c r="AP24" s="23">
        <f t="shared" si="5"/>
        <v>0.15167533218965781</v>
      </c>
      <c r="AQ24" s="23">
        <f t="shared" si="6"/>
        <v>0.10111688812643856</v>
      </c>
      <c r="AR24" s="23">
        <f t="shared" si="7"/>
        <v>8.4264073438698791E-3</v>
      </c>
      <c r="AS24" s="23">
        <f t="shared" si="8"/>
        <v>0</v>
      </c>
      <c r="AT24" s="23">
        <f t="shared" si="21"/>
        <v>51.74554780357446</v>
      </c>
      <c r="AU24" s="23">
        <f t="shared" si="22"/>
        <v>67.034903320259616</v>
      </c>
      <c r="AV24" s="4">
        <f t="shared" si="69"/>
        <v>0.37106368139083207</v>
      </c>
      <c r="AW24" s="4">
        <f t="shared" si="69"/>
        <v>0.37106368139083207</v>
      </c>
      <c r="AX24" s="4">
        <f t="shared" si="69"/>
        <v>0.37106368139083207</v>
      </c>
      <c r="AY24" s="4">
        <f t="shared" si="70"/>
        <v>0.49515641167153346</v>
      </c>
      <c r="AZ24" s="4">
        <f t="shared" si="70"/>
        <v>0.66074877255687903</v>
      </c>
      <c r="BA24" s="4">
        <f t="shared" si="70"/>
        <v>0.88171925101726745</v>
      </c>
      <c r="BB24" s="4">
        <f t="shared" si="70"/>
        <v>1.1765876380005351</v>
      </c>
      <c r="BC24" s="4">
        <f t="shared" si="70"/>
        <v>1.5700671934955486</v>
      </c>
      <c r="BD24" s="24">
        <f t="shared" si="24"/>
        <v>1.5700671934955486</v>
      </c>
      <c r="BE24" s="4">
        <f t="shared" si="25"/>
        <v>0.57159885290004175</v>
      </c>
      <c r="BF24" s="4">
        <f t="shared" si="26"/>
        <v>3.5032460404298582E-2</v>
      </c>
      <c r="BG24" s="4">
        <f t="shared" si="27"/>
        <v>2.7042238665832406E-2</v>
      </c>
      <c r="BH24" s="4">
        <f t="shared" si="28"/>
        <v>0.56335264546112529</v>
      </c>
      <c r="BI24" s="23"/>
      <c r="BJ24" s="23"/>
      <c r="BK24" s="23"/>
      <c r="BL24" s="23"/>
      <c r="BM24" s="23"/>
      <c r="BN24" s="23"/>
      <c r="BO24" s="23"/>
      <c r="BP24" s="23"/>
      <c r="BQ24" s="23"/>
      <c r="BR24" s="13">
        <v>9.9228652801258406</v>
      </c>
      <c r="BS24" s="13">
        <v>56.61870189248274</v>
      </c>
      <c r="BT24" s="13">
        <v>147.09188532892421</v>
      </c>
      <c r="BU24" s="13">
        <v>75.297036537425498</v>
      </c>
      <c r="BV24" s="13">
        <v>10.70112922366512</v>
      </c>
      <c r="BW24" s="13">
        <v>3.5021877459267672</v>
      </c>
      <c r="BX24" s="13">
        <v>2.3347918306178448</v>
      </c>
      <c r="BY24" s="13">
        <v>0.19456598588482038</v>
      </c>
      <c r="BZ24" s="13">
        <v>0</v>
      </c>
      <c r="CA24" s="4"/>
      <c r="CB24" s="4"/>
      <c r="CC24" s="4"/>
      <c r="CD24" s="4"/>
      <c r="CE24" s="4"/>
      <c r="CF24" s="4"/>
      <c r="CG24" s="4"/>
      <c r="CH24" s="4"/>
      <c r="CI24" s="4"/>
      <c r="CJ24" s="23"/>
      <c r="CK24" s="23"/>
      <c r="CL24" s="23"/>
      <c r="CM24" s="23"/>
      <c r="CN24" s="23"/>
      <c r="CO24" s="23"/>
      <c r="CP24" s="23"/>
      <c r="CQ24" s="23"/>
      <c r="CR24" s="23"/>
      <c r="CS24" s="31">
        <f t="shared" si="29"/>
        <v>1972</v>
      </c>
      <c r="CT24" s="1">
        <v>2.6197453885975358E-2</v>
      </c>
      <c r="CU24" s="1">
        <v>0.34768661313711668</v>
      </c>
      <c r="CV24" s="1">
        <v>0.8</v>
      </c>
      <c r="CW24" s="1">
        <v>1</v>
      </c>
      <c r="CX24">
        <f t="shared" si="61"/>
        <v>1</v>
      </c>
      <c r="CY24">
        <f t="shared" si="62"/>
        <v>1</v>
      </c>
      <c r="CZ24">
        <f t="shared" si="63"/>
        <v>1</v>
      </c>
      <c r="DA24">
        <f t="shared" si="64"/>
        <v>1</v>
      </c>
      <c r="DB24">
        <f t="shared" si="65"/>
        <v>1</v>
      </c>
      <c r="DC24" s="11">
        <v>6.4100000000000004E-2</v>
      </c>
      <c r="DD24" s="11">
        <v>0.10340000000000001</v>
      </c>
      <c r="DE24" s="11">
        <v>0.1384</v>
      </c>
      <c r="DF24" s="11">
        <v>0.15959999999999999</v>
      </c>
      <c r="DG24" s="11">
        <v>0.1734</v>
      </c>
      <c r="DH24" s="11">
        <v>0.1807</v>
      </c>
      <c r="DI24" s="11">
        <v>0.20219999999999999</v>
      </c>
      <c r="DJ24" s="11">
        <v>0.16</v>
      </c>
      <c r="DK24" s="11">
        <v>0.15709999999999999</v>
      </c>
      <c r="DL24" s="10">
        <f t="shared" si="31"/>
        <v>0.13693831954169319</v>
      </c>
      <c r="DN24" s="1">
        <v>51</v>
      </c>
      <c r="DO24" s="1">
        <v>291</v>
      </c>
      <c r="DP24" s="1">
        <v>756</v>
      </c>
      <c r="DQ24" s="1">
        <v>387</v>
      </c>
      <c r="DR24" s="1">
        <v>55</v>
      </c>
      <c r="DS24" s="1">
        <v>18</v>
      </c>
      <c r="DT24" s="1">
        <v>12</v>
      </c>
      <c r="DU24" s="1">
        <v>1</v>
      </c>
      <c r="DV24" s="1">
        <v>0</v>
      </c>
      <c r="DW24">
        <f t="shared" si="32"/>
        <v>1571</v>
      </c>
      <c r="DX24" s="19">
        <f t="shared" si="33"/>
        <v>360.0220820664822</v>
      </c>
      <c r="DY24">
        <f t="shared" si="66"/>
        <v>2.3203002509014827E-2</v>
      </c>
      <c r="DZ24">
        <f t="shared" si="34"/>
        <v>0.13492150817326984</v>
      </c>
      <c r="EA24">
        <f t="shared" si="35"/>
        <v>0.400610674186266</v>
      </c>
      <c r="EB24">
        <f t="shared" si="36"/>
        <v>0.29987365192060034</v>
      </c>
      <c r="EC24">
        <f t="shared" si="37"/>
        <v>9.7293373776702163E-2</v>
      </c>
      <c r="ED24">
        <f t="shared" si="38"/>
        <v>3.6955893516582086E-2</v>
      </c>
      <c r="EE24">
        <f t="shared" si="39"/>
        <v>6.9896760202993943E-3</v>
      </c>
      <c r="EF24">
        <f t="shared" si="40"/>
        <v>1.5200927944103689E-4</v>
      </c>
      <c r="EG24">
        <f t="shared" si="41"/>
        <v>2.1061782425726822E-7</v>
      </c>
      <c r="EH24">
        <f t="shared" si="42"/>
        <v>3.2463399108847865E-2</v>
      </c>
      <c r="EI24">
        <f t="shared" si="43"/>
        <v>0.18523233609166137</v>
      </c>
      <c r="EJ24">
        <f t="shared" si="44"/>
        <v>0.4812221514958625</v>
      </c>
      <c r="EK24">
        <f t="shared" si="45"/>
        <v>0.24633991088478677</v>
      </c>
      <c r="EL24">
        <f t="shared" si="46"/>
        <v>3.5009548058561428E-2</v>
      </c>
      <c r="EM24">
        <f t="shared" si="47"/>
        <v>1.1457670273711012E-2</v>
      </c>
      <c r="EN24">
        <f t="shared" si="48"/>
        <v>7.6384468491406746E-3</v>
      </c>
      <c r="EO24">
        <f t="shared" si="49"/>
        <v>6.3653723742838951E-4</v>
      </c>
      <c r="EP24">
        <f t="shared" si="50"/>
        <v>0</v>
      </c>
      <c r="EQ24">
        <f t="shared" si="51"/>
        <v>-1.3919953817482755</v>
      </c>
      <c r="ER24">
        <v>100</v>
      </c>
      <c r="ES24">
        <v>0.53210692575321938</v>
      </c>
    </row>
    <row r="25" spans="1:149" x14ac:dyDescent="0.3">
      <c r="C25">
        <f t="shared" si="13"/>
        <v>0.17778199741692813</v>
      </c>
      <c r="D25">
        <v>23</v>
      </c>
      <c r="E25">
        <v>1973</v>
      </c>
      <c r="F25" s="2">
        <v>6.332134613413138</v>
      </c>
      <c r="G25" s="3">
        <f t="shared" si="67"/>
        <v>562.35572563116125</v>
      </c>
      <c r="H25" s="4">
        <f t="shared" si="52"/>
        <v>185.7320579749022</v>
      </c>
      <c r="I25" s="4">
        <f t="shared" si="53"/>
        <v>76.874166299163747</v>
      </c>
      <c r="J25" s="4">
        <f t="shared" si="54"/>
        <v>91.207497413371115</v>
      </c>
      <c r="K25" s="4">
        <f t="shared" si="55"/>
        <v>43.919814888340412</v>
      </c>
      <c r="L25" s="4">
        <f t="shared" si="56"/>
        <v>11.218513371041917</v>
      </c>
      <c r="M25" s="4">
        <f t="shared" si="57"/>
        <v>3.0969122629301644</v>
      </c>
      <c r="N25" s="4">
        <f t="shared" si="58"/>
        <v>0.38259728400840964</v>
      </c>
      <c r="O25" s="4">
        <f t="shared" si="59"/>
        <v>4.7134546332551807E-3</v>
      </c>
      <c r="P25" s="22">
        <v>0.81063839957757011</v>
      </c>
      <c r="Q25" s="4"/>
      <c r="R25" s="5">
        <f t="shared" si="15"/>
        <v>41.384527617536328</v>
      </c>
      <c r="S25" s="4">
        <f t="shared" si="16"/>
        <v>-0.75346745033308093</v>
      </c>
      <c r="T25" s="5">
        <v>42.624711408534246</v>
      </c>
      <c r="U25" s="5">
        <f t="shared" si="60"/>
        <v>29.698058009984813</v>
      </c>
      <c r="V25" s="5">
        <v>19.481000000000002</v>
      </c>
      <c r="W25" s="4"/>
      <c r="X25" s="4">
        <f t="shared" si="17"/>
        <v>0.46217856639135085</v>
      </c>
      <c r="Y25" s="23">
        <v>0.72469589318316796</v>
      </c>
      <c r="Z25" s="23">
        <v>33.537315501198826</v>
      </c>
      <c r="AA25" s="23">
        <v>30.920358109148495</v>
      </c>
      <c r="AB25" s="23">
        <v>46.138971865995025</v>
      </c>
      <c r="AC25" s="23">
        <v>14.534178746617979</v>
      </c>
      <c r="AD25" s="23">
        <v>2.3351312113679854</v>
      </c>
      <c r="AE25" s="23">
        <v>0.52339147841006572</v>
      </c>
      <c r="AF25" s="23">
        <v>0.12078264886386131</v>
      </c>
      <c r="AG25" s="23">
        <v>0</v>
      </c>
      <c r="AH25" s="23">
        <f t="shared" si="18"/>
        <v>18.302999999999994</v>
      </c>
      <c r="AI25" s="10">
        <v>1.7829508007916874</v>
      </c>
      <c r="AJ25" s="4">
        <f t="shared" si="19"/>
        <v>1.7829508007916874</v>
      </c>
      <c r="AK25" s="23">
        <f t="shared" si="20"/>
        <v>7.0594827245881911E-2</v>
      </c>
      <c r="AL25" s="23">
        <f t="shared" si="1"/>
        <v>3.2669717275455348</v>
      </c>
      <c r="AM25" s="23">
        <f t="shared" si="2"/>
        <v>3.0120459624909612</v>
      </c>
      <c r="AN25" s="23">
        <f t="shared" si="3"/>
        <v>4.4945373346544821</v>
      </c>
      <c r="AO25" s="23">
        <f t="shared" si="4"/>
        <v>1.4158184797646316</v>
      </c>
      <c r="AP25" s="23">
        <f t="shared" si="5"/>
        <v>0.22747222112561949</v>
      </c>
      <c r="AQ25" s="23">
        <f t="shared" si="6"/>
        <v>5.0985153010914719E-2</v>
      </c>
      <c r="AR25" s="23">
        <f t="shared" si="7"/>
        <v>1.1765804540980317E-2</v>
      </c>
      <c r="AS25" s="23">
        <f t="shared" si="8"/>
        <v>0</v>
      </c>
      <c r="AT25" s="23">
        <f t="shared" si="21"/>
        <v>41.384527617536328</v>
      </c>
      <c r="AU25" s="23">
        <f t="shared" si="22"/>
        <v>47.232910452031099</v>
      </c>
      <c r="AV25" s="4">
        <f t="shared" si="69"/>
        <v>0.37106368139083207</v>
      </c>
      <c r="AW25" s="4">
        <f t="shared" si="69"/>
        <v>0.37106368139083207</v>
      </c>
      <c r="AX25" s="4">
        <f t="shared" si="69"/>
        <v>0.37106368139083207</v>
      </c>
      <c r="AY25" s="4">
        <f t="shared" si="70"/>
        <v>0.49515641167153346</v>
      </c>
      <c r="AZ25" s="4">
        <f t="shared" si="70"/>
        <v>0.66074877255687903</v>
      </c>
      <c r="BA25" s="4">
        <f t="shared" si="70"/>
        <v>0.88171925101726745</v>
      </c>
      <c r="BB25" s="4">
        <f t="shared" si="70"/>
        <v>1.1765876380005351</v>
      </c>
      <c r="BC25" s="4">
        <f t="shared" si="70"/>
        <v>1.5700671934955486</v>
      </c>
      <c r="BD25" s="24">
        <f t="shared" si="24"/>
        <v>1.5700671934955486</v>
      </c>
      <c r="BE25" s="4">
        <f t="shared" si="25"/>
        <v>0.34483661468381571</v>
      </c>
      <c r="BF25" s="4">
        <f t="shared" si="26"/>
        <v>4.308254566221454E-2</v>
      </c>
      <c r="BG25" s="4">
        <f t="shared" si="27"/>
        <v>3.7748061335378016E-2</v>
      </c>
      <c r="BH25" s="4">
        <f t="shared" si="28"/>
        <v>0.33927744092402273</v>
      </c>
      <c r="BI25" s="23"/>
      <c r="BJ25" s="23"/>
      <c r="BK25" s="23"/>
      <c r="BL25" s="23"/>
      <c r="BM25" s="23"/>
      <c r="BN25" s="23"/>
      <c r="BO25" s="23"/>
      <c r="BP25" s="23"/>
      <c r="BQ25" s="23"/>
      <c r="BR25" s="13">
        <v>0.77133806999406085</v>
      </c>
      <c r="BS25" s="13">
        <v>35.695811794725152</v>
      </c>
      <c r="BT25" s="13">
        <v>32.910424319746596</v>
      </c>
      <c r="BU25" s="13">
        <v>49.108523789621877</v>
      </c>
      <c r="BV25" s="13">
        <v>15.469613514880889</v>
      </c>
      <c r="BW25" s="13">
        <v>2.485422669980863</v>
      </c>
      <c r="BX25" s="13">
        <v>0.55707749499571069</v>
      </c>
      <c r="BY25" s="13">
        <v>0.12855634499901014</v>
      </c>
      <c r="BZ25" s="13">
        <v>0</v>
      </c>
      <c r="CA25" s="4"/>
      <c r="CB25" s="4"/>
      <c r="CC25" s="4"/>
      <c r="CD25" s="4"/>
      <c r="CE25" s="4"/>
      <c r="CF25" s="4"/>
      <c r="CG25" s="4"/>
      <c r="CH25" s="4"/>
      <c r="CI25" s="4"/>
      <c r="CJ25" s="23"/>
      <c r="CK25" s="23"/>
      <c r="CL25" s="23"/>
      <c r="CM25" s="23"/>
      <c r="CN25" s="23"/>
      <c r="CO25" s="23"/>
      <c r="CP25" s="23"/>
      <c r="CQ25" s="23"/>
      <c r="CR25" s="23"/>
      <c r="CS25" s="31">
        <f t="shared" si="29"/>
        <v>1973</v>
      </c>
      <c r="CT25" s="1">
        <v>2.6197453885975358E-2</v>
      </c>
      <c r="CU25" s="1">
        <v>0.34768661313711668</v>
      </c>
      <c r="CV25" s="1">
        <v>0.8</v>
      </c>
      <c r="CW25" s="1">
        <v>1</v>
      </c>
      <c r="CX25">
        <f t="shared" si="61"/>
        <v>1</v>
      </c>
      <c r="CY25">
        <f t="shared" si="62"/>
        <v>1</v>
      </c>
      <c r="CZ25">
        <f t="shared" si="63"/>
        <v>1</v>
      </c>
      <c r="DA25">
        <f t="shared" si="64"/>
        <v>1</v>
      </c>
      <c r="DB25">
        <f t="shared" si="65"/>
        <v>1</v>
      </c>
      <c r="DC25" s="11">
        <v>6.3299999999999995E-2</v>
      </c>
      <c r="DD25" s="11">
        <v>0.10349999999999999</v>
      </c>
      <c r="DE25" s="11">
        <v>0.13469999999999999</v>
      </c>
      <c r="DF25" s="11">
        <v>0.1598</v>
      </c>
      <c r="DG25" s="11">
        <v>0.18360000000000001</v>
      </c>
      <c r="DH25" s="11">
        <v>0.19239999999999999</v>
      </c>
      <c r="DI25" s="11">
        <v>0.1903</v>
      </c>
      <c r="DJ25" s="11">
        <v>0.254</v>
      </c>
      <c r="DK25" s="11">
        <v>0.15709999999999999</v>
      </c>
      <c r="DL25" s="10">
        <f t="shared" si="31"/>
        <v>0.142065625</v>
      </c>
      <c r="DN25" s="1">
        <v>18</v>
      </c>
      <c r="DO25" s="1">
        <v>833</v>
      </c>
      <c r="DP25" s="1">
        <v>768</v>
      </c>
      <c r="DQ25" s="1">
        <v>1146</v>
      </c>
      <c r="DR25" s="1">
        <v>361</v>
      </c>
      <c r="DS25" s="1">
        <v>58</v>
      </c>
      <c r="DT25" s="1">
        <v>13</v>
      </c>
      <c r="DU25" s="1">
        <v>3</v>
      </c>
      <c r="DV25" s="1">
        <v>0</v>
      </c>
      <c r="DW25">
        <f t="shared" si="32"/>
        <v>3200</v>
      </c>
      <c r="DX25" s="19">
        <f t="shared" si="33"/>
        <v>290.63822009167313</v>
      </c>
      <c r="DY25">
        <f t="shared" si="66"/>
        <v>5.0689438522881464E-2</v>
      </c>
      <c r="DZ25">
        <f t="shared" si="34"/>
        <v>0.22218877533695194</v>
      </c>
      <c r="EA25">
        <f t="shared" si="35"/>
        <v>0.21160098289871468</v>
      </c>
      <c r="EB25">
        <f t="shared" si="36"/>
        <v>0.31381797405930451</v>
      </c>
      <c r="EC25">
        <f t="shared" si="37"/>
        <v>0.1511150697058605</v>
      </c>
      <c r="ED25">
        <f t="shared" si="38"/>
        <v>3.8599580493932875E-2</v>
      </c>
      <c r="EE25">
        <f t="shared" si="39"/>
        <v>1.0655557489835082E-2</v>
      </c>
      <c r="EF25">
        <f t="shared" si="40"/>
        <v>1.316403891710219E-3</v>
      </c>
      <c r="EG25">
        <f t="shared" si="41"/>
        <v>1.621760080889727E-5</v>
      </c>
      <c r="EH25">
        <f t="shared" si="42"/>
        <v>5.6249999999999998E-3</v>
      </c>
      <c r="EI25">
        <f t="shared" si="43"/>
        <v>0.2603125</v>
      </c>
      <c r="EJ25">
        <f t="shared" si="44"/>
        <v>0.24</v>
      </c>
      <c r="EK25">
        <f t="shared" si="45"/>
        <v>0.35812500000000003</v>
      </c>
      <c r="EL25">
        <f t="shared" si="46"/>
        <v>0.1128125</v>
      </c>
      <c r="EM25">
        <f t="shared" si="47"/>
        <v>1.8124999999999999E-2</v>
      </c>
      <c r="EN25">
        <f t="shared" si="48"/>
        <v>4.0625000000000001E-3</v>
      </c>
      <c r="EO25">
        <f t="shared" si="49"/>
        <v>9.3749999999999997E-4</v>
      </c>
      <c r="EP25">
        <f t="shared" si="50"/>
        <v>0</v>
      </c>
      <c r="EQ25">
        <f t="shared" si="51"/>
        <v>-1.4923785679565773</v>
      </c>
      <c r="ER25">
        <v>100</v>
      </c>
      <c r="ES25">
        <v>0.36448055918517736</v>
      </c>
    </row>
    <row r="26" spans="1:149" x14ac:dyDescent="0.3">
      <c r="C26">
        <f t="shared" si="13"/>
        <v>8.6832899608101904E-3</v>
      </c>
      <c r="D26">
        <v>24</v>
      </c>
      <c r="E26">
        <v>1974</v>
      </c>
      <c r="F26" s="2">
        <v>7.1012257854426979</v>
      </c>
      <c r="G26" s="3">
        <f t="shared" si="67"/>
        <v>1213.4535969822016</v>
      </c>
      <c r="H26" s="4">
        <f t="shared" si="52"/>
        <v>410.76655266916003</v>
      </c>
      <c r="I26" s="4">
        <f t="shared" si="53"/>
        <v>113.66266539198001</v>
      </c>
      <c r="J26" s="4">
        <f t="shared" si="54"/>
        <v>34.62825746482028</v>
      </c>
      <c r="K26" s="4">
        <f t="shared" si="55"/>
        <v>31.421031871470564</v>
      </c>
      <c r="L26" s="4">
        <f t="shared" si="56"/>
        <v>13.22978103534307</v>
      </c>
      <c r="M26" s="4">
        <f t="shared" si="57"/>
        <v>2.8250980814853852</v>
      </c>
      <c r="N26" s="4">
        <f t="shared" si="58"/>
        <v>0.61406875608953726</v>
      </c>
      <c r="O26" s="4">
        <f t="shared" si="59"/>
        <v>5.5144630194365066E-2</v>
      </c>
      <c r="P26" s="22">
        <v>0.76289957534302832</v>
      </c>
      <c r="Q26" s="4"/>
      <c r="R26" s="5">
        <f t="shared" si="15"/>
        <v>39.066114249373207</v>
      </c>
      <c r="S26" s="4">
        <f t="shared" si="16"/>
        <v>-0.42500959739602745</v>
      </c>
      <c r="T26" s="5">
        <v>43.139438117808794</v>
      </c>
      <c r="U26" s="5">
        <f t="shared" si="60"/>
        <v>28.034335390382964</v>
      </c>
      <c r="V26" s="5">
        <v>25.54</v>
      </c>
      <c r="W26" s="4"/>
      <c r="X26" s="4">
        <f t="shared" si="17"/>
        <v>0.43983815369937279</v>
      </c>
      <c r="Y26" s="23">
        <v>11.363729057290451</v>
      </c>
      <c r="Z26" s="23">
        <v>62.005301438747665</v>
      </c>
      <c r="AA26" s="23">
        <v>35.237985517102501</v>
      </c>
      <c r="AB26" s="23">
        <v>20.433861424118611</v>
      </c>
      <c r="AC26" s="23">
        <v>13.136053772647678</v>
      </c>
      <c r="AD26" s="23">
        <v>3.2840134431619195</v>
      </c>
      <c r="AE26" s="23">
        <v>0.31276318506303996</v>
      </c>
      <c r="AF26" s="23">
        <v>5.2127197510506658E-2</v>
      </c>
      <c r="AG26" s="23">
        <v>2.6063598755253329E-2</v>
      </c>
      <c r="AH26" s="23">
        <f t="shared" si="18"/>
        <v>16.334</v>
      </c>
      <c r="AI26" s="10">
        <v>1.929727006432459</v>
      </c>
      <c r="AJ26" s="4">
        <f t="shared" si="19"/>
        <v>1.929727006432459</v>
      </c>
      <c r="AK26" s="23">
        <f t="shared" si="20"/>
        <v>1.3425306021571355</v>
      </c>
      <c r="AL26" s="23">
        <f t="shared" si="1"/>
        <v>7.3254135379170302</v>
      </c>
      <c r="AM26" s="23">
        <f t="shared" si="2"/>
        <v>4.1630765461386403</v>
      </c>
      <c r="AN26" s="23">
        <f t="shared" si="3"/>
        <v>2.4140917249798033</v>
      </c>
      <c r="AO26" s="23">
        <f t="shared" si="4"/>
        <v>1.5519161089155877</v>
      </c>
      <c r="AP26" s="23">
        <f t="shared" si="5"/>
        <v>0.38797902722889693</v>
      </c>
      <c r="AQ26" s="23">
        <f t="shared" si="6"/>
        <v>3.6950383545609235E-2</v>
      </c>
      <c r="AR26" s="23">
        <f t="shared" si="7"/>
        <v>6.1583972576015394E-3</v>
      </c>
      <c r="AS26" s="23">
        <f t="shared" si="8"/>
        <v>3.0791986288007697E-3</v>
      </c>
      <c r="AT26" s="23">
        <f t="shared" si="21"/>
        <v>39.066114249373207</v>
      </c>
      <c r="AU26" s="23">
        <f t="shared" si="22"/>
        <v>53.853961054615539</v>
      </c>
      <c r="AV26" s="4">
        <f t="shared" si="69"/>
        <v>0.37106368139083207</v>
      </c>
      <c r="AW26" s="4">
        <f t="shared" si="69"/>
        <v>0.37106368139083207</v>
      </c>
      <c r="AX26" s="4">
        <f t="shared" si="69"/>
        <v>0.37106368139083207</v>
      </c>
      <c r="AY26" s="4">
        <f t="shared" si="70"/>
        <v>0.49515641167153346</v>
      </c>
      <c r="AZ26" s="4">
        <f t="shared" si="70"/>
        <v>0.66074877255687903</v>
      </c>
      <c r="BA26" s="4">
        <f t="shared" si="70"/>
        <v>0.88171925101726745</v>
      </c>
      <c r="BB26" s="4">
        <f t="shared" si="70"/>
        <v>1.1765876380005351</v>
      </c>
      <c r="BC26" s="4">
        <f t="shared" si="70"/>
        <v>1.5700671934955486</v>
      </c>
      <c r="BD26" s="24">
        <f t="shared" si="24"/>
        <v>1.5700671934955486</v>
      </c>
      <c r="BE26" s="4">
        <f t="shared" si="25"/>
        <v>0.33374249578439902</v>
      </c>
      <c r="BF26" s="4">
        <f t="shared" si="26"/>
        <v>4.939644096964213E-2</v>
      </c>
      <c r="BG26" s="4">
        <f t="shared" si="27"/>
        <v>3.5832591858478945E-2</v>
      </c>
      <c r="BH26" s="4">
        <f t="shared" si="28"/>
        <v>0.31957466450916916</v>
      </c>
      <c r="BI26" s="23"/>
      <c r="BJ26" s="23"/>
      <c r="BK26" s="23"/>
      <c r="BL26" s="23"/>
      <c r="BM26" s="23"/>
      <c r="BN26" s="23"/>
      <c r="BO26" s="23"/>
      <c r="BP26" s="23"/>
      <c r="BQ26" s="23"/>
      <c r="BR26" s="13">
        <v>17.768436397893851</v>
      </c>
      <c r="BS26" s="13">
        <v>96.952087593095101</v>
      </c>
      <c r="BT26" s="13">
        <v>55.09845415126717</v>
      </c>
      <c r="BU26" s="13">
        <v>31.950582880616466</v>
      </c>
      <c r="BV26" s="13">
        <v>20.539660423253441</v>
      </c>
      <c r="BW26" s="13">
        <v>5.1349151058133602</v>
      </c>
      <c r="BX26" s="13">
        <v>0.48903953388698673</v>
      </c>
      <c r="BY26" s="13">
        <v>8.1506588981164446E-2</v>
      </c>
      <c r="BZ26" s="13">
        <v>4.0753294490582223E-2</v>
      </c>
      <c r="CA26" s="4"/>
      <c r="CB26" s="4"/>
      <c r="CC26" s="4"/>
      <c r="CD26" s="4"/>
      <c r="CE26" s="4"/>
      <c r="CF26" s="4"/>
      <c r="CG26" s="4"/>
      <c r="CH26" s="4"/>
      <c r="CI26" s="4"/>
      <c r="CJ26" s="23"/>
      <c r="CK26" s="23"/>
      <c r="CL26" s="23"/>
      <c r="CM26" s="23"/>
      <c r="CN26" s="23"/>
      <c r="CO26" s="23"/>
      <c r="CP26" s="23"/>
      <c r="CQ26" s="23"/>
      <c r="CR26" s="23"/>
      <c r="CS26" s="31">
        <f t="shared" si="29"/>
        <v>1974</v>
      </c>
      <c r="CT26" s="1">
        <v>2.6197453885975358E-2</v>
      </c>
      <c r="CU26" s="1">
        <v>0.34768661313711668</v>
      </c>
      <c r="CV26" s="1">
        <v>0.8</v>
      </c>
      <c r="CW26" s="1">
        <v>1</v>
      </c>
      <c r="CX26">
        <f t="shared" si="61"/>
        <v>1</v>
      </c>
      <c r="CY26">
        <f t="shared" si="62"/>
        <v>1</v>
      </c>
      <c r="CZ26">
        <f t="shared" si="63"/>
        <v>1</v>
      </c>
      <c r="DA26">
        <f t="shared" si="64"/>
        <v>1</v>
      </c>
      <c r="DB26">
        <f t="shared" si="65"/>
        <v>1</v>
      </c>
      <c r="DC26" s="11">
        <v>6.1699999999999998E-2</v>
      </c>
      <c r="DD26" s="11">
        <v>8.5400000000000004E-2</v>
      </c>
      <c r="DE26" s="11">
        <v>0.1235</v>
      </c>
      <c r="DF26" s="11">
        <v>0.14899999999999999</v>
      </c>
      <c r="DG26" s="11">
        <v>0.17180000000000001</v>
      </c>
      <c r="DH26" s="11">
        <v>0.18559999999999999</v>
      </c>
      <c r="DI26" s="11">
        <v>0.18360000000000001</v>
      </c>
      <c r="DJ26" s="11">
        <v>0.2175</v>
      </c>
      <c r="DK26" s="11">
        <v>0.23100000000000001</v>
      </c>
      <c r="DL26" s="10">
        <f t="shared" si="31"/>
        <v>0.11199031451036455</v>
      </c>
      <c r="DN26" s="1">
        <v>436</v>
      </c>
      <c r="DO26" s="1">
        <v>2379</v>
      </c>
      <c r="DP26" s="1">
        <v>1352</v>
      </c>
      <c r="DQ26" s="1">
        <v>784</v>
      </c>
      <c r="DR26" s="1">
        <v>504</v>
      </c>
      <c r="DS26" s="1">
        <v>126</v>
      </c>
      <c r="DT26" s="1">
        <v>12</v>
      </c>
      <c r="DU26" s="1">
        <v>2</v>
      </c>
      <c r="DV26" s="1">
        <v>1</v>
      </c>
      <c r="DW26">
        <f t="shared" si="32"/>
        <v>5596</v>
      </c>
      <c r="DX26" s="19">
        <f t="shared" si="33"/>
        <v>348.31094029024877</v>
      </c>
      <c r="DY26">
        <f t="shared" si="66"/>
        <v>9.1267287278492995E-2</v>
      </c>
      <c r="DZ26">
        <f t="shared" si="34"/>
        <v>0.41003027745421528</v>
      </c>
      <c r="EA26">
        <f t="shared" si="35"/>
        <v>0.26106022463093348</v>
      </c>
      <c r="EB26">
        <f t="shared" si="36"/>
        <v>9.9417656637383903E-2</v>
      </c>
      <c r="EC26">
        <f t="shared" si="37"/>
        <v>9.0209718492583968E-2</v>
      </c>
      <c r="ED26">
        <f t="shared" si="38"/>
        <v>3.7982674400978175E-2</v>
      </c>
      <c r="EE26">
        <f t="shared" si="39"/>
        <v>8.1108508367013134E-3</v>
      </c>
      <c r="EF26">
        <f t="shared" si="40"/>
        <v>1.762990147762317E-3</v>
      </c>
      <c r="EG26">
        <f t="shared" si="41"/>
        <v>1.5832012094829076E-4</v>
      </c>
      <c r="EH26">
        <f t="shared" si="42"/>
        <v>7.7912794853466763E-2</v>
      </c>
      <c r="EI26">
        <f t="shared" si="43"/>
        <v>0.42512508934953536</v>
      </c>
      <c r="EJ26">
        <f t="shared" si="44"/>
        <v>0.24160114367405289</v>
      </c>
      <c r="EK26">
        <f t="shared" si="45"/>
        <v>0.1401000714796283</v>
      </c>
      <c r="EL26">
        <f t="shared" si="46"/>
        <v>9.0064331665475339E-2</v>
      </c>
      <c r="EM26">
        <f t="shared" si="47"/>
        <v>2.2516082916368835E-2</v>
      </c>
      <c r="EN26">
        <f t="shared" si="48"/>
        <v>2.1443888491779841E-3</v>
      </c>
      <c r="EO26">
        <f t="shared" si="49"/>
        <v>3.5739814152966406E-4</v>
      </c>
      <c r="EP26">
        <f t="shared" si="50"/>
        <v>1.7869907076483203E-4</v>
      </c>
      <c r="EQ26">
        <f t="shared" si="51"/>
        <v>-1.5171530350754852</v>
      </c>
      <c r="ER26">
        <v>100</v>
      </c>
      <c r="ES26">
        <v>0.22109179129411854</v>
      </c>
    </row>
    <row r="27" spans="1:149" x14ac:dyDescent="0.3">
      <c r="C27">
        <f t="shared" si="13"/>
        <v>6.4182972755324758E-4</v>
      </c>
      <c r="D27">
        <v>25</v>
      </c>
      <c r="E27">
        <v>1975</v>
      </c>
      <c r="F27" s="2">
        <v>6.2832468925301388</v>
      </c>
      <c r="G27" s="3">
        <f t="shared" si="67"/>
        <v>535.5246349816033</v>
      </c>
      <c r="H27" s="4">
        <f t="shared" si="52"/>
        <v>902.57972270363973</v>
      </c>
      <c r="I27" s="4">
        <f t="shared" si="53"/>
        <v>257.66235512437123</v>
      </c>
      <c r="J27" s="4">
        <f t="shared" si="54"/>
        <v>53.312280806501263</v>
      </c>
      <c r="K27" s="4">
        <f t="shared" si="55"/>
        <v>12.638247421113693</v>
      </c>
      <c r="L27" s="4">
        <f t="shared" si="56"/>
        <v>10.106763153828579</v>
      </c>
      <c r="M27" s="4">
        <f t="shared" si="57"/>
        <v>3.5952714235564249</v>
      </c>
      <c r="N27" s="4">
        <f t="shared" si="58"/>
        <v>0.61307817485675453</v>
      </c>
      <c r="O27" s="4">
        <f t="shared" si="59"/>
        <v>9.870302661072014E-2</v>
      </c>
      <c r="P27" s="22">
        <v>0.79817918756157213</v>
      </c>
      <c r="Q27" s="4"/>
      <c r="R27" s="5">
        <f t="shared" si="15"/>
        <v>70.246907386289209</v>
      </c>
      <c r="S27" s="4">
        <f t="shared" si="16"/>
        <v>-0.3571597837676076</v>
      </c>
      <c r="T27" s="5">
        <v>60.998382481709093</v>
      </c>
      <c r="U27" s="5">
        <f t="shared" si="60"/>
        <v>50.410065081811879</v>
      </c>
      <c r="V27" s="5">
        <v>49.149000000000001</v>
      </c>
      <c r="W27" s="4"/>
      <c r="X27" s="4">
        <f t="shared" si="17"/>
        <v>0.38281397381180077</v>
      </c>
      <c r="Y27" s="23">
        <v>1.2207826700108662</v>
      </c>
      <c r="Z27" s="23">
        <v>110.78602730348609</v>
      </c>
      <c r="AA27" s="23">
        <v>42.462890538544634</v>
      </c>
      <c r="AB27" s="23">
        <v>25.534704181060622</v>
      </c>
      <c r="AC27" s="23">
        <v>17.558924070322959</v>
      </c>
      <c r="AD27" s="23">
        <v>10.661501984761564</v>
      </c>
      <c r="AE27" s="23">
        <v>2.665375496190391</v>
      </c>
      <c r="AF27" s="23">
        <v>0.34588842316974544</v>
      </c>
      <c r="AG27" s="23">
        <v>2.0346377833514437E-2</v>
      </c>
      <c r="AH27" s="23">
        <f t="shared" si="18"/>
        <v>26.107999999999986</v>
      </c>
      <c r="AI27" s="10">
        <v>2.0466801583374568</v>
      </c>
      <c r="AJ27" s="4">
        <f t="shared" si="19"/>
        <v>2.0466801583374568</v>
      </c>
      <c r="AK27" s="23">
        <f t="shared" si="20"/>
        <v>9.5700615457080709E-2</v>
      </c>
      <c r="AL27" s="23">
        <f t="shared" si="1"/>
        <v>8.6848308527300748</v>
      </c>
      <c r="AM27" s="23">
        <f t="shared" si="2"/>
        <v>3.3287864076487907</v>
      </c>
      <c r="AN27" s="23">
        <f t="shared" si="3"/>
        <v>2.0017378733106046</v>
      </c>
      <c r="AO27" s="23">
        <f t="shared" si="4"/>
        <v>1.3764938523243442</v>
      </c>
      <c r="AP27" s="23">
        <f t="shared" si="5"/>
        <v>0.83578537499183814</v>
      </c>
      <c r="AQ27" s="23">
        <f t="shared" si="6"/>
        <v>0.20894634374795953</v>
      </c>
      <c r="AR27" s="23">
        <f t="shared" si="7"/>
        <v>2.7115174379506203E-2</v>
      </c>
      <c r="AS27" s="23">
        <f t="shared" si="8"/>
        <v>1.5950102576180118E-3</v>
      </c>
      <c r="AT27" s="23">
        <f t="shared" si="21"/>
        <v>70.246907386289209</v>
      </c>
      <c r="AU27" s="23">
        <f t="shared" si="22"/>
        <v>96.644281302979195</v>
      </c>
      <c r="AV27" s="4">
        <f t="shared" si="69"/>
        <v>0.37106368139083207</v>
      </c>
      <c r="AW27" s="4">
        <f t="shared" si="69"/>
        <v>0.37106368139083207</v>
      </c>
      <c r="AX27" s="4">
        <f t="shared" si="69"/>
        <v>0.37106368139083207</v>
      </c>
      <c r="AY27" s="4">
        <f t="shared" si="70"/>
        <v>0.49515641167153346</v>
      </c>
      <c r="AZ27" s="4">
        <f t="shared" si="70"/>
        <v>0.66074877255687903</v>
      </c>
      <c r="BA27" s="4">
        <f t="shared" si="70"/>
        <v>0.88171925101726745</v>
      </c>
      <c r="BB27" s="4">
        <f t="shared" si="70"/>
        <v>1.1765876380005351</v>
      </c>
      <c r="BC27" s="4">
        <f t="shared" si="70"/>
        <v>1.5700671934955486</v>
      </c>
      <c r="BD27" s="24">
        <f t="shared" si="24"/>
        <v>1.5700671934955486</v>
      </c>
      <c r="BE27" s="4">
        <f t="shared" si="25"/>
        <v>0.3257436953879691</v>
      </c>
      <c r="BF27" s="4">
        <f t="shared" si="26"/>
        <v>2.9135519761499532E-2</v>
      </c>
      <c r="BG27" s="4">
        <f t="shared" si="27"/>
        <v>2.1177457483709024E-2</v>
      </c>
      <c r="BH27" s="4">
        <f t="shared" si="28"/>
        <v>0.31758022465637992</v>
      </c>
      <c r="BI27" s="23"/>
      <c r="BJ27" s="23"/>
      <c r="BK27" s="23"/>
      <c r="BL27" s="23"/>
      <c r="BM27" s="23"/>
      <c r="BN27" s="23"/>
      <c r="BO27" s="23"/>
      <c r="BP27" s="23"/>
      <c r="BQ27" s="23"/>
      <c r="BR27" s="13">
        <v>2.2981556399710459</v>
      </c>
      <c r="BS27" s="13">
        <v>208.55762432737245</v>
      </c>
      <c r="BT27" s="13">
        <v>79.937513676992879</v>
      </c>
      <c r="BU27" s="13">
        <v>48.06975546939438</v>
      </c>
      <c r="BV27" s="13">
        <v>33.055138621583545</v>
      </c>
      <c r="BW27" s="13">
        <v>20.070559255747135</v>
      </c>
      <c r="BX27" s="13">
        <v>5.0176398139367837</v>
      </c>
      <c r="BY27" s="13">
        <v>0.6511440979917964</v>
      </c>
      <c r="BZ27" s="13">
        <v>3.830259399951743E-2</v>
      </c>
      <c r="CA27" s="4"/>
      <c r="CB27" s="4"/>
      <c r="CC27" s="4"/>
      <c r="CD27" s="4"/>
      <c r="CE27" s="4"/>
      <c r="CF27" s="4"/>
      <c r="CG27" s="4"/>
      <c r="CH27" s="4"/>
      <c r="CI27" s="4"/>
      <c r="CJ27" s="23"/>
      <c r="CK27" s="23"/>
      <c r="CL27" s="23"/>
      <c r="CM27" s="23"/>
      <c r="CN27" s="23"/>
      <c r="CO27" s="23"/>
      <c r="CP27" s="23"/>
      <c r="CQ27" s="23"/>
      <c r="CR27" s="23"/>
      <c r="CS27" s="31">
        <f t="shared" si="29"/>
        <v>1975</v>
      </c>
      <c r="CT27" s="1">
        <v>2.6197453885975358E-2</v>
      </c>
      <c r="CU27" s="1">
        <v>0.34768661313711668</v>
      </c>
      <c r="CV27" s="1">
        <v>0.8</v>
      </c>
      <c r="CW27" s="1">
        <v>1</v>
      </c>
      <c r="CX27">
        <f t="shared" si="61"/>
        <v>1</v>
      </c>
      <c r="CY27">
        <f t="shared" si="62"/>
        <v>1</v>
      </c>
      <c r="CZ27">
        <f t="shared" si="63"/>
        <v>1</v>
      </c>
      <c r="DA27">
        <f t="shared" si="64"/>
        <v>1</v>
      </c>
      <c r="DB27">
        <f t="shared" si="65"/>
        <v>1</v>
      </c>
      <c r="DC27" s="11">
        <v>5.4699999999999999E-2</v>
      </c>
      <c r="DD27" s="11">
        <v>9.1899999999999996E-2</v>
      </c>
      <c r="DE27" s="11">
        <v>0.128</v>
      </c>
      <c r="DF27" s="11">
        <v>0.1653</v>
      </c>
      <c r="DG27" s="11">
        <v>0.1893</v>
      </c>
      <c r="DH27" s="11">
        <v>0.2069</v>
      </c>
      <c r="DI27" s="11">
        <v>0.22009999999999999</v>
      </c>
      <c r="DJ27" s="11">
        <v>0.24060000000000001</v>
      </c>
      <c r="DK27" s="11">
        <v>0.20699999999999999</v>
      </c>
      <c r="DL27" s="10">
        <f t="shared" si="31"/>
        <v>0.12358439757295583</v>
      </c>
      <c r="DN27" s="1">
        <v>60</v>
      </c>
      <c r="DO27" s="1">
        <v>5445</v>
      </c>
      <c r="DP27" s="1">
        <v>2087</v>
      </c>
      <c r="DQ27" s="1">
        <v>1255</v>
      </c>
      <c r="DR27" s="1">
        <v>863</v>
      </c>
      <c r="DS27" s="1">
        <v>524</v>
      </c>
      <c r="DT27" s="1">
        <v>131</v>
      </c>
      <c r="DU27" s="1">
        <v>17</v>
      </c>
      <c r="DV27" s="1">
        <v>1</v>
      </c>
      <c r="DW27">
        <f t="shared" si="32"/>
        <v>10383</v>
      </c>
      <c r="DX27" s="19">
        <f t="shared" si="33"/>
        <v>614.33849690876502</v>
      </c>
      <c r="DY27">
        <f t="shared" si="66"/>
        <v>2.2836566486273496E-2</v>
      </c>
      <c r="DZ27">
        <f t="shared" si="34"/>
        <v>0.51081755164640263</v>
      </c>
      <c r="EA27">
        <f t="shared" si="35"/>
        <v>0.33553144583434624</v>
      </c>
      <c r="EB27">
        <f t="shared" si="36"/>
        <v>8.6779977284117085E-2</v>
      </c>
      <c r="EC27">
        <f t="shared" si="37"/>
        <v>2.0572123486818684E-2</v>
      </c>
      <c r="ED27">
        <f t="shared" si="38"/>
        <v>1.645145665571E-2</v>
      </c>
      <c r="EE27">
        <f t="shared" si="39"/>
        <v>5.8522645766904561E-3</v>
      </c>
      <c r="EF27">
        <f t="shared" si="40"/>
        <v>9.979484892150628E-4</v>
      </c>
      <c r="EG27">
        <f t="shared" si="41"/>
        <v>1.6066554042661347E-4</v>
      </c>
      <c r="EH27">
        <f t="shared" si="42"/>
        <v>5.778676683039584E-3</v>
      </c>
      <c r="EI27">
        <f t="shared" si="43"/>
        <v>0.5244149089858422</v>
      </c>
      <c r="EJ27">
        <f t="shared" si="44"/>
        <v>0.20100163729172685</v>
      </c>
      <c r="EK27">
        <f t="shared" si="45"/>
        <v>0.12087065395357796</v>
      </c>
      <c r="EL27">
        <f t="shared" si="46"/>
        <v>8.3116632957719344E-2</v>
      </c>
      <c r="EM27">
        <f t="shared" si="47"/>
        <v>5.0467109698545697E-2</v>
      </c>
      <c r="EN27">
        <f t="shared" si="48"/>
        <v>1.2616777424636424E-2</v>
      </c>
      <c r="EO27">
        <f t="shared" si="49"/>
        <v>1.6372917268612155E-3</v>
      </c>
      <c r="EP27">
        <f t="shared" si="50"/>
        <v>9.6311278050659733E-5</v>
      </c>
      <c r="EQ27">
        <f t="shared" si="51"/>
        <v>-1.4947269267414662</v>
      </c>
      <c r="ER27">
        <v>100</v>
      </c>
      <c r="ES27">
        <v>0.17241288479761299</v>
      </c>
    </row>
    <row r="28" spans="1:149" x14ac:dyDescent="0.3">
      <c r="C28">
        <f t="shared" si="13"/>
        <v>3.3576684543641519E-4</v>
      </c>
      <c r="D28">
        <v>26</v>
      </c>
      <c r="E28">
        <v>1976</v>
      </c>
      <c r="F28" s="2">
        <v>6.103204324392717</v>
      </c>
      <c r="G28" s="3">
        <f t="shared" si="67"/>
        <v>447.28873442345423</v>
      </c>
      <c r="H28" s="4">
        <f t="shared" si="52"/>
        <v>393.95182836307748</v>
      </c>
      <c r="I28" s="4">
        <f t="shared" si="53"/>
        <v>575.97784195676763</v>
      </c>
      <c r="J28" s="4">
        <f t="shared" si="54"/>
        <v>129.83248627388551</v>
      </c>
      <c r="K28" s="4">
        <f t="shared" si="55"/>
        <v>21.515852399001378</v>
      </c>
      <c r="L28" s="4">
        <f t="shared" si="56"/>
        <v>4.4690623441197914</v>
      </c>
      <c r="M28" s="4">
        <f t="shared" si="57"/>
        <v>2.996010818001563</v>
      </c>
      <c r="N28" s="4">
        <f t="shared" si="58"/>
        <v>0.84226426216957839</v>
      </c>
      <c r="O28" s="4">
        <f t="shared" si="59"/>
        <v>0.10491435096068703</v>
      </c>
      <c r="P28" s="22">
        <v>0.8531491425008435</v>
      </c>
      <c r="Q28" s="4"/>
      <c r="R28" s="5">
        <f t="shared" si="15"/>
        <v>93.287823982784431</v>
      </c>
      <c r="S28" s="4">
        <f t="shared" si="16"/>
        <v>-0.3501493669945388</v>
      </c>
      <c r="T28" s="5">
        <v>62.349911012281545</v>
      </c>
      <c r="U28" s="5">
        <f t="shared" si="60"/>
        <v>66.944516894570597</v>
      </c>
      <c r="V28" s="5">
        <v>65.728999999999999</v>
      </c>
      <c r="W28" s="4"/>
      <c r="X28" s="4">
        <f t="shared" si="17"/>
        <v>0.4260668842538094</v>
      </c>
      <c r="Y28" s="23">
        <v>0.49544516857426579</v>
      </c>
      <c r="Z28" s="23">
        <v>21.564902863732513</v>
      </c>
      <c r="AA28" s="23">
        <v>126.7557349705003</v>
      </c>
      <c r="AB28" s="23">
        <v>59.270887798384528</v>
      </c>
      <c r="AC28" s="23">
        <v>36.558638228480028</v>
      </c>
      <c r="AD28" s="23">
        <v>21.721359232755965</v>
      </c>
      <c r="AE28" s="23">
        <v>7.4056014671100785</v>
      </c>
      <c r="AF28" s="23">
        <v>1.1473467061719838</v>
      </c>
      <c r="AG28" s="23">
        <v>2.6076061503908725E-2</v>
      </c>
      <c r="AH28" s="23">
        <f t="shared" si="18"/>
        <v>38.824999999999996</v>
      </c>
      <c r="AI28" s="10">
        <v>2.1636333102424543</v>
      </c>
      <c r="AJ28" s="4">
        <f t="shared" si="19"/>
        <v>2.1636333102424543</v>
      </c>
      <c r="AK28" s="23">
        <f t="shared" si="20"/>
        <v>2.7610088090816984E-2</v>
      </c>
      <c r="AL28" s="23">
        <f t="shared" si="1"/>
        <v>1.2017654132160867</v>
      </c>
      <c r="AM28" s="23">
        <f t="shared" si="2"/>
        <v>7.0638230636558612</v>
      </c>
      <c r="AN28" s="23">
        <f t="shared" si="3"/>
        <v>3.3030384331803684</v>
      </c>
      <c r="AO28" s="23">
        <f t="shared" si="4"/>
        <v>2.0373338685960745</v>
      </c>
      <c r="AP28" s="23">
        <f t="shared" si="5"/>
        <v>1.2104843884026604</v>
      </c>
      <c r="AQ28" s="23">
        <f t="shared" si="6"/>
        <v>0.41269815883115912</v>
      </c>
      <c r="AR28" s="23">
        <f t="shared" si="7"/>
        <v>6.3939151368207756E-2</v>
      </c>
      <c r="AS28" s="23">
        <f t="shared" si="8"/>
        <v>1.4531625310956308E-3</v>
      </c>
      <c r="AT28" s="23">
        <f t="shared" si="21"/>
        <v>93.287823982784431</v>
      </c>
      <c r="AU28" s="23">
        <f t="shared" si="22"/>
        <v>132.58262288553712</v>
      </c>
      <c r="AV28" s="4">
        <f t="shared" si="69"/>
        <v>0.37106368139083207</v>
      </c>
      <c r="AW28" s="4">
        <f t="shared" si="69"/>
        <v>0.37106368139083207</v>
      </c>
      <c r="AX28" s="4">
        <f t="shared" si="69"/>
        <v>0.37106368139083207</v>
      </c>
      <c r="AY28" s="4">
        <f t="shared" si="70"/>
        <v>0.49515641167153346</v>
      </c>
      <c r="AZ28" s="4">
        <f t="shared" si="70"/>
        <v>0.66074877255687903</v>
      </c>
      <c r="BA28" s="4">
        <f t="shared" si="70"/>
        <v>0.88171925101726745</v>
      </c>
      <c r="BB28" s="4">
        <f t="shared" si="70"/>
        <v>1.1765876380005351</v>
      </c>
      <c r="BC28" s="4">
        <f t="shared" si="70"/>
        <v>1.5700671934955486</v>
      </c>
      <c r="BD28" s="24">
        <f t="shared" si="24"/>
        <v>1.5700671934955486</v>
      </c>
      <c r="BE28" s="4">
        <f t="shared" si="25"/>
        <v>0.34003894821192926</v>
      </c>
      <c r="BF28" s="4">
        <f t="shared" si="26"/>
        <v>2.3193094424002608E-2</v>
      </c>
      <c r="BG28" s="4">
        <f t="shared" si="27"/>
        <v>1.6319131897928954E-2</v>
      </c>
      <c r="BH28" s="4">
        <f t="shared" si="28"/>
        <v>0.33302641715959952</v>
      </c>
      <c r="BI28" s="23"/>
      <c r="BJ28" s="23"/>
      <c r="BK28" s="23"/>
      <c r="BL28" s="23"/>
      <c r="BM28" s="23"/>
      <c r="BN28" s="23"/>
      <c r="BO28" s="23"/>
      <c r="BP28" s="23"/>
      <c r="BQ28" s="23"/>
      <c r="BR28" s="13">
        <v>0.83876665770039704</v>
      </c>
      <c r="BS28" s="13">
        <v>36.508422416748857</v>
      </c>
      <c r="BT28" s="13">
        <v>214.59182753061208</v>
      </c>
      <c r="BU28" s="13">
        <v>100.34297962910539</v>
      </c>
      <c r="BV28" s="13">
        <v>61.892150215576656</v>
      </c>
      <c r="BW28" s="13">
        <v>36.773296098127929</v>
      </c>
      <c r="BX28" s="13">
        <v>12.537354251942775</v>
      </c>
      <c r="BY28" s="13">
        <v>1.9424069967798665</v>
      </c>
      <c r="BZ28" s="13">
        <v>4.4145613563178789E-2</v>
      </c>
      <c r="CA28" s="4"/>
      <c r="CB28" s="4"/>
      <c r="CC28" s="4"/>
      <c r="CD28" s="4"/>
      <c r="CE28" s="4"/>
      <c r="CF28" s="4"/>
      <c r="CG28" s="4"/>
      <c r="CH28" s="4"/>
      <c r="CI28" s="4"/>
      <c r="CJ28" s="23"/>
      <c r="CK28" s="23"/>
      <c r="CL28" s="23"/>
      <c r="CM28" s="23"/>
      <c r="CN28" s="23"/>
      <c r="CO28" s="23"/>
      <c r="CP28" s="23"/>
      <c r="CQ28" s="23"/>
      <c r="CR28" s="23"/>
      <c r="CS28" s="31">
        <f t="shared" si="29"/>
        <v>1976</v>
      </c>
      <c r="CT28" s="1">
        <v>2.6197453885975358E-2</v>
      </c>
      <c r="CU28" s="1">
        <v>0.34768661313711668</v>
      </c>
      <c r="CV28" s="1">
        <v>0.8</v>
      </c>
      <c r="CW28" s="1">
        <v>1</v>
      </c>
      <c r="CX28">
        <f t="shared" si="61"/>
        <v>1</v>
      </c>
      <c r="CY28">
        <f t="shared" si="62"/>
        <v>1</v>
      </c>
      <c r="CZ28">
        <f t="shared" si="63"/>
        <v>1</v>
      </c>
      <c r="DA28">
        <f t="shared" si="64"/>
        <v>1</v>
      </c>
      <c r="DB28">
        <f t="shared" si="65"/>
        <v>1</v>
      </c>
      <c r="DC28" s="11">
        <v>5.3600000000000002E-2</v>
      </c>
      <c r="DD28" s="11">
        <v>8.7300000000000003E-2</v>
      </c>
      <c r="DE28" s="11">
        <v>0.1202</v>
      </c>
      <c r="DF28" s="11">
        <v>0.15179999999999999</v>
      </c>
      <c r="DG28" s="11">
        <v>0.18110000000000001</v>
      </c>
      <c r="DH28" s="11">
        <v>0.1951</v>
      </c>
      <c r="DI28" s="11">
        <v>0.2112</v>
      </c>
      <c r="DJ28" s="11">
        <v>0.2223</v>
      </c>
      <c r="DK28" s="11">
        <v>0.18190000000000001</v>
      </c>
      <c r="DL28" s="10">
        <f t="shared" si="31"/>
        <v>0.1412095504552352</v>
      </c>
      <c r="DN28" s="1">
        <v>19</v>
      </c>
      <c r="DO28" s="1">
        <v>827</v>
      </c>
      <c r="DP28" s="1">
        <v>4861</v>
      </c>
      <c r="DQ28" s="1">
        <v>2273</v>
      </c>
      <c r="DR28" s="1">
        <v>1402</v>
      </c>
      <c r="DS28" s="1">
        <v>833</v>
      </c>
      <c r="DT28" s="1">
        <v>284</v>
      </c>
      <c r="DU28" s="1">
        <v>44</v>
      </c>
      <c r="DV28" s="1">
        <v>1</v>
      </c>
      <c r="DW28">
        <f t="shared" si="32"/>
        <v>10544</v>
      </c>
      <c r="DX28" s="19">
        <f t="shared" si="33"/>
        <v>769.23246695006048</v>
      </c>
      <c r="DY28">
        <f t="shared" si="66"/>
        <v>1.5233140171832421E-2</v>
      </c>
      <c r="DZ28">
        <f t="shared" si="34"/>
        <v>0.17806291703444893</v>
      </c>
      <c r="EA28">
        <f t="shared" si="35"/>
        <v>0.59901563358652243</v>
      </c>
      <c r="EB28">
        <f t="shared" si="36"/>
        <v>0.16878185964856629</v>
      </c>
      <c r="EC28">
        <f t="shared" si="37"/>
        <v>2.7970546386724748E-2</v>
      </c>
      <c r="ED28">
        <f t="shared" si="38"/>
        <v>5.8097682249934578E-3</v>
      </c>
      <c r="EE28">
        <f t="shared" si="39"/>
        <v>3.8948054674297406E-3</v>
      </c>
      <c r="EF28">
        <f t="shared" si="40"/>
        <v>1.0949411242469817E-3</v>
      </c>
      <c r="EG28">
        <f t="shared" si="41"/>
        <v>1.3638835523500882E-4</v>
      </c>
      <c r="EH28">
        <f t="shared" si="42"/>
        <v>1.8019726858877086E-3</v>
      </c>
      <c r="EI28">
        <f t="shared" si="43"/>
        <v>7.8433232169954473E-2</v>
      </c>
      <c r="EJ28">
        <f t="shared" si="44"/>
        <v>0.46102048558421849</v>
      </c>
      <c r="EK28">
        <f t="shared" si="45"/>
        <v>0.21557283763277693</v>
      </c>
      <c r="EL28">
        <f t="shared" si="46"/>
        <v>0.13296661608497723</v>
      </c>
      <c r="EM28">
        <f t="shared" si="47"/>
        <v>7.9002276176024275E-2</v>
      </c>
      <c r="EN28">
        <f t="shared" si="48"/>
        <v>2.6934749620637331E-2</v>
      </c>
      <c r="EO28">
        <f t="shared" si="49"/>
        <v>4.1729893778452197E-3</v>
      </c>
      <c r="EP28">
        <f t="shared" si="50"/>
        <v>9.4840667678300458E-5</v>
      </c>
      <c r="EQ28">
        <f t="shared" si="51"/>
        <v>-1.8205149940375138</v>
      </c>
      <c r="ER28">
        <v>100</v>
      </c>
      <c r="ES28">
        <v>0.26730150044160972</v>
      </c>
    </row>
    <row r="29" spans="1:149" x14ac:dyDescent="0.3">
      <c r="C29">
        <f t="shared" si="13"/>
        <v>1.0794240813045905E-3</v>
      </c>
      <c r="D29">
        <v>27</v>
      </c>
      <c r="E29">
        <v>1977</v>
      </c>
      <c r="F29" s="2">
        <v>6.8948180716317591</v>
      </c>
      <c r="G29" s="3">
        <f t="shared" si="67"/>
        <v>987.14611859456147</v>
      </c>
      <c r="H29" s="4">
        <f t="shared" si="52"/>
        <v>322.07977054067413</v>
      </c>
      <c r="I29" s="4">
        <f t="shared" si="53"/>
        <v>242.55510301553986</v>
      </c>
      <c r="J29" s="4">
        <f t="shared" si="54"/>
        <v>271.49895394904115</v>
      </c>
      <c r="K29" s="4">
        <f t="shared" si="55"/>
        <v>47.707760817259242</v>
      </c>
      <c r="L29" s="4">
        <f t="shared" si="56"/>
        <v>6.8645057187945513</v>
      </c>
      <c r="M29" s="4">
        <f t="shared" si="57"/>
        <v>1.1808469061417126</v>
      </c>
      <c r="N29" s="4">
        <f t="shared" si="58"/>
        <v>0.61555452107891251</v>
      </c>
      <c r="O29" s="4">
        <f t="shared" si="59"/>
        <v>0.12370301302221716</v>
      </c>
      <c r="P29" s="22">
        <v>0.86092147627973115</v>
      </c>
      <c r="Q29" s="4"/>
      <c r="R29" s="5">
        <f t="shared" si="15"/>
        <v>84.500878151668275</v>
      </c>
      <c r="S29" s="4">
        <f t="shared" si="16"/>
        <v>-0.3646800150884506</v>
      </c>
      <c r="T29" s="5">
        <v>59.776779076753151</v>
      </c>
      <c r="U29" s="5">
        <f t="shared" si="60"/>
        <v>60.638893946913605</v>
      </c>
      <c r="V29" s="5">
        <v>58.679000000000002</v>
      </c>
      <c r="W29" s="4"/>
      <c r="X29" s="4">
        <f t="shared" si="17"/>
        <v>0.3654042136102838</v>
      </c>
      <c r="Y29" s="23">
        <v>1.1402644314731534</v>
      </c>
      <c r="Z29" s="23">
        <v>26.195263966275146</v>
      </c>
      <c r="AA29" s="23">
        <v>66.44351660151672</v>
      </c>
      <c r="AB29" s="23">
        <v>81.975767235637505</v>
      </c>
      <c r="AC29" s="23">
        <v>27.643707973822124</v>
      </c>
      <c r="AD29" s="23">
        <v>10.632195374546971</v>
      </c>
      <c r="AE29" s="23">
        <v>4.0371524465671111</v>
      </c>
      <c r="AF29" s="23">
        <v>0.73963098257718052</v>
      </c>
      <c r="AG29" s="23">
        <v>0.12327183042953009</v>
      </c>
      <c r="AH29" s="23">
        <f t="shared" si="18"/>
        <v>30.042999999999996</v>
      </c>
      <c r="AI29" s="10">
        <v>2.2823407594260265</v>
      </c>
      <c r="AJ29" s="4">
        <f t="shared" si="19"/>
        <v>2.2823407594260265</v>
      </c>
      <c r="AK29" s="23">
        <f t="shared" si="20"/>
        <v>8.6624903920211813E-2</v>
      </c>
      <c r="AL29" s="23">
        <f t="shared" si="1"/>
        <v>1.9900315765454064</v>
      </c>
      <c r="AM29" s="23">
        <f t="shared" si="2"/>
        <v>5.0476565635669361</v>
      </c>
      <c r="AN29" s="23">
        <f t="shared" si="3"/>
        <v>6.22762822777739</v>
      </c>
      <c r="AO29" s="23">
        <f t="shared" si="4"/>
        <v>2.1000686166602698</v>
      </c>
      <c r="AP29" s="23">
        <f t="shared" si="5"/>
        <v>0.80771869871548851</v>
      </c>
      <c r="AQ29" s="23">
        <f t="shared" si="6"/>
        <v>0.30669898414993912</v>
      </c>
      <c r="AR29" s="23">
        <f t="shared" si="7"/>
        <v>5.6189126867164409E-2</v>
      </c>
      <c r="AS29" s="23">
        <f t="shared" si="8"/>
        <v>9.3648544778607359E-3</v>
      </c>
      <c r="AT29" s="23">
        <f t="shared" si="21"/>
        <v>84.500878151668275</v>
      </c>
      <c r="AU29" s="23">
        <f t="shared" si="22"/>
        <v>114.09508796824886</v>
      </c>
      <c r="AV29" s="4">
        <f t="shared" si="69"/>
        <v>0.37106368139083207</v>
      </c>
      <c r="AW29" s="4">
        <f t="shared" si="69"/>
        <v>0.37106368139083207</v>
      </c>
      <c r="AX29" s="4">
        <f t="shared" si="69"/>
        <v>0.37106368139083207</v>
      </c>
      <c r="AY29" s="4">
        <f t="shared" si="70"/>
        <v>0.49515641167153346</v>
      </c>
      <c r="AZ29" s="4">
        <f t="shared" si="70"/>
        <v>0.66074877255687903</v>
      </c>
      <c r="BA29" s="4">
        <f t="shared" si="70"/>
        <v>0.88171925101726745</v>
      </c>
      <c r="BB29" s="4">
        <f t="shared" si="70"/>
        <v>1.1765876380005351</v>
      </c>
      <c r="BC29" s="4">
        <f t="shared" si="70"/>
        <v>1.5700671934955486</v>
      </c>
      <c r="BD29" s="24">
        <f t="shared" si="24"/>
        <v>1.5700671934955486</v>
      </c>
      <c r="BE29" s="4">
        <f t="shared" si="25"/>
        <v>0.34683782665535529</v>
      </c>
      <c r="BF29" s="4">
        <f t="shared" si="26"/>
        <v>2.7009669122367186E-2</v>
      </c>
      <c r="BG29" s="4">
        <f t="shared" si="27"/>
        <v>2.0003847668369136E-2</v>
      </c>
      <c r="BH29" s="4">
        <f t="shared" si="28"/>
        <v>0.33966332589422732</v>
      </c>
      <c r="BI29" s="23"/>
      <c r="BJ29" s="23"/>
      <c r="BK29" s="23"/>
      <c r="BL29" s="23"/>
      <c r="BM29" s="23"/>
      <c r="BN29" s="23"/>
      <c r="BO29" s="23"/>
      <c r="BP29" s="23"/>
      <c r="BQ29" s="23"/>
      <c r="BR29" s="13">
        <v>2.2271270037750281</v>
      </c>
      <c r="BS29" s="13">
        <v>51.16372846510199</v>
      </c>
      <c r="BT29" s="13">
        <v>129.77529243618812</v>
      </c>
      <c r="BU29" s="13">
        <v>160.11237378490742</v>
      </c>
      <c r="BV29" s="13">
        <v>53.992781686113517</v>
      </c>
      <c r="BW29" s="13">
        <v>20.766454494659044</v>
      </c>
      <c r="BX29" s="13">
        <v>7.8852334457980726</v>
      </c>
      <c r="BY29" s="13">
        <v>1.4446229213675859</v>
      </c>
      <c r="BZ29" s="13">
        <v>0.24077048689459762</v>
      </c>
      <c r="CA29" s="4"/>
      <c r="CB29" s="4"/>
      <c r="CC29" s="4"/>
      <c r="CD29" s="4"/>
      <c r="CE29" s="4"/>
      <c r="CF29" s="4"/>
      <c r="CG29" s="4"/>
      <c r="CH29" s="4"/>
      <c r="CI29" s="4"/>
      <c r="CJ29" s="23"/>
      <c r="CK29" s="23"/>
      <c r="CL29" s="23"/>
      <c r="CM29" s="23"/>
      <c r="CN29" s="23"/>
      <c r="CO29" s="23"/>
      <c r="CP29" s="23"/>
      <c r="CQ29" s="23"/>
      <c r="CR29" s="23"/>
      <c r="CS29" s="31">
        <f t="shared" si="29"/>
        <v>1977</v>
      </c>
      <c r="CT29" s="1">
        <v>2.6197453885975358E-2</v>
      </c>
      <c r="CU29" s="1">
        <v>0.34768661313711668</v>
      </c>
      <c r="CV29" s="1">
        <v>0.8</v>
      </c>
      <c r="CW29" s="1">
        <v>1</v>
      </c>
      <c r="CX29">
        <f t="shared" si="61"/>
        <v>1</v>
      </c>
      <c r="CY29">
        <f t="shared" si="62"/>
        <v>1</v>
      </c>
      <c r="CZ29">
        <f t="shared" si="63"/>
        <v>1</v>
      </c>
      <c r="DA29">
        <f t="shared" si="64"/>
        <v>1</v>
      </c>
      <c r="DB29">
        <f t="shared" si="65"/>
        <v>1</v>
      </c>
      <c r="DC29" s="11">
        <v>6.2799999999999995E-2</v>
      </c>
      <c r="DD29" s="11">
        <v>8.8400000000000006E-2</v>
      </c>
      <c r="DE29" s="11">
        <v>0.12529999999999999</v>
      </c>
      <c r="DF29" s="11">
        <v>0.14349999999999999</v>
      </c>
      <c r="DG29" s="11">
        <v>0.16930000000000001</v>
      </c>
      <c r="DH29" s="11">
        <v>0.18260000000000001</v>
      </c>
      <c r="DI29" s="11">
        <v>0.1918</v>
      </c>
      <c r="DJ29" s="11">
        <v>0.1953</v>
      </c>
      <c r="DK29" s="11">
        <v>0.21529999999999999</v>
      </c>
      <c r="DL29" s="10">
        <f t="shared" si="31"/>
        <v>0.13722602759009009</v>
      </c>
      <c r="DN29" s="1">
        <v>37</v>
      </c>
      <c r="DO29" s="1">
        <v>850</v>
      </c>
      <c r="DP29" s="1">
        <v>2156</v>
      </c>
      <c r="DQ29" s="1">
        <v>2660</v>
      </c>
      <c r="DR29" s="1">
        <v>897</v>
      </c>
      <c r="DS29" s="1">
        <v>345</v>
      </c>
      <c r="DT29" s="1">
        <v>131</v>
      </c>
      <c r="DU29" s="1">
        <v>24</v>
      </c>
      <c r="DV29" s="1">
        <v>4</v>
      </c>
      <c r="DW29">
        <f t="shared" si="32"/>
        <v>7104</v>
      </c>
      <c r="DX29" s="19">
        <f t="shared" si="33"/>
        <v>659.87894683763705</v>
      </c>
      <c r="DY29">
        <f t="shared" si="66"/>
        <v>3.919008940129682E-2</v>
      </c>
      <c r="DZ29">
        <f t="shared" si="34"/>
        <v>0.1697020720481025</v>
      </c>
      <c r="EA29">
        <f t="shared" si="35"/>
        <v>0.29406012018167382</v>
      </c>
      <c r="EB29">
        <f t="shared" si="36"/>
        <v>0.41143751478988067</v>
      </c>
      <c r="EC29">
        <f t="shared" si="37"/>
        <v>7.2297746497127932E-2</v>
      </c>
      <c r="ED29">
        <f t="shared" si="38"/>
        <v>1.0402674235466343E-2</v>
      </c>
      <c r="EE29">
        <f t="shared" si="39"/>
        <v>1.7894901963469666E-3</v>
      </c>
      <c r="EF29">
        <f t="shared" si="40"/>
        <v>9.3282945914376851E-4</v>
      </c>
      <c r="EG29">
        <f t="shared" si="41"/>
        <v>1.8746319096107523E-4</v>
      </c>
      <c r="EH29">
        <f t="shared" si="42"/>
        <v>5.208333333333333E-3</v>
      </c>
      <c r="EI29">
        <f t="shared" si="43"/>
        <v>0.1196509009009009</v>
      </c>
      <c r="EJ29">
        <f t="shared" si="44"/>
        <v>0.30349099099099097</v>
      </c>
      <c r="EK29">
        <f t="shared" si="45"/>
        <v>0.37443693693693691</v>
      </c>
      <c r="EL29">
        <f t="shared" si="46"/>
        <v>0.12626689189189189</v>
      </c>
      <c r="EM29">
        <f t="shared" si="47"/>
        <v>4.8564189189189186E-2</v>
      </c>
      <c r="EN29">
        <f t="shared" si="48"/>
        <v>1.8440315315315314E-2</v>
      </c>
      <c r="EO29">
        <f t="shared" si="49"/>
        <v>3.3783783783783786E-3</v>
      </c>
      <c r="EP29">
        <f t="shared" si="50"/>
        <v>5.6306306306306306E-4</v>
      </c>
      <c r="EQ29">
        <f t="shared" si="51"/>
        <v>-1.629075792644386</v>
      </c>
      <c r="ER29">
        <v>100</v>
      </c>
      <c r="ES29">
        <v>0.31114857232706611</v>
      </c>
    </row>
    <row r="30" spans="1:149" x14ac:dyDescent="0.3">
      <c r="C30">
        <f t="shared" si="13"/>
        <v>2.3910437633334402E-2</v>
      </c>
      <c r="D30">
        <v>28</v>
      </c>
      <c r="E30">
        <v>1978</v>
      </c>
      <c r="F30" s="2">
        <v>5.57662002438766</v>
      </c>
      <c r="G30" s="3">
        <f t="shared" si="67"/>
        <v>264.17718263886644</v>
      </c>
      <c r="H30" s="4">
        <f t="shared" si="52"/>
        <v>709.83657804677784</v>
      </c>
      <c r="I30" s="4">
        <f t="shared" si="53"/>
        <v>202.35724844326234</v>
      </c>
      <c r="J30" s="4">
        <f t="shared" si="54"/>
        <v>122.01690396690518</v>
      </c>
      <c r="K30" s="4">
        <f t="shared" si="55"/>
        <v>109.45563678633354</v>
      </c>
      <c r="L30" s="4">
        <f t="shared" si="56"/>
        <v>16.678043645116233</v>
      </c>
      <c r="M30" s="4">
        <f t="shared" si="57"/>
        <v>1.984019471897956</v>
      </c>
      <c r="N30" s="4">
        <f t="shared" si="58"/>
        <v>0.26477739044202747</v>
      </c>
      <c r="O30" s="4">
        <f t="shared" si="59"/>
        <v>9.8363596549232601E-2</v>
      </c>
      <c r="P30" s="22">
        <v>0.69212162578441605</v>
      </c>
      <c r="Q30" s="4"/>
      <c r="R30" s="5">
        <f t="shared" si="15"/>
        <v>74.181637092873444</v>
      </c>
      <c r="S30" s="4">
        <f t="shared" si="16"/>
        <v>-0.48645542750176218</v>
      </c>
      <c r="T30" s="5">
        <v>51.349048384131343</v>
      </c>
      <c r="U30" s="5">
        <f t="shared" si="60"/>
        <v>53.233676653742293</v>
      </c>
      <c r="V30" s="5">
        <v>45.606999999999999</v>
      </c>
      <c r="W30" s="4"/>
      <c r="X30" s="4">
        <f t="shared" si="17"/>
        <v>0.31633751941700028</v>
      </c>
      <c r="Y30" s="23">
        <v>1.6014041945595205</v>
      </c>
      <c r="Z30" s="23">
        <v>76.364102877709712</v>
      </c>
      <c r="AA30" s="23">
        <v>35.96296276925095</v>
      </c>
      <c r="AB30" s="23">
        <v>31.662048646719661</v>
      </c>
      <c r="AC30" s="23">
        <v>38.868367522237506</v>
      </c>
      <c r="AD30" s="23">
        <v>9.722811181254233</v>
      </c>
      <c r="AE30" s="23">
        <v>3.1112995780013541</v>
      </c>
      <c r="AF30" s="23">
        <v>0.50329846114727783</v>
      </c>
      <c r="AG30" s="23">
        <v>0.25164923057363892</v>
      </c>
      <c r="AH30" s="23">
        <f t="shared" si="18"/>
        <v>22.745000000000005</v>
      </c>
      <c r="AI30" s="10">
        <v>2.2805864621474514</v>
      </c>
      <c r="AJ30" s="4">
        <f t="shared" si="19"/>
        <v>2.2805864621474514</v>
      </c>
      <c r="AK30" s="23">
        <f t="shared" si="20"/>
        <v>0.16056894818811104</v>
      </c>
      <c r="AL30" s="23">
        <f t="shared" si="1"/>
        <v>7.6568449864559245</v>
      </c>
      <c r="AM30" s="23">
        <f t="shared" si="2"/>
        <v>3.6059198078815795</v>
      </c>
      <c r="AN30" s="23">
        <f t="shared" si="3"/>
        <v>3.1746774898906529</v>
      </c>
      <c r="AO30" s="23">
        <f t="shared" si="4"/>
        <v>3.8972377567371521</v>
      </c>
      <c r="AP30" s="23">
        <f t="shared" si="5"/>
        <v>0.97488289971353137</v>
      </c>
      <c r="AQ30" s="23">
        <f t="shared" si="6"/>
        <v>0.31196252790833001</v>
      </c>
      <c r="AR30" s="23">
        <f t="shared" si="7"/>
        <v>5.0464526573406325E-2</v>
      </c>
      <c r="AS30" s="23">
        <f t="shared" si="8"/>
        <v>2.5232263286703163E-2</v>
      </c>
      <c r="AT30" s="23">
        <f t="shared" si="21"/>
        <v>74.181637092873444</v>
      </c>
      <c r="AU30" s="23">
        <f t="shared" si="22"/>
        <v>88.579376761109316</v>
      </c>
      <c r="AV30" s="4">
        <f t="shared" si="69"/>
        <v>0.37106368139083207</v>
      </c>
      <c r="AW30" s="4">
        <f t="shared" si="69"/>
        <v>0.37106368139083207</v>
      </c>
      <c r="AX30" s="4">
        <f t="shared" si="69"/>
        <v>0.37106368139083207</v>
      </c>
      <c r="AY30" s="4">
        <f t="shared" si="70"/>
        <v>0.49515641167153346</v>
      </c>
      <c r="AZ30" s="4">
        <f t="shared" si="70"/>
        <v>0.66074877255687903</v>
      </c>
      <c r="BA30" s="4">
        <f t="shared" si="70"/>
        <v>0.88171925101726745</v>
      </c>
      <c r="BB30" s="4">
        <f t="shared" si="70"/>
        <v>1.1765876380005351</v>
      </c>
      <c r="BC30" s="4">
        <f t="shared" si="70"/>
        <v>1.5700671934955486</v>
      </c>
      <c r="BD30" s="24">
        <f t="shared" si="24"/>
        <v>1.5700671934955486</v>
      </c>
      <c r="BE30" s="4">
        <f t="shared" si="25"/>
        <v>0.28804696243789824</v>
      </c>
      <c r="BF30" s="4">
        <f t="shared" si="26"/>
        <v>3.0743274906325099E-2</v>
      </c>
      <c r="BG30" s="4">
        <f t="shared" si="27"/>
        <v>2.5746246423679293E-2</v>
      </c>
      <c r="BH30" s="4">
        <f t="shared" si="28"/>
        <v>0.2829046804189651</v>
      </c>
      <c r="BI30" s="23"/>
      <c r="BJ30" s="23"/>
      <c r="BK30" s="23"/>
      <c r="BL30" s="23"/>
      <c r="BM30" s="23"/>
      <c r="BN30" s="23"/>
      <c r="BO30" s="23"/>
      <c r="BP30" s="23"/>
      <c r="BQ30" s="23"/>
      <c r="BR30" s="13">
        <v>3.2110459925819321</v>
      </c>
      <c r="BS30" s="13">
        <v>153.12102176054984</v>
      </c>
      <c r="BT30" s="13">
        <v>72.110918576268531</v>
      </c>
      <c r="BU30" s="13">
        <v>63.486966481905633</v>
      </c>
      <c r="BV30" s="13">
        <v>77.936673448524331</v>
      </c>
      <c r="BW30" s="13">
        <v>19.49563638353316</v>
      </c>
      <c r="BX30" s="13">
        <v>6.2386036427306113</v>
      </c>
      <c r="BY30" s="13">
        <v>1.0091858833828928</v>
      </c>
      <c r="BZ30" s="13">
        <v>0.50459294169144642</v>
      </c>
      <c r="CA30" s="4"/>
      <c r="CB30" s="4"/>
      <c r="CC30" s="4"/>
      <c r="CD30" s="4"/>
      <c r="CE30" s="4"/>
      <c r="CF30" s="4"/>
      <c r="CG30" s="4"/>
      <c r="CH30" s="4"/>
      <c r="CI30" s="4"/>
      <c r="CJ30" s="23"/>
      <c r="CK30" s="23"/>
      <c r="CL30" s="23"/>
      <c r="CM30" s="23"/>
      <c r="CN30" s="23"/>
      <c r="CO30" s="23"/>
      <c r="CP30" s="23"/>
      <c r="CQ30" s="23"/>
      <c r="CR30" s="23"/>
      <c r="CS30" s="31">
        <f t="shared" si="29"/>
        <v>1978</v>
      </c>
      <c r="CT30" s="1">
        <v>2.6197453885975358E-2</v>
      </c>
      <c r="CU30" s="1">
        <v>0.34768661313711668</v>
      </c>
      <c r="CV30" s="1">
        <v>0.8</v>
      </c>
      <c r="CW30" s="1">
        <v>1</v>
      </c>
      <c r="CX30">
        <f t="shared" si="61"/>
        <v>1</v>
      </c>
      <c r="CY30">
        <f t="shared" si="62"/>
        <v>1</v>
      </c>
      <c r="CZ30">
        <f t="shared" si="63"/>
        <v>1</v>
      </c>
      <c r="DA30">
        <f t="shared" si="64"/>
        <v>1</v>
      </c>
      <c r="DB30">
        <f t="shared" si="65"/>
        <v>1</v>
      </c>
      <c r="DC30" s="11">
        <v>6.0299999999999999E-2</v>
      </c>
      <c r="DD30" s="11">
        <v>7.9799999999999996E-2</v>
      </c>
      <c r="DE30" s="11">
        <v>0.1082</v>
      </c>
      <c r="DF30" s="11">
        <v>0.13400000000000001</v>
      </c>
      <c r="DG30" s="11">
        <v>0.154</v>
      </c>
      <c r="DH30" s="11">
        <v>0.17369999999999999</v>
      </c>
      <c r="DI30" s="11">
        <v>0.18840000000000001</v>
      </c>
      <c r="DJ30" s="11">
        <v>0.20380000000000001</v>
      </c>
      <c r="DK30" s="11">
        <v>0.22789999999999999</v>
      </c>
      <c r="DL30" s="10">
        <f t="shared" si="31"/>
        <v>0.11484592815062955</v>
      </c>
      <c r="DN30" s="1">
        <v>70</v>
      </c>
      <c r="DO30" s="1">
        <v>3338</v>
      </c>
      <c r="DP30" s="1">
        <v>1572</v>
      </c>
      <c r="DQ30" s="1">
        <v>1384</v>
      </c>
      <c r="DR30" s="1">
        <v>1699</v>
      </c>
      <c r="DS30" s="1">
        <v>425</v>
      </c>
      <c r="DT30" s="1">
        <v>136</v>
      </c>
      <c r="DU30" s="1">
        <v>22</v>
      </c>
      <c r="DV30" s="1">
        <v>11</v>
      </c>
      <c r="DW30">
        <f t="shared" si="32"/>
        <v>8657</v>
      </c>
      <c r="DX30" s="19">
        <f t="shared" si="33"/>
        <v>666.10498887368738</v>
      </c>
      <c r="DY30">
        <f t="shared" si="66"/>
        <v>1.0389908010764006E-2</v>
      </c>
      <c r="DZ30">
        <f t="shared" si="34"/>
        <v>0.37051317708825215</v>
      </c>
      <c r="EA30">
        <f t="shared" si="35"/>
        <v>0.24303345787627492</v>
      </c>
      <c r="EB30">
        <f t="shared" si="36"/>
        <v>0.18317968789458067</v>
      </c>
      <c r="EC30">
        <f t="shared" si="37"/>
        <v>0.1643218991219558</v>
      </c>
      <c r="ED30">
        <f t="shared" si="38"/>
        <v>2.5038160535799363E-2</v>
      </c>
      <c r="EE30">
        <f t="shared" si="39"/>
        <v>2.9785386763920229E-3</v>
      </c>
      <c r="EF30">
        <f t="shared" si="40"/>
        <v>3.9750098687856678E-4</v>
      </c>
      <c r="EG30">
        <f t="shared" si="41"/>
        <v>1.4766980910254848E-4</v>
      </c>
      <c r="EH30">
        <f t="shared" si="42"/>
        <v>8.0859420122444264E-3</v>
      </c>
      <c r="EI30">
        <f t="shared" si="43"/>
        <v>0.38558392052674134</v>
      </c>
      <c r="EJ30">
        <f t="shared" si="44"/>
        <v>0.18158715490354627</v>
      </c>
      <c r="EK30">
        <f t="shared" si="45"/>
        <v>0.1598706249278041</v>
      </c>
      <c r="EL30">
        <f t="shared" si="46"/>
        <v>0.196257363982904</v>
      </c>
      <c r="EM30">
        <f t="shared" si="47"/>
        <v>4.9093219360055444E-2</v>
      </c>
      <c r="EN30">
        <f t="shared" si="48"/>
        <v>1.5709830195217742E-2</v>
      </c>
      <c r="EO30">
        <f t="shared" si="49"/>
        <v>2.5412960609911056E-3</v>
      </c>
      <c r="EP30">
        <f t="shared" si="50"/>
        <v>1.2706480304955528E-3</v>
      </c>
      <c r="EQ30">
        <f t="shared" si="51"/>
        <v>-1.6034992662833747</v>
      </c>
      <c r="ER30">
        <v>100</v>
      </c>
      <c r="ES30">
        <v>0.31392715829886181</v>
      </c>
    </row>
    <row r="31" spans="1:149" x14ac:dyDescent="0.3">
      <c r="C31">
        <f t="shared" si="13"/>
        <v>1.3704427890257777E-2</v>
      </c>
      <c r="D31">
        <v>29</v>
      </c>
      <c r="E31">
        <v>1979</v>
      </c>
      <c r="F31" s="2">
        <v>6.2361716105742504</v>
      </c>
      <c r="G31" s="3">
        <f t="shared" si="67"/>
        <v>510.89884242324916</v>
      </c>
      <c r="H31" s="4">
        <f t="shared" si="52"/>
        <v>202.48611945307456</v>
      </c>
      <c r="I31" s="4">
        <f t="shared" si="53"/>
        <v>483.45032239287337</v>
      </c>
      <c r="J31" s="4">
        <f t="shared" si="54"/>
        <v>114.03752334682001</v>
      </c>
      <c r="K31" s="4">
        <f t="shared" si="55"/>
        <v>57.393693903806749</v>
      </c>
      <c r="L31" s="4">
        <f t="shared" si="56"/>
        <v>45.910052985297959</v>
      </c>
      <c r="M31" s="4">
        <f t="shared" si="57"/>
        <v>6.0033607925202013</v>
      </c>
      <c r="N31" s="4">
        <f t="shared" si="58"/>
        <v>0.58232089209778137</v>
      </c>
      <c r="O31" s="4">
        <f t="shared" si="59"/>
        <v>5.918660691478185E-2</v>
      </c>
      <c r="P31" s="22">
        <v>0.88737443620102274</v>
      </c>
      <c r="Q31" s="4"/>
      <c r="R31" s="5">
        <f t="shared" si="15"/>
        <v>84.713027030147245</v>
      </c>
      <c r="S31" s="4">
        <f t="shared" si="16"/>
        <v>-0.214759512541667</v>
      </c>
      <c r="T31" s="5">
        <v>47.556394131938752</v>
      </c>
      <c r="U31" s="5">
        <f t="shared" si="60"/>
        <v>60.791134652861693</v>
      </c>
      <c r="V31" s="5">
        <v>68.340999999999994</v>
      </c>
      <c r="W31" s="4"/>
      <c r="X31" s="4">
        <f t="shared" si="17"/>
        <v>0.22669924090012911</v>
      </c>
      <c r="Y31" s="23">
        <v>0.98833200074227978</v>
      </c>
      <c r="Z31" s="23">
        <v>17.691142813286806</v>
      </c>
      <c r="AA31" s="23">
        <v>69.644461652305978</v>
      </c>
      <c r="AB31" s="23">
        <v>23.25874641746832</v>
      </c>
      <c r="AC31" s="23">
        <v>18.350030813781661</v>
      </c>
      <c r="AD31" s="23">
        <v>13.63898161024346</v>
      </c>
      <c r="AE31" s="23">
        <v>2.3390524017567285</v>
      </c>
      <c r="AF31" s="23">
        <v>0.72477680054433846</v>
      </c>
      <c r="AG31" s="23">
        <v>0.1647220001237133</v>
      </c>
      <c r="AH31" s="23">
        <f t="shared" si="18"/>
        <v>18.693999999999996</v>
      </c>
      <c r="AI31" s="10">
        <v>2.2513481741712025</v>
      </c>
      <c r="AJ31" s="4">
        <f t="shared" si="19"/>
        <v>2.2513481741712025</v>
      </c>
      <c r="AK31" s="23">
        <f t="shared" si="20"/>
        <v>0.11902639592094273</v>
      </c>
      <c r="AL31" s="23">
        <f t="shared" si="1"/>
        <v>2.130572486984875</v>
      </c>
      <c r="AM31" s="23">
        <f t="shared" si="2"/>
        <v>8.3873933658957647</v>
      </c>
      <c r="AN31" s="23">
        <f t="shared" si="3"/>
        <v>2.8010878506728525</v>
      </c>
      <c r="AO31" s="23">
        <f t="shared" si="4"/>
        <v>2.2099234175988367</v>
      </c>
      <c r="AP31" s="23">
        <f t="shared" si="5"/>
        <v>1.6425642637090097</v>
      </c>
      <c r="AQ31" s="23">
        <f t="shared" si="6"/>
        <v>0.28169580367956448</v>
      </c>
      <c r="AR31" s="23">
        <f t="shared" si="7"/>
        <v>8.728602367535801E-2</v>
      </c>
      <c r="AS31" s="23">
        <f t="shared" si="8"/>
        <v>1.9837732653490456E-2</v>
      </c>
      <c r="AT31" s="23">
        <f t="shared" si="21"/>
        <v>84.713027030147245</v>
      </c>
      <c r="AU31" s="23">
        <f t="shared" si="22"/>
        <v>116.17918470850479</v>
      </c>
      <c r="AV31" s="4">
        <f t="shared" si="69"/>
        <v>0.37106368139083207</v>
      </c>
      <c r="AW31" s="4">
        <f t="shared" si="69"/>
        <v>0.37106368139083207</v>
      </c>
      <c r="AX31" s="4">
        <f t="shared" si="69"/>
        <v>0.37106368139083207</v>
      </c>
      <c r="AY31" s="4">
        <f t="shared" si="70"/>
        <v>0.49515641167153346</v>
      </c>
      <c r="AZ31" s="4">
        <f t="shared" si="70"/>
        <v>0.66074877255687903</v>
      </c>
      <c r="BA31" s="4">
        <f t="shared" si="70"/>
        <v>0.88171925101726745</v>
      </c>
      <c r="BB31" s="4">
        <f t="shared" si="70"/>
        <v>1.1765876380005351</v>
      </c>
      <c r="BC31" s="4">
        <f t="shared" si="70"/>
        <v>1.5700671934955486</v>
      </c>
      <c r="BD31" s="24">
        <f t="shared" si="24"/>
        <v>1.5700671934955486</v>
      </c>
      <c r="BE31" s="4">
        <f t="shared" si="25"/>
        <v>0.35620813019713332</v>
      </c>
      <c r="BF31" s="4">
        <f t="shared" si="26"/>
        <v>2.6576174327591955E-2</v>
      </c>
      <c r="BG31" s="4">
        <f t="shared" si="27"/>
        <v>1.937824042938386E-2</v>
      </c>
      <c r="BH31" s="4">
        <f t="shared" si="28"/>
        <v>0.34884088502232918</v>
      </c>
      <c r="BI31" s="23"/>
      <c r="BJ31" s="23"/>
      <c r="BK31" s="23"/>
      <c r="BL31" s="23"/>
      <c r="BM31" s="23"/>
      <c r="BN31" s="23"/>
      <c r="BO31" s="23"/>
      <c r="BP31" s="23"/>
      <c r="BQ31" s="23"/>
      <c r="BR31" s="13">
        <v>3.6131163615453161</v>
      </c>
      <c r="BS31" s="13">
        <v>64.674782871661165</v>
      </c>
      <c r="BT31" s="13">
        <v>254.6042662768933</v>
      </c>
      <c r="BU31" s="13">
        <v>85.028671708366446</v>
      </c>
      <c r="BV31" s="13">
        <v>67.083527112691371</v>
      </c>
      <c r="BW31" s="13">
        <v>49.861005789325361</v>
      </c>
      <c r="BX31" s="13">
        <v>8.5510420556572484</v>
      </c>
      <c r="BY31" s="13">
        <v>2.6496186651332319</v>
      </c>
      <c r="BZ31" s="13">
        <v>0.60218606025755272</v>
      </c>
      <c r="CA31" s="4"/>
      <c r="CB31" s="4"/>
      <c r="CC31" s="4"/>
      <c r="CD31" s="4"/>
      <c r="CE31" s="4"/>
      <c r="CF31" s="4"/>
      <c r="CG31" s="4"/>
      <c r="CH31" s="4"/>
      <c r="CI31" s="4"/>
      <c r="CJ31" s="23"/>
      <c r="CK31" s="23"/>
      <c r="CL31" s="23"/>
      <c r="CM31" s="23"/>
      <c r="CN31" s="23"/>
      <c r="CO31" s="23"/>
      <c r="CP31" s="23"/>
      <c r="CQ31" s="23"/>
      <c r="CR31" s="23"/>
      <c r="CS31" s="31">
        <f t="shared" si="29"/>
        <v>1979</v>
      </c>
      <c r="CT31" s="1">
        <v>2.6197453885975358E-2</v>
      </c>
      <c r="CU31" s="1">
        <v>0.34768661313711668</v>
      </c>
      <c r="CV31" s="1">
        <v>0.8</v>
      </c>
      <c r="CW31" s="1">
        <v>1</v>
      </c>
      <c r="CX31">
        <f t="shared" si="61"/>
        <v>1</v>
      </c>
      <c r="CY31">
        <f t="shared" si="62"/>
        <v>1</v>
      </c>
      <c r="CZ31">
        <f t="shared" si="63"/>
        <v>1</v>
      </c>
      <c r="DA31">
        <f t="shared" si="64"/>
        <v>1</v>
      </c>
      <c r="DB31">
        <f t="shared" si="65"/>
        <v>1</v>
      </c>
      <c r="DC31" s="11">
        <v>6.2100000000000002E-2</v>
      </c>
      <c r="DD31" s="11">
        <v>8.3199999999999996E-2</v>
      </c>
      <c r="DE31" s="11">
        <v>0.1103</v>
      </c>
      <c r="DF31" s="11">
        <v>0.14069999999999999</v>
      </c>
      <c r="DG31" s="11">
        <v>0.16639999999999999</v>
      </c>
      <c r="DH31" s="11">
        <v>0.18379999999999999</v>
      </c>
      <c r="DI31" s="11">
        <v>0.20030000000000001</v>
      </c>
      <c r="DJ31" s="11">
        <v>0.2014</v>
      </c>
      <c r="DK31" s="11">
        <v>0.19220000000000001</v>
      </c>
      <c r="DL31" s="10">
        <f t="shared" si="31"/>
        <v>0.1273431104129264</v>
      </c>
      <c r="DN31" s="1">
        <v>30</v>
      </c>
      <c r="DO31" s="1">
        <v>537</v>
      </c>
      <c r="DP31" s="1">
        <v>2114</v>
      </c>
      <c r="DQ31" s="1">
        <v>706</v>
      </c>
      <c r="DR31" s="1">
        <v>557</v>
      </c>
      <c r="DS31" s="1">
        <v>414</v>
      </c>
      <c r="DT31" s="1">
        <v>71</v>
      </c>
      <c r="DU31" s="1">
        <v>22</v>
      </c>
      <c r="DV31" s="1">
        <v>5</v>
      </c>
      <c r="DW31">
        <f t="shared" si="32"/>
        <v>4456</v>
      </c>
      <c r="DX31" s="19">
        <f t="shared" si="33"/>
        <v>694.53235838645446</v>
      </c>
      <c r="DY31">
        <f t="shared" si="66"/>
        <v>1.9270878747644965E-2</v>
      </c>
      <c r="DZ31">
        <f t="shared" si="34"/>
        <v>0.10136563434348142</v>
      </c>
      <c r="EA31">
        <f t="shared" si="35"/>
        <v>0.55686427456429044</v>
      </c>
      <c r="EB31">
        <f t="shared" si="36"/>
        <v>0.16419324739851329</v>
      </c>
      <c r="EC31">
        <f t="shared" si="37"/>
        <v>8.2636457770152619E-2</v>
      </c>
      <c r="ED31">
        <f t="shared" si="38"/>
        <v>6.6102108031304285E-2</v>
      </c>
      <c r="EE31">
        <f t="shared" si="39"/>
        <v>8.6437452769908048E-3</v>
      </c>
      <c r="EF31">
        <f t="shared" si="40"/>
        <v>8.3843594192016622E-4</v>
      </c>
      <c r="EG31">
        <f t="shared" si="41"/>
        <v>8.5217925702244968E-5</v>
      </c>
      <c r="EH31">
        <f t="shared" si="42"/>
        <v>6.7324955116696587E-3</v>
      </c>
      <c r="EI31">
        <f t="shared" si="43"/>
        <v>0.12051166965888689</v>
      </c>
      <c r="EJ31">
        <f t="shared" si="44"/>
        <v>0.4744165170556553</v>
      </c>
      <c r="EK31">
        <f t="shared" si="45"/>
        <v>0.15843806104129263</v>
      </c>
      <c r="EL31">
        <f t="shared" si="46"/>
        <v>0.125</v>
      </c>
      <c r="EM31">
        <f t="shared" si="47"/>
        <v>9.2908438061041293E-2</v>
      </c>
      <c r="EN31">
        <f t="shared" si="48"/>
        <v>1.5933572710951527E-2</v>
      </c>
      <c r="EO31">
        <f t="shared" si="49"/>
        <v>4.9371633752244163E-3</v>
      </c>
      <c r="EP31">
        <f t="shared" si="50"/>
        <v>1.1220825852782765E-3</v>
      </c>
      <c r="EQ31">
        <f t="shared" si="51"/>
        <v>-1.5494370819834107</v>
      </c>
      <c r="ER31">
        <v>100</v>
      </c>
      <c r="ES31">
        <v>0.35833633527565989</v>
      </c>
    </row>
    <row r="32" spans="1:149" x14ac:dyDescent="0.3">
      <c r="C32">
        <f t="shared" si="13"/>
        <v>2.081182876973971E-2</v>
      </c>
      <c r="D32">
        <v>30</v>
      </c>
      <c r="E32">
        <v>1980</v>
      </c>
      <c r="F32" s="2">
        <v>5.7717999780945206</v>
      </c>
      <c r="G32" s="3">
        <f t="shared" si="67"/>
        <v>321.11521311476872</v>
      </c>
      <c r="H32" s="4">
        <f t="shared" si="52"/>
        <v>365.12730235738206</v>
      </c>
      <c r="I32" s="4">
        <f t="shared" si="53"/>
        <v>132.9556534112651</v>
      </c>
      <c r="J32" s="4">
        <f t="shared" si="54"/>
        <v>278.68324648948834</v>
      </c>
      <c r="K32" s="4">
        <f t="shared" si="55"/>
        <v>55.318947110382531</v>
      </c>
      <c r="L32" s="4">
        <f t="shared" si="56"/>
        <v>24.036654464444791</v>
      </c>
      <c r="M32" s="4">
        <f t="shared" si="57"/>
        <v>15.803731108380545</v>
      </c>
      <c r="N32" s="4">
        <f t="shared" si="58"/>
        <v>1.5907772316425761</v>
      </c>
      <c r="O32" s="4">
        <f t="shared" si="59"/>
        <v>0.10882719261267461</v>
      </c>
      <c r="P32" s="22">
        <v>1.1440797552245341</v>
      </c>
      <c r="Q32" s="4"/>
      <c r="R32" s="5">
        <f t="shared" si="15"/>
        <v>75.162482198418488</v>
      </c>
      <c r="S32" s="4">
        <f t="shared" si="16"/>
        <v>-0.18756237106003551</v>
      </c>
      <c r="T32" s="5">
        <v>45.367029906298811</v>
      </c>
      <c r="U32" s="5">
        <f t="shared" si="60"/>
        <v>53.937543449383639</v>
      </c>
      <c r="V32" s="5">
        <v>62.308</v>
      </c>
      <c r="W32" s="4"/>
      <c r="X32" s="4">
        <f t="shared" si="17"/>
        <v>5.4592537353044035E-2</v>
      </c>
      <c r="Y32" s="23">
        <v>0.85816083762223316</v>
      </c>
      <c r="Z32" s="23">
        <v>13.141835152889318</v>
      </c>
      <c r="AA32" s="23">
        <v>4.7099059925313265</v>
      </c>
      <c r="AB32" s="23">
        <v>8.7213089776957187</v>
      </c>
      <c r="AC32" s="23">
        <v>3.1931566051059841</v>
      </c>
      <c r="AD32" s="23">
        <v>2.4647177545661814</v>
      </c>
      <c r="AE32" s="23">
        <v>1.1674978837418755</v>
      </c>
      <c r="AF32" s="23">
        <v>0.16963644464625541</v>
      </c>
      <c r="AG32" s="23">
        <v>3.99144575638248E-2</v>
      </c>
      <c r="AH32" s="23">
        <f t="shared" si="18"/>
        <v>3.9820000000000011</v>
      </c>
      <c r="AI32" s="10">
        <v>2.2221098861949531</v>
      </c>
      <c r="AJ32" s="4">
        <f t="shared" si="19"/>
        <v>2.2221098861949531</v>
      </c>
      <c r="AK32" s="23">
        <f t="shared" si="20"/>
        <v>0.47888691140776152</v>
      </c>
      <c r="AL32" s="23">
        <f t="shared" si="1"/>
        <v>7.3336518874886263</v>
      </c>
      <c r="AM32" s="23">
        <f t="shared" si="2"/>
        <v>2.6283095602844586</v>
      </c>
      <c r="AN32" s="23">
        <f t="shared" si="3"/>
        <v>4.866827448492832</v>
      </c>
      <c r="AO32" s="23">
        <f t="shared" si="4"/>
        <v>1.7819047866335314</v>
      </c>
      <c r="AP32" s="23">
        <f t="shared" si="5"/>
        <v>1.375407757182757</v>
      </c>
      <c r="AQ32" s="23">
        <f t="shared" si="6"/>
        <v>0.65150893761288498</v>
      </c>
      <c r="AR32" s="23">
        <f t="shared" si="7"/>
        <v>9.4663691789906343E-2</v>
      </c>
      <c r="AS32" s="23">
        <f t="shared" si="8"/>
        <v>2.2273809832919142E-2</v>
      </c>
      <c r="AT32" s="23">
        <f t="shared" si="21"/>
        <v>75.162482198418473</v>
      </c>
      <c r="AU32" s="23">
        <f t="shared" si="22"/>
        <v>93.03090327202861</v>
      </c>
      <c r="AV32" s="4">
        <f t="shared" si="69"/>
        <v>0.37106368139083207</v>
      </c>
      <c r="AW32" s="4">
        <f t="shared" si="69"/>
        <v>0.37106368139083207</v>
      </c>
      <c r="AX32" s="4">
        <f t="shared" si="69"/>
        <v>0.37106368139083207</v>
      </c>
      <c r="AY32" s="4">
        <f t="shared" si="70"/>
        <v>0.49515641167153346</v>
      </c>
      <c r="AZ32" s="4">
        <f t="shared" si="70"/>
        <v>0.66074877255687903</v>
      </c>
      <c r="BA32" s="4">
        <f t="shared" si="70"/>
        <v>0.88171925101726745</v>
      </c>
      <c r="BB32" s="4">
        <f t="shared" si="70"/>
        <v>1.1765876380005351</v>
      </c>
      <c r="BC32" s="4">
        <f t="shared" si="70"/>
        <v>1.5700671934955486</v>
      </c>
      <c r="BD32" s="24">
        <f t="shared" si="24"/>
        <v>1.5700671934955486</v>
      </c>
      <c r="BE32" s="4">
        <f t="shared" si="25"/>
        <v>0.45453635557241323</v>
      </c>
      <c r="BF32" s="4">
        <f t="shared" si="26"/>
        <v>2.9564083319240212E-2</v>
      </c>
      <c r="BG32" s="4">
        <f t="shared" si="27"/>
        <v>2.3885717627586119E-2</v>
      </c>
      <c r="BH32" s="4">
        <f t="shared" si="28"/>
        <v>0.44870205260749857</v>
      </c>
      <c r="BI32" s="23"/>
      <c r="BJ32" s="23"/>
      <c r="BK32" s="23"/>
      <c r="BL32" s="23"/>
      <c r="BM32" s="23"/>
      <c r="BN32" s="23"/>
      <c r="BO32" s="23"/>
      <c r="BP32" s="23"/>
      <c r="BQ32" s="23"/>
      <c r="BR32" s="13">
        <v>13.427997355742368</v>
      </c>
      <c r="BS32" s="13">
        <v>205.63572694782209</v>
      </c>
      <c r="BT32" s="13">
        <v>73.697845952446485</v>
      </c>
      <c r="BU32" s="13">
        <v>136.46592661533523</v>
      </c>
      <c r="BV32" s="13">
        <v>49.96464132369254</v>
      </c>
      <c r="BW32" s="13">
        <v>38.566457521725177</v>
      </c>
      <c r="BX32" s="13">
        <v>18.268321983975085</v>
      </c>
      <c r="BY32" s="13">
        <v>2.6543715703211657</v>
      </c>
      <c r="BZ32" s="13">
        <v>0.62455801654615672</v>
      </c>
      <c r="CA32" s="4"/>
      <c r="CB32" s="4"/>
      <c r="CC32" s="4"/>
      <c r="CD32" s="4"/>
      <c r="CE32" s="4"/>
      <c r="CF32" s="4"/>
      <c r="CG32" s="4"/>
      <c r="CH32" s="4"/>
      <c r="CI32" s="4"/>
      <c r="CJ32" s="23"/>
      <c r="CK32" s="23"/>
      <c r="CL32" s="23"/>
      <c r="CM32" s="23"/>
      <c r="CN32" s="23"/>
      <c r="CO32" s="23"/>
      <c r="CP32" s="23"/>
      <c r="CQ32" s="23"/>
      <c r="CR32" s="23"/>
      <c r="CS32" s="31">
        <f t="shared" si="29"/>
        <v>1980</v>
      </c>
      <c r="CT32" s="1">
        <v>2.6197453885975358E-2</v>
      </c>
      <c r="CU32" s="1">
        <v>0.34768661313711668</v>
      </c>
      <c r="CV32" s="1">
        <v>0.8</v>
      </c>
      <c r="CW32" s="1">
        <v>1</v>
      </c>
      <c r="CX32">
        <f t="shared" si="61"/>
        <v>1</v>
      </c>
      <c r="CY32">
        <f t="shared" si="62"/>
        <v>1</v>
      </c>
      <c r="CZ32">
        <f t="shared" si="63"/>
        <v>1</v>
      </c>
      <c r="DA32">
        <f t="shared" si="64"/>
        <v>1</v>
      </c>
      <c r="DB32">
        <f t="shared" si="65"/>
        <v>1</v>
      </c>
      <c r="DC32" s="11">
        <v>5.91E-2</v>
      </c>
      <c r="DD32" s="11">
        <v>8.1299999999999997E-2</v>
      </c>
      <c r="DE32" s="11">
        <v>0.1072</v>
      </c>
      <c r="DF32" s="11">
        <v>0.13070000000000001</v>
      </c>
      <c r="DG32" s="11">
        <v>0.15970000000000001</v>
      </c>
      <c r="DH32" s="11">
        <v>0.17849999999999999</v>
      </c>
      <c r="DI32" s="11">
        <v>0.1923</v>
      </c>
      <c r="DJ32" s="11">
        <v>0.20830000000000001</v>
      </c>
      <c r="DK32" s="11">
        <v>0.2087</v>
      </c>
      <c r="DL32" s="10">
        <f t="shared" si="31"/>
        <v>0.11553370005790385</v>
      </c>
      <c r="DN32" s="1">
        <v>86</v>
      </c>
      <c r="DO32" s="1">
        <v>1317</v>
      </c>
      <c r="DP32" s="1">
        <v>472</v>
      </c>
      <c r="DQ32" s="1">
        <v>874</v>
      </c>
      <c r="DR32" s="1">
        <v>320</v>
      </c>
      <c r="DS32" s="1">
        <v>247</v>
      </c>
      <c r="DT32" s="1">
        <v>117</v>
      </c>
      <c r="DU32" s="1">
        <v>17</v>
      </c>
      <c r="DV32" s="1">
        <v>4</v>
      </c>
      <c r="DW32">
        <f t="shared" si="32"/>
        <v>3454</v>
      </c>
      <c r="DX32" s="19">
        <f t="shared" si="33"/>
        <v>617.26898243415314</v>
      </c>
      <c r="DY32">
        <f t="shared" si="66"/>
        <v>1.3628420068161602E-2</v>
      </c>
      <c r="DZ32">
        <f t="shared" si="34"/>
        <v>0.2056637847246317</v>
      </c>
      <c r="EA32">
        <f t="shared" si="35"/>
        <v>0.17231470518666225</v>
      </c>
      <c r="EB32">
        <f t="shared" si="36"/>
        <v>0.45147780695301132</v>
      </c>
      <c r="EC32">
        <f t="shared" si="37"/>
        <v>8.9618867438043759E-2</v>
      </c>
      <c r="ED32">
        <f t="shared" si="38"/>
        <v>3.8940324475171387E-2</v>
      </c>
      <c r="EE32">
        <f t="shared" si="39"/>
        <v>2.5602665220694772E-2</v>
      </c>
      <c r="EF32">
        <f t="shared" si="40"/>
        <v>2.5771216064825863E-3</v>
      </c>
      <c r="EG32">
        <f t="shared" si="41"/>
        <v>1.763043271403706E-4</v>
      </c>
      <c r="EH32">
        <f t="shared" si="42"/>
        <v>2.4898668210770122E-2</v>
      </c>
      <c r="EI32">
        <f t="shared" si="43"/>
        <v>0.38129704690214244</v>
      </c>
      <c r="EJ32">
        <f t="shared" si="44"/>
        <v>0.13665315576143602</v>
      </c>
      <c r="EK32">
        <f t="shared" si="45"/>
        <v>0.25303995367689636</v>
      </c>
      <c r="EL32">
        <f t="shared" si="46"/>
        <v>9.2646207295888822E-2</v>
      </c>
      <c r="EM32">
        <f t="shared" si="47"/>
        <v>7.1511291256514189E-2</v>
      </c>
      <c r="EN32">
        <f t="shared" si="48"/>
        <v>3.387376954255935E-2</v>
      </c>
      <c r="EO32">
        <f t="shared" si="49"/>
        <v>4.9218297625940937E-3</v>
      </c>
      <c r="EP32">
        <f t="shared" si="50"/>
        <v>1.1580775911986102E-3</v>
      </c>
      <c r="EQ32">
        <f t="shared" si="51"/>
        <v>-1.7689562681208721</v>
      </c>
      <c r="ER32">
        <v>100</v>
      </c>
      <c r="ES32">
        <v>0.40172384256776755</v>
      </c>
    </row>
    <row r="33" spans="3:149" x14ac:dyDescent="0.3">
      <c r="C33">
        <f t="shared" si="13"/>
        <v>6.8394535753506279E-3</v>
      </c>
      <c r="D33">
        <v>31</v>
      </c>
      <c r="E33">
        <v>1981</v>
      </c>
      <c r="F33" s="2">
        <v>5.1959727103850586</v>
      </c>
      <c r="G33" s="3">
        <f t="shared" si="67"/>
        <v>180.54367411937207</v>
      </c>
      <c r="H33" s="4">
        <f t="shared" si="52"/>
        <v>209.57203428924498</v>
      </c>
      <c r="I33" s="4">
        <f t="shared" si="53"/>
        <v>231.88089184137661</v>
      </c>
      <c r="J33" s="4">
        <f t="shared" si="54"/>
        <v>81.198542304210321</v>
      </c>
      <c r="K33" s="4">
        <f t="shared" si="55"/>
        <v>145.10073372276375</v>
      </c>
      <c r="L33" s="4">
        <f t="shared" si="56"/>
        <v>23.831708958536804</v>
      </c>
      <c r="M33" s="4">
        <f t="shared" si="57"/>
        <v>8.041966259424461</v>
      </c>
      <c r="N33" s="4">
        <f t="shared" si="58"/>
        <v>3.7734389898646792</v>
      </c>
      <c r="O33" s="4">
        <f t="shared" si="59"/>
        <v>0.24214742465945063</v>
      </c>
      <c r="P33" s="22">
        <v>1.2685322864489299</v>
      </c>
      <c r="Q33" s="4"/>
      <c r="R33" s="5">
        <f t="shared" si="15"/>
        <v>66.619800432210326</v>
      </c>
      <c r="S33" s="4">
        <f t="shared" si="16"/>
        <v>-0.24912443616815719</v>
      </c>
      <c r="T33" s="5">
        <v>41.858311516099349</v>
      </c>
      <c r="U33" s="5">
        <f t="shared" si="60"/>
        <v>47.807207469755696</v>
      </c>
      <c r="V33" s="5">
        <v>51.929000000000002</v>
      </c>
      <c r="W33" s="4"/>
      <c r="X33" s="4">
        <f t="shared" si="17"/>
        <v>0.12559868953824826</v>
      </c>
      <c r="Y33" s="23">
        <v>2.2164195996362497</v>
      </c>
      <c r="Z33" s="23">
        <v>22.806636460025178</v>
      </c>
      <c r="AA33" s="23">
        <v>19.787166280810577</v>
      </c>
      <c r="AB33" s="23">
        <v>7.6289805059943374</v>
      </c>
      <c r="AC33" s="23">
        <v>9.8614611172221558</v>
      </c>
      <c r="AD33" s="23">
        <v>4.5613272920050356</v>
      </c>
      <c r="AE33" s="23">
        <v>1.8309553214386411</v>
      </c>
      <c r="AF33" s="23">
        <v>0.33728124342290761</v>
      </c>
      <c r="AG33" s="23">
        <v>0</v>
      </c>
      <c r="AH33" s="23">
        <f t="shared" si="18"/>
        <v>8.0890000000000022</v>
      </c>
      <c r="AI33" s="10">
        <v>2.2162622285997031</v>
      </c>
      <c r="AJ33" s="4">
        <f t="shared" si="19"/>
        <v>2.2162622285997031</v>
      </c>
      <c r="AK33" s="23">
        <f t="shared" si="20"/>
        <v>0.60726505642253625</v>
      </c>
      <c r="AL33" s="23">
        <f t="shared" si="1"/>
        <v>6.2486694211594305</v>
      </c>
      <c r="AM33" s="23">
        <f t="shared" si="2"/>
        <v>5.421380793569309</v>
      </c>
      <c r="AN33" s="23">
        <f t="shared" si="3"/>
        <v>2.0902239260920634</v>
      </c>
      <c r="AO33" s="23">
        <f t="shared" si="4"/>
        <v>2.7018894539379508</v>
      </c>
      <c r="AP33" s="23">
        <f t="shared" si="5"/>
        <v>1.2497338842318861</v>
      </c>
      <c r="AQ33" s="23">
        <f t="shared" si="6"/>
        <v>0.50165374226209525</v>
      </c>
      <c r="AR33" s="23">
        <f t="shared" si="7"/>
        <v>9.2409899890385949E-2</v>
      </c>
      <c r="AS33" s="23">
        <f t="shared" si="8"/>
        <v>0</v>
      </c>
      <c r="AT33" s="23">
        <f t="shared" si="21"/>
        <v>66.619800432210326</v>
      </c>
      <c r="AU33" s="23">
        <f t="shared" si="22"/>
        <v>82.668819937609072</v>
      </c>
      <c r="AV33" s="4">
        <f t="shared" si="69"/>
        <v>0.37106368139083207</v>
      </c>
      <c r="AW33" s="4">
        <f t="shared" si="69"/>
        <v>0.37106368139083207</v>
      </c>
      <c r="AX33" s="4">
        <f t="shared" si="69"/>
        <v>0.37106368139083207</v>
      </c>
      <c r="AY33" s="4">
        <f t="shared" ref="AY33:BC42" si="71">AX33*EXP(tanasMsl)</f>
        <v>0.49515641167153346</v>
      </c>
      <c r="AZ33" s="4">
        <f t="shared" si="71"/>
        <v>0.66074877255687903</v>
      </c>
      <c r="BA33" s="4">
        <f t="shared" si="71"/>
        <v>0.88171925101726745</v>
      </c>
      <c r="BB33" s="4">
        <f t="shared" si="71"/>
        <v>1.1765876380005351</v>
      </c>
      <c r="BC33" s="4">
        <f t="shared" si="71"/>
        <v>1.5700671934955486</v>
      </c>
      <c r="BD33" s="24">
        <f t="shared" si="24"/>
        <v>1.5700671934955486</v>
      </c>
      <c r="BE33" s="4">
        <f t="shared" si="25"/>
        <v>0.50453952466918328</v>
      </c>
      <c r="BF33" s="4">
        <f t="shared" si="26"/>
        <v>3.326732013937634E-2</v>
      </c>
      <c r="BG33" s="4">
        <f t="shared" si="27"/>
        <v>2.6808925424027304E-2</v>
      </c>
      <c r="BH33" s="4">
        <f t="shared" si="28"/>
        <v>0.49788109950021775</v>
      </c>
      <c r="BI33" s="23"/>
      <c r="BJ33" s="23"/>
      <c r="BK33" s="23"/>
      <c r="BL33" s="23"/>
      <c r="BM33" s="23"/>
      <c r="BN33" s="23"/>
      <c r="BO33" s="23"/>
      <c r="BP33" s="23"/>
      <c r="BQ33" s="23"/>
      <c r="BR33" s="13">
        <v>14.228761699778811</v>
      </c>
      <c r="BS33" s="13">
        <v>146.41189575134717</v>
      </c>
      <c r="BT33" s="13">
        <v>127.02778560961953</v>
      </c>
      <c r="BU33" s="13">
        <v>48.975810198514026</v>
      </c>
      <c r="BV33" s="13">
        <v>63.307678867131813</v>
      </c>
      <c r="BW33" s="13">
        <v>29.282379150269438</v>
      </c>
      <c r="BX33" s="13">
        <v>11.754194447643366</v>
      </c>
      <c r="BY33" s="13">
        <v>2.1652463456185149</v>
      </c>
      <c r="BZ33" s="13">
        <v>0</v>
      </c>
      <c r="CA33" s="4"/>
      <c r="CB33" s="4"/>
      <c r="CC33" s="4"/>
      <c r="CD33" s="4"/>
      <c r="CE33" s="4"/>
      <c r="CF33" s="4"/>
      <c r="CG33" s="4"/>
      <c r="CH33" s="4"/>
      <c r="CI33" s="4"/>
      <c r="CJ33" s="23"/>
      <c r="CK33" s="23"/>
      <c r="CL33" s="23"/>
      <c r="CM33" s="23"/>
      <c r="CN33" s="23"/>
      <c r="CO33" s="23"/>
      <c r="CP33" s="23"/>
      <c r="CQ33" s="23"/>
      <c r="CR33" s="23"/>
      <c r="CS33" s="31">
        <f t="shared" si="29"/>
        <v>1981</v>
      </c>
      <c r="CT33" s="1">
        <v>2.6197453885975358E-2</v>
      </c>
      <c r="CU33" s="1">
        <v>0.34768661313711668</v>
      </c>
      <c r="CV33" s="1">
        <v>0.8</v>
      </c>
      <c r="CW33" s="1">
        <v>1</v>
      </c>
      <c r="CX33">
        <f t="shared" si="61"/>
        <v>1</v>
      </c>
      <c r="CY33">
        <f t="shared" si="62"/>
        <v>1</v>
      </c>
      <c r="CZ33">
        <f t="shared" si="63"/>
        <v>1</v>
      </c>
      <c r="DA33">
        <f t="shared" si="64"/>
        <v>1</v>
      </c>
      <c r="DB33">
        <f t="shared" si="65"/>
        <v>1</v>
      </c>
      <c r="DC33" s="11">
        <v>6.0999999999999999E-2</v>
      </c>
      <c r="DD33" s="11">
        <v>9.01E-2</v>
      </c>
      <c r="DE33" s="11">
        <v>0.1099</v>
      </c>
      <c r="DF33" s="11">
        <v>0.13669999999999999</v>
      </c>
      <c r="DG33" s="11">
        <v>0.15090000000000001</v>
      </c>
      <c r="DH33" s="11">
        <v>0.17549999999999999</v>
      </c>
      <c r="DI33" s="11">
        <v>0.18029999999999999</v>
      </c>
      <c r="DJ33" s="11">
        <v>0.18590000000000001</v>
      </c>
      <c r="DK33" s="11">
        <v>0.20519999999999999</v>
      </c>
      <c r="DL33" s="10">
        <f t="shared" si="31"/>
        <v>0.11718054909260121</v>
      </c>
      <c r="DN33" s="1">
        <v>138</v>
      </c>
      <c r="DO33" s="1">
        <v>1420</v>
      </c>
      <c r="DP33" s="1">
        <v>1232</v>
      </c>
      <c r="DQ33" s="1">
        <v>475</v>
      </c>
      <c r="DR33" s="1">
        <v>614</v>
      </c>
      <c r="DS33" s="1">
        <v>284</v>
      </c>
      <c r="DT33" s="1">
        <v>114</v>
      </c>
      <c r="DU33" s="1">
        <v>21</v>
      </c>
      <c r="DV33" s="1">
        <v>0</v>
      </c>
      <c r="DW33">
        <f t="shared" si="32"/>
        <v>4298</v>
      </c>
      <c r="DX33" s="19">
        <f t="shared" si="33"/>
        <v>525.28842651999082</v>
      </c>
      <c r="DY33">
        <f t="shared" si="66"/>
        <v>9.0041667365134918E-3</v>
      </c>
      <c r="DZ33">
        <f t="shared" si="34"/>
        <v>0.13871501280356163</v>
      </c>
      <c r="EA33">
        <f t="shared" si="35"/>
        <v>0.35314829740693243</v>
      </c>
      <c r="EB33">
        <f t="shared" si="36"/>
        <v>0.15457896691565537</v>
      </c>
      <c r="EC33">
        <f t="shared" si="37"/>
        <v>0.27623059332193695</v>
      </c>
      <c r="ED33">
        <f t="shared" si="38"/>
        <v>4.536880646013975E-2</v>
      </c>
      <c r="EE33">
        <f t="shared" si="39"/>
        <v>1.5309620112329676E-2</v>
      </c>
      <c r="EF33">
        <f t="shared" si="40"/>
        <v>7.1835563080335143E-3</v>
      </c>
      <c r="EG33">
        <f t="shared" si="41"/>
        <v>4.6097993489722407E-4</v>
      </c>
      <c r="EH33">
        <f t="shared" si="42"/>
        <v>3.2107957189390413E-2</v>
      </c>
      <c r="EI33">
        <f t="shared" si="43"/>
        <v>0.33038622615169844</v>
      </c>
      <c r="EJ33">
        <f t="shared" si="44"/>
        <v>0.28664495114006516</v>
      </c>
      <c r="EK33">
        <f t="shared" si="45"/>
        <v>0.11051651931130758</v>
      </c>
      <c r="EL33">
        <f t="shared" si="46"/>
        <v>0.14285714285714285</v>
      </c>
      <c r="EM33">
        <f t="shared" si="47"/>
        <v>6.6077245230339698E-2</v>
      </c>
      <c r="EN33">
        <f t="shared" si="48"/>
        <v>2.652396463471382E-2</v>
      </c>
      <c r="EO33">
        <f t="shared" si="49"/>
        <v>4.8859934853420191E-3</v>
      </c>
      <c r="EP33">
        <f t="shared" si="50"/>
        <v>0</v>
      </c>
      <c r="EQ33">
        <f t="shared" si="51"/>
        <v>-1.830498937347945</v>
      </c>
      <c r="ER33">
        <v>100</v>
      </c>
      <c r="ES33">
        <v>0.4443507945937637</v>
      </c>
    </row>
    <row r="34" spans="3:149" x14ac:dyDescent="0.3">
      <c r="C34">
        <f t="shared" si="13"/>
        <v>9.4111889749495738E-4</v>
      </c>
      <c r="D34">
        <v>32</v>
      </c>
      <c r="E34">
        <v>1982</v>
      </c>
      <c r="F34" s="2">
        <v>5.0479108038371292</v>
      </c>
      <c r="G34" s="3">
        <f t="shared" si="67"/>
        <v>155.69684321406243</v>
      </c>
      <c r="H34" s="4">
        <f t="shared" si="52"/>
        <v>112.2915664018561</v>
      </c>
      <c r="I34" s="4">
        <f t="shared" si="53"/>
        <v>123.72681991555106</v>
      </c>
      <c r="J34" s="4">
        <f t="shared" si="54"/>
        <v>126.80498310879857</v>
      </c>
      <c r="K34" s="4">
        <f t="shared" si="55"/>
        <v>36.624825108136712</v>
      </c>
      <c r="L34" s="4">
        <f t="shared" si="56"/>
        <v>53.048042085198126</v>
      </c>
      <c r="M34" s="4">
        <f t="shared" si="57"/>
        <v>6.5829209335073315</v>
      </c>
      <c r="N34" s="4">
        <f t="shared" si="58"/>
        <v>1.5281916348551656</v>
      </c>
      <c r="O34" s="4">
        <f t="shared" si="59"/>
        <v>0.43528980549087121</v>
      </c>
      <c r="P34" s="22">
        <v>1.3240989779268961</v>
      </c>
      <c r="Q34" s="4"/>
      <c r="R34" s="5">
        <f t="shared" si="15"/>
        <v>45.249228091962365</v>
      </c>
      <c r="S34" s="4">
        <f t="shared" si="16"/>
        <v>-0.30114776391758241</v>
      </c>
      <c r="T34" s="5">
        <v>32.682248835892189</v>
      </c>
      <c r="U34" s="5">
        <f t="shared" si="60"/>
        <v>32.471415723317406</v>
      </c>
      <c r="V34" s="5">
        <v>33.482999999999997</v>
      </c>
      <c r="W34" s="4"/>
      <c r="X34" s="4">
        <f t="shared" si="17"/>
        <v>0.12749130618757748</v>
      </c>
      <c r="Y34" s="23">
        <v>1.2499887875185645</v>
      </c>
      <c r="Z34" s="23">
        <v>9.4921023552190995</v>
      </c>
      <c r="AA34" s="23">
        <v>11.749894602674507</v>
      </c>
      <c r="AB34" s="23">
        <v>13.203006568164838</v>
      </c>
      <c r="AC34" s="23">
        <v>2.9374736506686268</v>
      </c>
      <c r="AD34" s="23">
        <v>5.4687009453937199</v>
      </c>
      <c r="AE34" s="23">
        <v>1.3046757969725018</v>
      </c>
      <c r="AF34" s="23">
        <v>0.63280682368127328</v>
      </c>
      <c r="AG34" s="23">
        <v>0.12499887875185646</v>
      </c>
      <c r="AH34" s="23">
        <f t="shared" si="18"/>
        <v>5.4869999999999992</v>
      </c>
      <c r="AI34" s="10">
        <v>2.2109993367639782</v>
      </c>
      <c r="AJ34" s="4">
        <f t="shared" si="19"/>
        <v>2.2109993367639782</v>
      </c>
      <c r="AK34" s="23">
        <f t="shared" si="20"/>
        <v>0.50368587209148075</v>
      </c>
      <c r="AL34" s="23">
        <f t="shared" si="1"/>
        <v>3.8248645911946824</v>
      </c>
      <c r="AM34" s="23">
        <f t="shared" si="2"/>
        <v>4.7346471976599203</v>
      </c>
      <c r="AN34" s="23">
        <f t="shared" si="3"/>
        <v>5.3201820239662663</v>
      </c>
      <c r="AO34" s="23">
        <f t="shared" si="4"/>
        <v>1.1836617994149801</v>
      </c>
      <c r="AP34" s="23">
        <f t="shared" si="5"/>
        <v>2.2036256904002287</v>
      </c>
      <c r="AQ34" s="23">
        <f t="shared" si="6"/>
        <v>0.52572212899548321</v>
      </c>
      <c r="AR34" s="23">
        <f t="shared" si="7"/>
        <v>0.25499097274631222</v>
      </c>
      <c r="AS34" s="23">
        <f t="shared" si="8"/>
        <v>5.0368587209148087E-2</v>
      </c>
      <c r="AT34" s="23">
        <f t="shared" si="21"/>
        <v>45.249228091962365</v>
      </c>
      <c r="AU34" s="23">
        <f t="shared" si="22"/>
        <v>54.356879784505331</v>
      </c>
      <c r="AV34" s="4">
        <f t="shared" si="69"/>
        <v>0.37106368139083207</v>
      </c>
      <c r="AW34" s="4">
        <f t="shared" si="69"/>
        <v>0.37106368139083207</v>
      </c>
      <c r="AX34" s="4">
        <f t="shared" si="69"/>
        <v>0.37106368139083207</v>
      </c>
      <c r="AY34" s="4">
        <f t="shared" si="71"/>
        <v>0.49515641167153346</v>
      </c>
      <c r="AZ34" s="4">
        <f t="shared" si="71"/>
        <v>0.66074877255687903</v>
      </c>
      <c r="BA34" s="4">
        <f t="shared" si="71"/>
        <v>0.88171925101726745</v>
      </c>
      <c r="BB34" s="4">
        <f t="shared" si="71"/>
        <v>1.1765876380005351</v>
      </c>
      <c r="BC34" s="4">
        <f t="shared" si="71"/>
        <v>1.5700671934955486</v>
      </c>
      <c r="BD34" s="24">
        <f t="shared" si="24"/>
        <v>1.5700671934955486</v>
      </c>
      <c r="BE34" s="4">
        <f t="shared" si="25"/>
        <v>0.5414218909852464</v>
      </c>
      <c r="BF34" s="4">
        <f t="shared" si="26"/>
        <v>4.8862697331995344E-2</v>
      </c>
      <c r="BG34" s="4">
        <f t="shared" si="27"/>
        <v>4.067561172623145E-2</v>
      </c>
      <c r="BH34" s="4">
        <f t="shared" si="28"/>
        <v>0.53285104576734732</v>
      </c>
      <c r="BI34" s="23"/>
      <c r="BJ34" s="23"/>
      <c r="BK34" s="23"/>
      <c r="BL34" s="23"/>
      <c r="BM34" s="23"/>
      <c r="BN34" s="23"/>
      <c r="BO34" s="23"/>
      <c r="BP34" s="23"/>
      <c r="BQ34" s="23"/>
      <c r="BR34" s="13">
        <v>7.6277336563667033</v>
      </c>
      <c r="BS34" s="13">
        <v>57.923102453034645</v>
      </c>
      <c r="BT34" s="13">
        <v>71.700696369847009</v>
      </c>
      <c r="BU34" s="13">
        <v>80.567936745373302</v>
      </c>
      <c r="BV34" s="13">
        <v>17.925174092461752</v>
      </c>
      <c r="BW34" s="13">
        <v>33.371334746604326</v>
      </c>
      <c r="BX34" s="13">
        <v>7.9614470038327454</v>
      </c>
      <c r="BY34" s="13">
        <v>3.861540163535643</v>
      </c>
      <c r="BZ34" s="13">
        <v>0.76277336563667031</v>
      </c>
      <c r="CA34" s="4"/>
      <c r="CB34" s="4"/>
      <c r="CC34" s="4"/>
      <c r="CD34" s="4"/>
      <c r="CE34" s="4"/>
      <c r="CF34" s="4"/>
      <c r="CG34" s="4"/>
      <c r="CH34" s="4"/>
      <c r="CI34" s="4"/>
      <c r="CJ34" s="23"/>
      <c r="CK34" s="23"/>
      <c r="CL34" s="23"/>
      <c r="CM34" s="23"/>
      <c r="CN34" s="23"/>
      <c r="CO34" s="23"/>
      <c r="CP34" s="23"/>
      <c r="CQ34" s="23"/>
      <c r="CR34" s="23"/>
      <c r="CS34" s="31">
        <f t="shared" si="29"/>
        <v>1982</v>
      </c>
      <c r="CT34" s="1">
        <v>2.6197453885975358E-2</v>
      </c>
      <c r="CU34" s="1">
        <v>0.34768661313711668</v>
      </c>
      <c r="CV34" s="1">
        <v>0.8</v>
      </c>
      <c r="CW34" s="1">
        <v>1</v>
      </c>
      <c r="CX34">
        <f t="shared" si="61"/>
        <v>1</v>
      </c>
      <c r="CY34">
        <f t="shared" si="62"/>
        <v>1</v>
      </c>
      <c r="CZ34">
        <f t="shared" si="63"/>
        <v>1</v>
      </c>
      <c r="DA34">
        <f t="shared" si="64"/>
        <v>1</v>
      </c>
      <c r="DB34">
        <f t="shared" si="65"/>
        <v>1</v>
      </c>
      <c r="DC34" s="11">
        <v>7.0999999999999994E-2</v>
      </c>
      <c r="DD34" s="11">
        <v>8.9399999999999993E-2</v>
      </c>
      <c r="DE34" s="11">
        <v>0.10979999999999999</v>
      </c>
      <c r="DF34" s="11">
        <v>0.12559999999999999</v>
      </c>
      <c r="DG34" s="11">
        <v>0.14230000000000001</v>
      </c>
      <c r="DH34" s="11">
        <v>0.15040000000000001</v>
      </c>
      <c r="DI34" s="11">
        <v>0.1714</v>
      </c>
      <c r="DJ34" s="11">
        <v>0.1799</v>
      </c>
      <c r="DK34" s="11">
        <v>0.18609999999999999</v>
      </c>
      <c r="DL34" s="10">
        <f t="shared" si="31"/>
        <v>0.11885975630394315</v>
      </c>
      <c r="DN34" s="1">
        <v>160</v>
      </c>
      <c r="DO34" s="1">
        <v>1215</v>
      </c>
      <c r="DP34" s="1">
        <v>1504</v>
      </c>
      <c r="DQ34" s="1">
        <v>1690</v>
      </c>
      <c r="DR34" s="1">
        <v>376</v>
      </c>
      <c r="DS34" s="1">
        <v>700</v>
      </c>
      <c r="DT34" s="1">
        <v>167</v>
      </c>
      <c r="DU34" s="1">
        <v>81</v>
      </c>
      <c r="DV34" s="1">
        <v>16</v>
      </c>
      <c r="DW34">
        <f t="shared" si="32"/>
        <v>5909</v>
      </c>
      <c r="DX34" s="19">
        <f t="shared" si="33"/>
        <v>367.12684388484291</v>
      </c>
      <c r="DY34">
        <f t="shared" si="66"/>
        <v>1.1110222361107858E-2</v>
      </c>
      <c r="DZ34">
        <f t="shared" si="34"/>
        <v>0.10634546358143571</v>
      </c>
      <c r="EA34">
        <f t="shared" si="35"/>
        <v>0.26961105563691351</v>
      </c>
      <c r="EB34">
        <f t="shared" si="36"/>
        <v>0.34539828732483979</v>
      </c>
      <c r="EC34">
        <f t="shared" si="37"/>
        <v>9.9760684129174881E-2</v>
      </c>
      <c r="ED34">
        <f t="shared" si="38"/>
        <v>0.14449513286431806</v>
      </c>
      <c r="EE34">
        <f t="shared" si="39"/>
        <v>1.7930916911028723E-2</v>
      </c>
      <c r="EF34">
        <f t="shared" si="40"/>
        <v>4.1625712211186472E-3</v>
      </c>
      <c r="EG34">
        <f t="shared" si="41"/>
        <v>1.1856659700629493E-3</v>
      </c>
      <c r="EH34">
        <f t="shared" si="42"/>
        <v>2.7077339651379252E-2</v>
      </c>
      <c r="EI34">
        <f t="shared" si="43"/>
        <v>0.20561854797766119</v>
      </c>
      <c r="EJ34">
        <f t="shared" si="44"/>
        <v>0.25452699272296497</v>
      </c>
      <c r="EK34">
        <f t="shared" si="45"/>
        <v>0.28600440006769334</v>
      </c>
      <c r="EL34">
        <f t="shared" si="46"/>
        <v>6.3631748180741243E-2</v>
      </c>
      <c r="EM34">
        <f t="shared" si="47"/>
        <v>0.11846336097478423</v>
      </c>
      <c r="EN34">
        <f t="shared" si="48"/>
        <v>2.8261973261127095E-2</v>
      </c>
      <c r="EO34">
        <f t="shared" si="49"/>
        <v>1.3707903198510746E-2</v>
      </c>
      <c r="EP34">
        <f t="shared" si="50"/>
        <v>2.7077339651379252E-3</v>
      </c>
      <c r="EQ34">
        <f t="shared" si="51"/>
        <v>-1.8017261105954021</v>
      </c>
      <c r="ER34">
        <v>100</v>
      </c>
      <c r="ES34">
        <v>0.42610554459792555</v>
      </c>
    </row>
    <row r="35" spans="3:149" x14ac:dyDescent="0.3">
      <c r="C35">
        <f t="shared" si="13"/>
        <v>9.9659995778645802E-2</v>
      </c>
      <c r="D35">
        <v>33</v>
      </c>
      <c r="E35">
        <v>1983</v>
      </c>
      <c r="F35" s="2">
        <v>5.5425283099202689</v>
      </c>
      <c r="G35" s="3">
        <f t="shared" si="67"/>
        <v>255.32271905309381</v>
      </c>
      <c r="H35" s="4">
        <f t="shared" si="52"/>
        <v>94.818005874575732</v>
      </c>
      <c r="I35" s="4">
        <f t="shared" si="53"/>
        <v>64.540914110156578</v>
      </c>
      <c r="J35" s="4">
        <f t="shared" si="54"/>
        <v>65.320039447807972</v>
      </c>
      <c r="K35" s="4">
        <f t="shared" si="55"/>
        <v>54.627353173440284</v>
      </c>
      <c r="L35" s="4">
        <f t="shared" si="56"/>
        <v>12.67143195523278</v>
      </c>
      <c r="M35" s="4">
        <f t="shared" si="57"/>
        <v>13.697795231934247</v>
      </c>
      <c r="N35" s="4">
        <f t="shared" si="58"/>
        <v>1.1503664667804128</v>
      </c>
      <c r="O35" s="4">
        <f t="shared" si="59"/>
        <v>0.1586081191874629</v>
      </c>
      <c r="P35" s="22">
        <v>0.78687768388876922</v>
      </c>
      <c r="Q35" s="4"/>
      <c r="R35" s="5">
        <f t="shared" si="15"/>
        <v>32.045806868806544</v>
      </c>
      <c r="S35" s="4">
        <f t="shared" si="16"/>
        <v>-0.64751513953160322</v>
      </c>
      <c r="T35" s="5">
        <v>23.503963889181506</v>
      </c>
      <c r="U35" s="5">
        <f t="shared" ref="U35:U66" si="72">R35*qfree</f>
        <v>22.996474435129539</v>
      </c>
      <c r="V35" s="5">
        <v>16.771000000000001</v>
      </c>
      <c r="W35" s="4"/>
      <c r="X35" s="4">
        <f t="shared" si="17"/>
        <v>0.28865499527202937</v>
      </c>
      <c r="Y35" s="23">
        <v>2.3290955413551395</v>
      </c>
      <c r="Z35" s="23">
        <v>12.50810568505538</v>
      </c>
      <c r="AA35" s="23">
        <v>13.491501580294218</v>
      </c>
      <c r="AB35" s="23">
        <v>14.45764491596746</v>
      </c>
      <c r="AC35" s="23">
        <v>14.181603962917961</v>
      </c>
      <c r="AD35" s="23">
        <v>3.0882081622412594</v>
      </c>
      <c r="AE35" s="23">
        <v>3.9508361405209409</v>
      </c>
      <c r="AF35" s="23">
        <v>0.6210921443613705</v>
      </c>
      <c r="AG35" s="23">
        <v>0.51757678696780884</v>
      </c>
      <c r="AH35" s="23">
        <f t="shared" si="18"/>
        <v>8.5749999999999993</v>
      </c>
      <c r="AI35" s="10">
        <v>2.3390630380999502</v>
      </c>
      <c r="AJ35" s="4">
        <f t="shared" ref="AJ35:AJ66" si="73">AI35*SSLQmult</f>
        <v>2.3390630380999502</v>
      </c>
      <c r="AK35" s="23">
        <f t="shared" ref="AK35:AK66" si="74">$AJ35/$DL35*DN35/$DW35</f>
        <v>0.63532376594602935</v>
      </c>
      <c r="AL35" s="23">
        <f t="shared" ref="AL35:AL66" si="75">$AJ35/$DL35*DO35/$DW35</f>
        <v>3.411923928228676</v>
      </c>
      <c r="AM35" s="23">
        <f t="shared" ref="AM35:AM66" si="76">$AJ35/$DL35*DP35/$DW35</f>
        <v>3.6801717405169998</v>
      </c>
      <c r="AN35" s="23">
        <f t="shared" ref="AN35:AN66" si="77">$AJ35/$DL35*DQ35/$DW35</f>
        <v>3.9437134508353529</v>
      </c>
      <c r="AO35" s="23">
        <f t="shared" ref="AO35:AO66" si="78">$AJ35/$DL35*DR35/$DW35</f>
        <v>3.8684158193158233</v>
      </c>
      <c r="AP35" s="23">
        <f t="shared" ref="AP35:AP66" si="79">$AJ35/$DL35*DS35/$DW35</f>
        <v>0.84239225262473527</v>
      </c>
      <c r="AQ35" s="23">
        <f t="shared" ref="AQ35:AQ66" si="80">$AJ35/$DL35*DT35/$DW35</f>
        <v>1.0776973511232646</v>
      </c>
      <c r="AR35" s="23">
        <f t="shared" ref="AR35:AR66" si="81">$AJ35/$DL35*DU35/$DW35</f>
        <v>0.16941967091894117</v>
      </c>
      <c r="AS35" s="23">
        <f t="shared" ref="AS35:AS66" si="82">$AJ35/$DL35*DV35/$DW35</f>
        <v>0.14118305909911763</v>
      </c>
      <c r="AT35" s="23">
        <f t="shared" si="21"/>
        <v>32.045806868806544</v>
      </c>
      <c r="AU35" s="23">
        <f t="shared" ref="AU35:AU66" si="83">AJ35+AH35+V35/qfree</f>
        <v>34.284611793858701</v>
      </c>
      <c r="AV35" s="4">
        <f t="shared" si="69"/>
        <v>0.37106368139083207</v>
      </c>
      <c r="AW35" s="4">
        <f t="shared" si="69"/>
        <v>0.37106368139083207</v>
      </c>
      <c r="AX35" s="4">
        <f t="shared" si="69"/>
        <v>0.37106368139083207</v>
      </c>
      <c r="AY35" s="4">
        <f t="shared" si="71"/>
        <v>0.49515641167153346</v>
      </c>
      <c r="AZ35" s="4">
        <f t="shared" si="71"/>
        <v>0.66074877255687903</v>
      </c>
      <c r="BA35" s="4">
        <f t="shared" si="71"/>
        <v>0.88171925101726745</v>
      </c>
      <c r="BB35" s="4">
        <f t="shared" si="71"/>
        <v>1.1765876380005351</v>
      </c>
      <c r="BC35" s="4">
        <f t="shared" si="71"/>
        <v>1.5700671934955486</v>
      </c>
      <c r="BD35" s="24">
        <f t="shared" si="24"/>
        <v>1.5700671934955486</v>
      </c>
      <c r="BE35" s="4">
        <f t="shared" si="25"/>
        <v>0.36777398902889913</v>
      </c>
      <c r="BF35" s="4">
        <f t="shared" ref="BF35:BF66" si="84">MIN(Maxussl,AJ35/AT35)</f>
        <v>7.2991235567134341E-2</v>
      </c>
      <c r="BG35" s="4">
        <f t="shared" ref="BG35:BG66" si="85">AJ35/(AJ35+AH35+V35/qfree)</f>
        <v>6.8224865784215744E-2</v>
      </c>
      <c r="BH35" s="4">
        <f t="shared" si="28"/>
        <v>0.36264549589610867</v>
      </c>
      <c r="BI35" s="23"/>
      <c r="BJ35" s="23"/>
      <c r="BK35" s="23"/>
      <c r="BL35" s="23"/>
      <c r="BM35" s="23"/>
      <c r="BN35" s="23"/>
      <c r="BO35" s="23"/>
      <c r="BP35" s="23"/>
      <c r="BQ35" s="23"/>
      <c r="BR35" s="13">
        <v>4.5552491340019881</v>
      </c>
      <c r="BS35" s="13">
        <v>24.463374978899569</v>
      </c>
      <c r="BT35" s="13">
        <v>26.386702391033744</v>
      </c>
      <c r="BU35" s="13">
        <v>28.27628721699012</v>
      </c>
      <c r="BV35" s="13">
        <v>27.736405838145441</v>
      </c>
      <c r="BW35" s="13">
        <v>6.0399229258248592</v>
      </c>
      <c r="BX35" s="13">
        <v>7.7270522347144839</v>
      </c>
      <c r="BY35" s="13">
        <v>1.2147331024005303</v>
      </c>
      <c r="BZ35" s="13">
        <v>1.0122775853337751</v>
      </c>
      <c r="CA35" s="4"/>
      <c r="CB35" s="4"/>
      <c r="CC35" s="4"/>
      <c r="CD35" s="4"/>
      <c r="CE35" s="4"/>
      <c r="CF35" s="4"/>
      <c r="CG35" s="4"/>
      <c r="CH35" s="4"/>
      <c r="CI35" s="4"/>
      <c r="CJ35" s="23"/>
      <c r="CK35" s="23"/>
      <c r="CL35" s="23"/>
      <c r="CM35" s="23"/>
      <c r="CN35" s="23"/>
      <c r="CO35" s="23"/>
      <c r="CP35" s="23"/>
      <c r="CQ35" s="23"/>
      <c r="CR35" s="23"/>
      <c r="CS35" s="31">
        <f t="shared" si="29"/>
        <v>1983</v>
      </c>
      <c r="CT35" s="1">
        <v>2.6197453885975358E-2</v>
      </c>
      <c r="CU35" s="1">
        <v>0.34768661313711668</v>
      </c>
      <c r="CV35" s="1">
        <v>0.8</v>
      </c>
      <c r="CW35" s="1">
        <v>1</v>
      </c>
      <c r="CX35">
        <f t="shared" si="61"/>
        <v>1</v>
      </c>
      <c r="CY35">
        <f t="shared" si="62"/>
        <v>1</v>
      </c>
      <c r="CZ35">
        <f t="shared" si="63"/>
        <v>1</v>
      </c>
      <c r="DA35">
        <f t="shared" si="64"/>
        <v>1</v>
      </c>
      <c r="DB35">
        <f t="shared" si="65"/>
        <v>1</v>
      </c>
      <c r="DC35" s="11">
        <v>6.1100000000000002E-2</v>
      </c>
      <c r="DD35" s="11">
        <v>9.3799999999999994E-2</v>
      </c>
      <c r="DE35" s="11">
        <v>0.11899999999999999</v>
      </c>
      <c r="DF35" s="11">
        <v>0.14050000000000001</v>
      </c>
      <c r="DG35" s="11">
        <v>0.15529999999999999</v>
      </c>
      <c r="DH35" s="11">
        <v>0.16600000000000001</v>
      </c>
      <c r="DI35" s="11">
        <v>0.17380000000000001</v>
      </c>
      <c r="DJ35" s="11">
        <v>0.19539999999999999</v>
      </c>
      <c r="DK35" s="11">
        <v>0.19239999999999999</v>
      </c>
      <c r="DL35" s="10">
        <f t="shared" ref="DL35:DL66" si="86">SUMPRODUCT(DC35:DK35,DN35:DV35)/DW35</f>
        <v>0.13162809851694915</v>
      </c>
      <c r="DN35" s="1">
        <v>135</v>
      </c>
      <c r="DO35" s="1">
        <v>725</v>
      </c>
      <c r="DP35" s="1">
        <v>782</v>
      </c>
      <c r="DQ35" s="1">
        <v>838</v>
      </c>
      <c r="DR35" s="1">
        <v>822</v>
      </c>
      <c r="DS35" s="1">
        <v>179</v>
      </c>
      <c r="DT35" s="1">
        <v>229</v>
      </c>
      <c r="DU35" s="1">
        <v>36</v>
      </c>
      <c r="DV35" s="1">
        <v>30</v>
      </c>
      <c r="DW35">
        <f t="shared" si="32"/>
        <v>3776</v>
      </c>
      <c r="DX35" s="19">
        <f t="shared" si="33"/>
        <v>238.91408216789017</v>
      </c>
      <c r="DY35">
        <f t="shared" si="66"/>
        <v>2.7996696962110827E-2</v>
      </c>
      <c r="DZ35">
        <f t="shared" si="34"/>
        <v>0.13798663949737325</v>
      </c>
      <c r="EA35">
        <f t="shared" si="35"/>
        <v>0.21611422323712928</v>
      </c>
      <c r="EB35">
        <f t="shared" si="36"/>
        <v>0.27340389003066862</v>
      </c>
      <c r="EC35">
        <f t="shared" si="37"/>
        <v>0.22864852786305181</v>
      </c>
      <c r="ED35">
        <f t="shared" si="38"/>
        <v>5.303761017455759E-2</v>
      </c>
      <c r="EE35">
        <f t="shared" si="39"/>
        <v>5.733356153660505E-2</v>
      </c>
      <c r="EF35">
        <f t="shared" si="40"/>
        <v>4.814979746451383E-3</v>
      </c>
      <c r="EG35">
        <f t="shared" si="41"/>
        <v>6.6387095205215022E-4</v>
      </c>
      <c r="EH35">
        <f t="shared" si="42"/>
        <v>3.5752118644067798E-2</v>
      </c>
      <c r="EI35">
        <f t="shared" si="43"/>
        <v>0.1920021186440678</v>
      </c>
      <c r="EJ35">
        <f t="shared" si="44"/>
        <v>0.20709745762711865</v>
      </c>
      <c r="EK35">
        <f t="shared" si="45"/>
        <v>0.22192796610169491</v>
      </c>
      <c r="EL35">
        <f t="shared" si="46"/>
        <v>0.2176906779661017</v>
      </c>
      <c r="EM35">
        <f t="shared" si="47"/>
        <v>4.7404661016949151E-2</v>
      </c>
      <c r="EN35">
        <f t="shared" si="48"/>
        <v>6.0646186440677964E-2</v>
      </c>
      <c r="EO35">
        <f t="shared" si="49"/>
        <v>9.5338983050847464E-3</v>
      </c>
      <c r="EP35">
        <f t="shared" si="50"/>
        <v>7.9449152542372878E-3</v>
      </c>
      <c r="EQ35">
        <f t="shared" si="51"/>
        <v>-1.8539547098100797</v>
      </c>
      <c r="ER35">
        <v>100</v>
      </c>
      <c r="ES35">
        <v>0.44919086720888168</v>
      </c>
    </row>
    <row r="36" spans="3:149" x14ac:dyDescent="0.3">
      <c r="C36">
        <f t="shared" si="13"/>
        <v>1.8902237961864229E-2</v>
      </c>
      <c r="D36">
        <v>34</v>
      </c>
      <c r="E36">
        <v>1984</v>
      </c>
      <c r="F36" s="2">
        <v>6.1073351669979052</v>
      </c>
      <c r="G36" s="3">
        <f t="shared" si="67"/>
        <v>449.14023528093225</v>
      </c>
      <c r="H36" s="4">
        <f t="shared" si="52"/>
        <v>188.86676164891412</v>
      </c>
      <c r="I36" s="4">
        <f t="shared" si="53"/>
        <v>62.085328520383356</v>
      </c>
      <c r="J36" s="4">
        <f t="shared" si="54"/>
        <v>34.90342155970157</v>
      </c>
      <c r="K36" s="4">
        <f t="shared" si="55"/>
        <v>29.174100737494207</v>
      </c>
      <c r="L36" s="4">
        <f t="shared" si="56"/>
        <v>21.417669960256418</v>
      </c>
      <c r="M36" s="4">
        <f t="shared" si="57"/>
        <v>4.1751689236087177</v>
      </c>
      <c r="N36" s="4">
        <f t="shared" si="58"/>
        <v>3.5787527484904151</v>
      </c>
      <c r="O36" s="4">
        <f t="shared" si="59"/>
        <v>0.22052145982025947</v>
      </c>
      <c r="P36" s="22">
        <v>1.0338659476069392</v>
      </c>
      <c r="Q36" s="4"/>
      <c r="R36" s="5">
        <f t="shared" si="15"/>
        <v>29.253882239427774</v>
      </c>
      <c r="S36" s="4">
        <f t="shared" si="16"/>
        <v>-0.19434001513415766</v>
      </c>
      <c r="T36" s="5">
        <v>18.158150332014138</v>
      </c>
      <c r="U36" s="5">
        <f t="shared" si="72"/>
        <v>20.992954173425218</v>
      </c>
      <c r="V36" s="5">
        <v>24.087</v>
      </c>
      <c r="W36" s="4"/>
      <c r="X36" s="4">
        <f t="shared" si="17"/>
        <v>0.24485835959609184</v>
      </c>
      <c r="Y36" s="23">
        <v>11.994567374860358</v>
      </c>
      <c r="Z36" s="23">
        <v>17.291044878590832</v>
      </c>
      <c r="AA36" s="23">
        <v>6.4015949472569327</v>
      </c>
      <c r="AB36" s="23">
        <v>5.3234315877189227</v>
      </c>
      <c r="AC36" s="23">
        <v>6.886768459049037</v>
      </c>
      <c r="AD36" s="23">
        <v>5.1751841257824465</v>
      </c>
      <c r="AE36" s="23">
        <v>0.90296181361308303</v>
      </c>
      <c r="AF36" s="23">
        <v>0.71428322569393132</v>
      </c>
      <c r="AG36" s="23">
        <v>0.1347704199422512</v>
      </c>
      <c r="AH36" s="23">
        <f t="shared" si="18"/>
        <v>6.5760000000000014</v>
      </c>
      <c r="AI36" s="10">
        <v>2.397539614052449</v>
      </c>
      <c r="AJ36" s="4">
        <f t="shared" si="73"/>
        <v>2.397539614052449</v>
      </c>
      <c r="AK36" s="23">
        <f t="shared" si="74"/>
        <v>4.3730916111083946</v>
      </c>
      <c r="AL36" s="23">
        <f t="shared" si="75"/>
        <v>6.3041309405079442</v>
      </c>
      <c r="AM36" s="23">
        <f t="shared" si="76"/>
        <v>2.3339533879511092</v>
      </c>
      <c r="AN36" s="23">
        <f t="shared" si="77"/>
        <v>1.9408665015593434</v>
      </c>
      <c r="AO36" s="23">
        <f t="shared" si="78"/>
        <v>2.5108424868274035</v>
      </c>
      <c r="AP36" s="23">
        <f t="shared" si="79"/>
        <v>1.8868170546804757</v>
      </c>
      <c r="AQ36" s="23">
        <f t="shared" si="80"/>
        <v>0.32921026735310382</v>
      </c>
      <c r="AR36" s="23">
        <f t="shared" si="81"/>
        <v>0.26042006223454484</v>
      </c>
      <c r="AS36" s="23">
        <f t="shared" si="82"/>
        <v>4.9135860798970719E-2</v>
      </c>
      <c r="AT36" s="23">
        <f t="shared" si="21"/>
        <v>29.253882239427778</v>
      </c>
      <c r="AU36" s="23">
        <f t="shared" si="83"/>
        <v>42.539004278053461</v>
      </c>
      <c r="AV36" s="4">
        <f t="shared" si="69"/>
        <v>0.37106368139083207</v>
      </c>
      <c r="AW36" s="4">
        <f t="shared" si="69"/>
        <v>0.37106368139083207</v>
      </c>
      <c r="AX36" s="4">
        <f t="shared" si="69"/>
        <v>0.37106368139083207</v>
      </c>
      <c r="AY36" s="4">
        <f t="shared" si="71"/>
        <v>0.49515641167153346</v>
      </c>
      <c r="AZ36" s="4">
        <f t="shared" si="71"/>
        <v>0.66074877255687903</v>
      </c>
      <c r="BA36" s="4">
        <f t="shared" si="71"/>
        <v>0.88171925101726745</v>
      </c>
      <c r="BB36" s="4">
        <f t="shared" si="71"/>
        <v>1.1765876380005351</v>
      </c>
      <c r="BC36" s="4">
        <f t="shared" si="71"/>
        <v>1.5700671934955486</v>
      </c>
      <c r="BD36" s="24">
        <f t="shared" si="24"/>
        <v>1.5700671934955486</v>
      </c>
      <c r="BE36" s="4">
        <f t="shared" si="25"/>
        <v>0.46914037812142062</v>
      </c>
      <c r="BF36" s="4">
        <f t="shared" si="84"/>
        <v>8.1956288551031861E-2</v>
      </c>
      <c r="BG36" s="4">
        <f t="shared" si="85"/>
        <v>5.636097164806881E-2</v>
      </c>
      <c r="BH36" s="4">
        <f t="shared" si="28"/>
        <v>0.44164167576857122</v>
      </c>
      <c r="BI36" s="23"/>
      <c r="BJ36" s="23"/>
      <c r="BK36" s="23"/>
      <c r="BL36" s="23"/>
      <c r="BM36" s="23"/>
      <c r="BN36" s="23"/>
      <c r="BO36" s="23"/>
      <c r="BP36" s="23"/>
      <c r="BQ36" s="23"/>
      <c r="BR36" s="13">
        <v>43.934480589759957</v>
      </c>
      <c r="BS36" s="13">
        <v>63.334762468159568</v>
      </c>
      <c r="BT36" s="13">
        <v>23.448177842849411</v>
      </c>
      <c r="BU36" s="13">
        <v>19.499011048264251</v>
      </c>
      <c r="BV36" s="13">
        <v>25.225302900412736</v>
      </c>
      <c r="BW36" s="13">
        <v>18.956000614008786</v>
      </c>
      <c r="BX36" s="13">
        <v>3.3074271904650749</v>
      </c>
      <c r="BY36" s="13">
        <v>2.6163230014126713</v>
      </c>
      <c r="BZ36" s="13">
        <v>0.49364584932314554</v>
      </c>
      <c r="CA36" s="4"/>
      <c r="CB36" s="4"/>
      <c r="CC36" s="4"/>
      <c r="CD36" s="4"/>
      <c r="CE36" s="4"/>
      <c r="CF36" s="4"/>
      <c r="CG36" s="4"/>
      <c r="CH36" s="4"/>
      <c r="CI36" s="4"/>
      <c r="CJ36" s="23"/>
      <c r="CK36" s="23"/>
      <c r="CL36" s="23"/>
      <c r="CM36" s="23"/>
      <c r="CN36" s="23"/>
      <c r="CO36" s="23"/>
      <c r="CP36" s="23"/>
      <c r="CQ36" s="23"/>
      <c r="CR36" s="23"/>
      <c r="CS36" s="31">
        <f t="shared" si="29"/>
        <v>1984</v>
      </c>
      <c r="CT36" s="1">
        <v>2.6197453885975358E-2</v>
      </c>
      <c r="CU36" s="1">
        <v>0.34768661313711668</v>
      </c>
      <c r="CV36" s="1">
        <v>0.8</v>
      </c>
      <c r="CW36" s="1">
        <v>1</v>
      </c>
      <c r="CX36">
        <f t="shared" si="61"/>
        <v>1</v>
      </c>
      <c r="CY36">
        <f t="shared" si="62"/>
        <v>1</v>
      </c>
      <c r="CZ36">
        <f t="shared" si="63"/>
        <v>1</v>
      </c>
      <c r="DA36">
        <f t="shared" si="64"/>
        <v>1</v>
      </c>
      <c r="DB36">
        <f t="shared" si="65"/>
        <v>1</v>
      </c>
      <c r="DC36" s="11">
        <v>6.8400000000000002E-2</v>
      </c>
      <c r="DD36" s="11">
        <v>0.1003</v>
      </c>
      <c r="DE36" s="11">
        <v>0.1298</v>
      </c>
      <c r="DF36" s="11">
        <v>0.15310000000000001</v>
      </c>
      <c r="DG36" s="11">
        <v>0.16550000000000001</v>
      </c>
      <c r="DH36" s="11">
        <v>0.17510000000000001</v>
      </c>
      <c r="DI36" s="11">
        <v>0.18490000000000001</v>
      </c>
      <c r="DJ36" s="11">
        <v>0.18909999999999999</v>
      </c>
      <c r="DK36" s="11">
        <v>0.2031</v>
      </c>
      <c r="DL36" s="10">
        <f t="shared" si="86"/>
        <v>0.11994614060963618</v>
      </c>
      <c r="DN36" s="1">
        <v>890</v>
      </c>
      <c r="DO36" s="1">
        <v>1283</v>
      </c>
      <c r="DP36" s="1">
        <v>475</v>
      </c>
      <c r="DQ36" s="1">
        <v>395</v>
      </c>
      <c r="DR36" s="1">
        <v>511</v>
      </c>
      <c r="DS36" s="1">
        <v>384</v>
      </c>
      <c r="DT36" s="1">
        <v>67</v>
      </c>
      <c r="DU36" s="1">
        <v>53</v>
      </c>
      <c r="DV36" s="1">
        <v>10</v>
      </c>
      <c r="DW36">
        <f t="shared" si="32"/>
        <v>4068</v>
      </c>
      <c r="DX36" s="19">
        <f t="shared" si="33"/>
        <v>220.57067349967264</v>
      </c>
      <c r="DY36">
        <f t="shared" si="66"/>
        <v>5.3344945705693772E-2</v>
      </c>
      <c r="DZ36">
        <f t="shared" si="34"/>
        <v>0.29771158445496376</v>
      </c>
      <c r="EA36">
        <f t="shared" si="35"/>
        <v>0.22518071885191213</v>
      </c>
      <c r="EB36">
        <f t="shared" si="36"/>
        <v>0.15824144255402736</v>
      </c>
      <c r="EC36">
        <f t="shared" si="37"/>
        <v>0.13226645353439295</v>
      </c>
      <c r="ED36">
        <f t="shared" si="38"/>
        <v>9.7101167713885619E-2</v>
      </c>
      <c r="EE36">
        <f t="shared" si="39"/>
        <v>1.8928939452211059E-2</v>
      </c>
      <c r="EF36">
        <f t="shared" si="40"/>
        <v>1.6224970852690108E-2</v>
      </c>
      <c r="EG36">
        <f t="shared" si="41"/>
        <v>9.9977688022332106E-4</v>
      </c>
      <c r="EH36">
        <f t="shared" si="42"/>
        <v>0.21878072763028517</v>
      </c>
      <c r="EI36">
        <f t="shared" si="43"/>
        <v>0.31538839724680434</v>
      </c>
      <c r="EJ36">
        <f t="shared" si="44"/>
        <v>0.11676499508357915</v>
      </c>
      <c r="EK36">
        <f t="shared" si="45"/>
        <v>9.7099311701081617E-2</v>
      </c>
      <c r="EL36">
        <f t="shared" si="46"/>
        <v>0.12561455260570306</v>
      </c>
      <c r="EM36">
        <f t="shared" si="47"/>
        <v>9.4395280235988199E-2</v>
      </c>
      <c r="EN36">
        <f t="shared" si="48"/>
        <v>1.6470009832841692E-2</v>
      </c>
      <c r="EO36">
        <f t="shared" si="49"/>
        <v>1.3028515240904622E-2</v>
      </c>
      <c r="EP36">
        <f t="shared" si="50"/>
        <v>2.4582104228121925E-3</v>
      </c>
      <c r="EQ36">
        <f t="shared" si="51"/>
        <v>-1.9855001542248294</v>
      </c>
      <c r="ER36">
        <v>100</v>
      </c>
      <c r="ES36">
        <v>0.41451738531122539</v>
      </c>
    </row>
    <row r="37" spans="3:149" x14ac:dyDescent="0.3">
      <c r="C37">
        <f t="shared" si="13"/>
        <v>2.6903099327812485E-2</v>
      </c>
      <c r="D37">
        <v>35</v>
      </c>
      <c r="E37">
        <v>1985</v>
      </c>
      <c r="F37" s="2">
        <v>6.073254835975435</v>
      </c>
      <c r="G37" s="3">
        <f t="shared" si="67"/>
        <v>434.09128061166854</v>
      </c>
      <c r="H37" s="4">
        <f t="shared" si="52"/>
        <v>303.42072694546448</v>
      </c>
      <c r="I37" s="4">
        <f t="shared" si="53"/>
        <v>114.37986775288107</v>
      </c>
      <c r="J37" s="4">
        <f t="shared" si="54"/>
        <v>31.786805214005433</v>
      </c>
      <c r="K37" s="4">
        <f t="shared" si="55"/>
        <v>14.50218449510697</v>
      </c>
      <c r="L37" s="4">
        <f t="shared" si="56"/>
        <v>10.214369272084756</v>
      </c>
      <c r="M37" s="4">
        <f t="shared" si="57"/>
        <v>5.9671925295835724</v>
      </c>
      <c r="N37" s="4">
        <f t="shared" si="58"/>
        <v>0.85758130101481655</v>
      </c>
      <c r="O37" s="4">
        <f t="shared" si="59"/>
        <v>0.48939522784195111</v>
      </c>
      <c r="P37" s="22">
        <v>1.2772409321142566</v>
      </c>
      <c r="Q37" s="4"/>
      <c r="R37" s="5">
        <f t="shared" si="15"/>
        <v>34.996226755027401</v>
      </c>
      <c r="S37" s="4">
        <f t="shared" si="16"/>
        <v>-0.16780378226648604</v>
      </c>
      <c r="T37" s="5">
        <v>23.268057298325054</v>
      </c>
      <c r="U37" s="5">
        <f t="shared" si="72"/>
        <v>25.113732888447508</v>
      </c>
      <c r="V37" s="5">
        <v>29.59</v>
      </c>
      <c r="W37" s="4"/>
      <c r="X37" s="4">
        <f t="shared" si="17"/>
        <v>5.4750746450506422E-3</v>
      </c>
      <c r="Y37" s="23">
        <v>0.38390659344121625</v>
      </c>
      <c r="Z37" s="23">
        <v>0.86417221232783725</v>
      </c>
      <c r="AA37" s="23">
        <v>0.22738690660661676</v>
      </c>
      <c r="AB37" s="23">
        <v>5.8121316935323568E-2</v>
      </c>
      <c r="AC37" s="23">
        <v>4.2316397417823295E-2</v>
      </c>
      <c r="AD37" s="23">
        <v>5.0473775233307309E-2</v>
      </c>
      <c r="AE37" s="23">
        <v>2.7021314013790782E-2</v>
      </c>
      <c r="AF37" s="23">
        <v>2.0393444538710022E-3</v>
      </c>
      <c r="AG37" s="23">
        <v>3.568852794274254E-3</v>
      </c>
      <c r="AH37" s="23">
        <f t="shared" si="18"/>
        <v>0.17800000000000002</v>
      </c>
      <c r="AI37" s="10">
        <v>2.4852544779811971</v>
      </c>
      <c r="AJ37" s="4">
        <f t="shared" si="73"/>
        <v>2.4852544779811971</v>
      </c>
      <c r="AK37" s="23">
        <f t="shared" si="74"/>
        <v>5.3601437105409522</v>
      </c>
      <c r="AL37" s="23">
        <f t="shared" si="75"/>
        <v>12.065662137273458</v>
      </c>
      <c r="AM37" s="23">
        <f t="shared" si="76"/>
        <v>3.1747995948223973</v>
      </c>
      <c r="AN37" s="23">
        <f t="shared" si="77"/>
        <v>0.81149586055998491</v>
      </c>
      <c r="AO37" s="23">
        <f t="shared" si="78"/>
        <v>0.59082593356560298</v>
      </c>
      <c r="AP37" s="23">
        <f t="shared" si="79"/>
        <v>0.70472008943367104</v>
      </c>
      <c r="AQ37" s="23">
        <f t="shared" si="80"/>
        <v>0.37727439131297541</v>
      </c>
      <c r="AR37" s="23">
        <f t="shared" si="81"/>
        <v>2.8473538967017011E-2</v>
      </c>
      <c r="AS37" s="23">
        <f t="shared" si="82"/>
        <v>4.9828693192279769E-2</v>
      </c>
      <c r="AT37" s="23">
        <f t="shared" si="21"/>
        <v>34.996226755027401</v>
      </c>
      <c r="AU37" s="23">
        <f t="shared" si="83"/>
        <v>43.897202226052357</v>
      </c>
      <c r="AV37" s="4">
        <f t="shared" si="69"/>
        <v>0.37106368139083207</v>
      </c>
      <c r="AW37" s="4">
        <f t="shared" si="69"/>
        <v>0.37106368139083207</v>
      </c>
      <c r="AX37" s="4">
        <f t="shared" si="69"/>
        <v>0.37106368139083207</v>
      </c>
      <c r="AY37" s="4">
        <f t="shared" si="71"/>
        <v>0.49515641167153346</v>
      </c>
      <c r="AZ37" s="4">
        <f t="shared" si="71"/>
        <v>0.66074877255687903</v>
      </c>
      <c r="BA37" s="4">
        <f t="shared" si="71"/>
        <v>0.88171925101726745</v>
      </c>
      <c r="BB37" s="4">
        <f t="shared" si="71"/>
        <v>1.1765876380005351</v>
      </c>
      <c r="BC37" s="4">
        <f t="shared" si="71"/>
        <v>1.5700671934955486</v>
      </c>
      <c r="BD37" s="24">
        <f t="shared" si="24"/>
        <v>1.5700671934955486</v>
      </c>
      <c r="BE37" s="4">
        <f t="shared" si="25"/>
        <v>0.54760033008872211</v>
      </c>
      <c r="BF37" s="4">
        <f t="shared" si="84"/>
        <v>7.1014926705610534E-2</v>
      </c>
      <c r="BG37" s="4">
        <f t="shared" si="85"/>
        <v>5.661532744577135E-2</v>
      </c>
      <c r="BH37" s="4">
        <f t="shared" si="28"/>
        <v>0.53221887758486353</v>
      </c>
      <c r="BI37" s="23"/>
      <c r="BJ37" s="23"/>
      <c r="BK37" s="23"/>
      <c r="BL37" s="23"/>
      <c r="BM37" s="23"/>
      <c r="BN37" s="23"/>
      <c r="BO37" s="23"/>
      <c r="BP37" s="23"/>
      <c r="BQ37" s="23"/>
      <c r="BR37" s="13">
        <v>63.819079213065109</v>
      </c>
      <c r="BS37" s="13">
        <v>143.65649304932984</v>
      </c>
      <c r="BT37" s="13">
        <v>37.799879587021302</v>
      </c>
      <c r="BU37" s="13">
        <v>9.6618526298664307</v>
      </c>
      <c r="BV37" s="13">
        <v>7.0345067392887168</v>
      </c>
      <c r="BW37" s="13">
        <v>8.3905562311997954</v>
      </c>
      <c r="BX37" s="13">
        <v>4.4919139419554464</v>
      </c>
      <c r="BY37" s="13">
        <v>0.33901237297776948</v>
      </c>
      <c r="BZ37" s="13">
        <v>0.59327165271109661</v>
      </c>
      <c r="CA37" s="4"/>
      <c r="CB37" s="4"/>
      <c r="CC37" s="4"/>
      <c r="CD37" s="4"/>
      <c r="CE37" s="4"/>
      <c r="CF37" s="4"/>
      <c r="CG37" s="4"/>
      <c r="CH37" s="4"/>
      <c r="CI37" s="4"/>
      <c r="CJ37" s="23"/>
      <c r="CK37" s="23"/>
      <c r="CL37" s="23"/>
      <c r="CM37" s="23"/>
      <c r="CN37" s="23"/>
      <c r="CO37" s="23"/>
      <c r="CP37" s="23"/>
      <c r="CQ37" s="23"/>
      <c r="CR37" s="23"/>
      <c r="CS37" s="31">
        <f t="shared" si="29"/>
        <v>1985</v>
      </c>
      <c r="CT37" s="1">
        <v>2.6197453885975358E-2</v>
      </c>
      <c r="CU37" s="1">
        <v>0.34768661313711668</v>
      </c>
      <c r="CV37" s="1">
        <v>0.8</v>
      </c>
      <c r="CW37" s="1">
        <v>1</v>
      </c>
      <c r="CX37">
        <f t="shared" si="61"/>
        <v>1</v>
      </c>
      <c r="CY37">
        <f t="shared" si="62"/>
        <v>1</v>
      </c>
      <c r="CZ37">
        <f t="shared" si="63"/>
        <v>1</v>
      </c>
      <c r="DA37">
        <f t="shared" si="64"/>
        <v>1</v>
      </c>
      <c r="DB37">
        <f t="shared" si="65"/>
        <v>1</v>
      </c>
      <c r="DC37" s="11">
        <v>6.9000000000000006E-2</v>
      </c>
      <c r="DD37" s="11">
        <v>0.1014</v>
      </c>
      <c r="DE37" s="11">
        <v>0.13519999999999999</v>
      </c>
      <c r="DF37" s="11">
        <v>0.16070000000000001</v>
      </c>
      <c r="DG37" s="11">
        <v>0.18190000000000001</v>
      </c>
      <c r="DH37" s="11">
        <v>0.18629999999999999</v>
      </c>
      <c r="DI37" s="11">
        <v>0.20710000000000001</v>
      </c>
      <c r="DJ37" s="11">
        <v>0.18479999999999999</v>
      </c>
      <c r="DK37" s="11">
        <v>0.20369999999999999</v>
      </c>
      <c r="DL37" s="10">
        <f t="shared" si="86"/>
        <v>0.10729311616472033</v>
      </c>
      <c r="DN37" s="1">
        <v>753</v>
      </c>
      <c r="DO37" s="1">
        <v>1695</v>
      </c>
      <c r="DP37" s="1">
        <v>446</v>
      </c>
      <c r="DQ37" s="1">
        <v>114</v>
      </c>
      <c r="DR37" s="1">
        <v>83</v>
      </c>
      <c r="DS37" s="1">
        <v>99</v>
      </c>
      <c r="DT37" s="1">
        <v>53</v>
      </c>
      <c r="DU37" s="1">
        <v>4</v>
      </c>
      <c r="DV37" s="1">
        <v>7</v>
      </c>
      <c r="DW37">
        <f t="shared" si="32"/>
        <v>3254</v>
      </c>
      <c r="DX37" s="19">
        <f t="shared" si="33"/>
        <v>272.18883345534101</v>
      </c>
      <c r="DY37">
        <f t="shared" si="66"/>
        <v>4.178013536324602E-2</v>
      </c>
      <c r="DZ37">
        <f t="shared" si="34"/>
        <v>0.38758138446770418</v>
      </c>
      <c r="EA37">
        <f t="shared" si="35"/>
        <v>0.33617798732113757</v>
      </c>
      <c r="EB37">
        <f t="shared" si="36"/>
        <v>0.11678217952765799</v>
      </c>
      <c r="EC37">
        <f t="shared" si="37"/>
        <v>5.3279865713103898E-2</v>
      </c>
      <c r="ED37">
        <f t="shared" si="38"/>
        <v>3.7526775593314937E-2</v>
      </c>
      <c r="EE37">
        <f t="shared" si="39"/>
        <v>2.192298800002988E-2</v>
      </c>
      <c r="EF37">
        <f t="shared" si="40"/>
        <v>3.1506850965490581E-3</v>
      </c>
      <c r="EG37">
        <f t="shared" si="41"/>
        <v>1.7979989172562728E-3</v>
      </c>
      <c r="EH37">
        <f t="shared" si="42"/>
        <v>0.23140749846342962</v>
      </c>
      <c r="EI37">
        <f t="shared" si="43"/>
        <v>0.52089735709895513</v>
      </c>
      <c r="EJ37">
        <f t="shared" si="44"/>
        <v>0.13706207744314688</v>
      </c>
      <c r="EK37">
        <f t="shared" si="45"/>
        <v>3.503380454824831E-2</v>
      </c>
      <c r="EL37">
        <f t="shared" si="46"/>
        <v>2.5507068223724647E-2</v>
      </c>
      <c r="EM37">
        <f t="shared" si="47"/>
        <v>3.0424093423478796E-2</v>
      </c>
      <c r="EN37">
        <f t="shared" si="48"/>
        <v>1.6287645974185617E-2</v>
      </c>
      <c r="EO37">
        <f t="shared" si="49"/>
        <v>1.2292562999385371E-3</v>
      </c>
      <c r="EP37">
        <f t="shared" si="50"/>
        <v>2.1511985248924403E-3</v>
      </c>
      <c r="EQ37">
        <f t="shared" si="51"/>
        <v>-1.7096143261916863</v>
      </c>
      <c r="ER37">
        <v>100</v>
      </c>
      <c r="ES37">
        <v>0.41417567481024792</v>
      </c>
    </row>
    <row r="38" spans="3:149" x14ac:dyDescent="0.3">
      <c r="C38">
        <f t="shared" si="13"/>
        <v>4.3023665062367641E-2</v>
      </c>
      <c r="D38">
        <v>36</v>
      </c>
      <c r="E38">
        <v>1986</v>
      </c>
      <c r="F38" s="2">
        <v>5.1494315232432921</v>
      </c>
      <c r="G38" s="3">
        <f t="shared" si="67"/>
        <v>172.33349487918801</v>
      </c>
      <c r="H38" s="4">
        <f t="shared" si="52"/>
        <v>269.70034986941585</v>
      </c>
      <c r="I38" s="4">
        <f t="shared" si="53"/>
        <v>183.87871094435314</v>
      </c>
      <c r="J38" s="4">
        <f t="shared" si="54"/>
        <v>66.86716833744164</v>
      </c>
      <c r="K38" s="4">
        <f t="shared" si="55"/>
        <v>15.603020400339769</v>
      </c>
      <c r="L38" s="4">
        <f t="shared" si="56"/>
        <v>5.7615768110634713</v>
      </c>
      <c r="M38" s="4">
        <f t="shared" si="57"/>
        <v>3.060183365294022</v>
      </c>
      <c r="N38" s="4">
        <f t="shared" si="58"/>
        <v>1.2267126346081594</v>
      </c>
      <c r="O38" s="4">
        <f t="shared" si="59"/>
        <v>0.10665605042721062</v>
      </c>
      <c r="P38" s="22">
        <v>1.6103248923863926</v>
      </c>
      <c r="Q38" s="4"/>
      <c r="R38" s="5">
        <f t="shared" si="15"/>
        <v>44.748548006168534</v>
      </c>
      <c r="S38" s="4">
        <f t="shared" si="16"/>
        <v>-0.1244039579137125</v>
      </c>
      <c r="T38" s="5">
        <v>33.307349178590115</v>
      </c>
      <c r="U38" s="5">
        <f t="shared" si="72"/>
        <v>32.112121390668108</v>
      </c>
      <c r="V38" s="5">
        <v>39.514000000000003</v>
      </c>
      <c r="W38" s="4"/>
      <c r="X38" s="4">
        <f t="shared" si="17"/>
        <v>4.8369223721612719E-3</v>
      </c>
      <c r="Y38" s="23">
        <v>6.353161009031455E-2</v>
      </c>
      <c r="Z38" s="23">
        <v>0.84735790782878129</v>
      </c>
      <c r="AA38" s="23">
        <v>0.49894570217425371</v>
      </c>
      <c r="AB38" s="23">
        <v>0.13920301828705861</v>
      </c>
      <c r="AC38" s="23">
        <v>5.260579179452797E-2</v>
      </c>
      <c r="AD38" s="23">
        <v>3.7633374129931549E-2</v>
      </c>
      <c r="AE38" s="23">
        <v>2.9540175392311858E-2</v>
      </c>
      <c r="AF38" s="23">
        <v>9.7118384851436253E-3</v>
      </c>
      <c r="AG38" s="23">
        <v>1.2139798106429532E-3</v>
      </c>
      <c r="AH38" s="23">
        <f t="shared" si="18"/>
        <v>0.20399999999999996</v>
      </c>
      <c r="AI38" s="10">
        <v>2.5729693419099458</v>
      </c>
      <c r="AJ38" s="4">
        <f t="shared" si="73"/>
        <v>2.5729693419099458</v>
      </c>
      <c r="AK38" s="23">
        <f t="shared" si="74"/>
        <v>0.80129845590468574</v>
      </c>
      <c r="AL38" s="23">
        <f t="shared" si="75"/>
        <v>10.687381953276509</v>
      </c>
      <c r="AM38" s="23">
        <f t="shared" si="76"/>
        <v>6.292999975353359</v>
      </c>
      <c r="AN38" s="23">
        <f t="shared" si="77"/>
        <v>1.7557112664408399</v>
      </c>
      <c r="AO38" s="23">
        <f t="shared" si="78"/>
        <v>0.66349553673636397</v>
      </c>
      <c r="AP38" s="23">
        <f t="shared" si="79"/>
        <v>0.47465449935755266</v>
      </c>
      <c r="AQ38" s="23">
        <f t="shared" si="80"/>
        <v>0.37257826293657365</v>
      </c>
      <c r="AR38" s="23">
        <f t="shared" si="81"/>
        <v>0.12249148370517489</v>
      </c>
      <c r="AS38" s="23">
        <f t="shared" si="82"/>
        <v>1.5311435463146861E-2</v>
      </c>
      <c r="AT38" s="23">
        <f t="shared" si="21"/>
        <v>44.748548006168534</v>
      </c>
      <c r="AU38" s="23">
        <f t="shared" si="83"/>
        <v>57.840105919040191</v>
      </c>
      <c r="AV38" s="4">
        <f t="shared" si="69"/>
        <v>0.37106368139083207</v>
      </c>
      <c r="AW38" s="4">
        <f t="shared" si="69"/>
        <v>0.37106368139083207</v>
      </c>
      <c r="AX38" s="4">
        <f t="shared" si="69"/>
        <v>0.37106368139083207</v>
      </c>
      <c r="AY38" s="4">
        <f t="shared" si="71"/>
        <v>0.49515641167153346</v>
      </c>
      <c r="AZ38" s="4">
        <f t="shared" si="71"/>
        <v>0.66074877255687903</v>
      </c>
      <c r="BA38" s="4">
        <f t="shared" si="71"/>
        <v>0.88171925101726745</v>
      </c>
      <c r="BB38" s="4">
        <f t="shared" si="71"/>
        <v>1.1765876380005351</v>
      </c>
      <c r="BC38" s="4">
        <f t="shared" si="71"/>
        <v>1.5700671934955486</v>
      </c>
      <c r="BD38" s="24">
        <f t="shared" si="24"/>
        <v>1.5700671934955486</v>
      </c>
      <c r="BE38" s="4">
        <f t="shared" si="25"/>
        <v>0.65675073131973216</v>
      </c>
      <c r="BF38" s="4">
        <f t="shared" si="84"/>
        <v>5.7498387244995411E-2</v>
      </c>
      <c r="BG38" s="4">
        <f t="shared" si="85"/>
        <v>4.4484174104234456E-2</v>
      </c>
      <c r="BH38" s="4">
        <f t="shared" si="28"/>
        <v>0.64303703529626111</v>
      </c>
      <c r="BI38" s="23"/>
      <c r="BJ38" s="23"/>
      <c r="BK38" s="23"/>
      <c r="BL38" s="23"/>
      <c r="BM38" s="23"/>
      <c r="BN38" s="23"/>
      <c r="BO38" s="23"/>
      <c r="BP38" s="23"/>
      <c r="BQ38" s="23"/>
      <c r="BR38" s="13">
        <v>12.305823730924947</v>
      </c>
      <c r="BS38" s="13">
        <v>164.12990377424737</v>
      </c>
      <c r="BT38" s="13">
        <v>96.643825861340488</v>
      </c>
      <c r="BU38" s="13">
        <v>26.963078748013896</v>
      </c>
      <c r="BV38" s="13">
        <v>10.189535573377345</v>
      </c>
      <c r="BW38" s="13">
        <v>7.2894369871084068</v>
      </c>
      <c r="BX38" s="13">
        <v>5.721816129665739</v>
      </c>
      <c r="BY38" s="13">
        <v>1.8811450289312019</v>
      </c>
      <c r="BZ38" s="13">
        <v>0.23514312861640024</v>
      </c>
      <c r="CA38" s="4"/>
      <c r="CB38" s="4"/>
      <c r="CC38" s="4"/>
      <c r="CD38" s="4"/>
      <c r="CE38" s="4"/>
      <c r="CF38" s="4"/>
      <c r="CG38" s="4"/>
      <c r="CH38" s="4"/>
      <c r="CI38" s="4"/>
      <c r="CJ38" s="23"/>
      <c r="CK38" s="23"/>
      <c r="CL38" s="23"/>
      <c r="CM38" s="23"/>
      <c r="CN38" s="23"/>
      <c r="CO38" s="23"/>
      <c r="CP38" s="23"/>
      <c r="CQ38" s="23"/>
      <c r="CR38" s="23"/>
      <c r="CS38" s="31">
        <f t="shared" si="29"/>
        <v>1986</v>
      </c>
      <c r="CT38" s="1">
        <v>2.6197453885975358E-2</v>
      </c>
      <c r="CU38" s="1">
        <v>0.34768661313711668</v>
      </c>
      <c r="CV38" s="1">
        <v>0.8</v>
      </c>
      <c r="CW38" s="1">
        <v>1</v>
      </c>
      <c r="CX38">
        <f t="shared" si="61"/>
        <v>1</v>
      </c>
      <c r="CY38">
        <f t="shared" si="62"/>
        <v>1</v>
      </c>
      <c r="CZ38">
        <f t="shared" si="63"/>
        <v>1</v>
      </c>
      <c r="DA38">
        <f t="shared" si="64"/>
        <v>1</v>
      </c>
      <c r="DB38">
        <f t="shared" si="65"/>
        <v>1</v>
      </c>
      <c r="DC38" s="11">
        <v>6.83E-2</v>
      </c>
      <c r="DD38" s="11">
        <v>0.1028</v>
      </c>
      <c r="DE38" s="11">
        <v>0.13109999999999999</v>
      </c>
      <c r="DF38" s="11">
        <v>0.16009999999999999</v>
      </c>
      <c r="DG38" s="11">
        <v>0.18090000000000001</v>
      </c>
      <c r="DH38" s="11">
        <v>0.19189999999999999</v>
      </c>
      <c r="DI38" s="11">
        <v>0.19839999999999999</v>
      </c>
      <c r="DJ38" s="11">
        <v>0.20449999999999999</v>
      </c>
      <c r="DK38" s="11">
        <v>0.22170000000000001</v>
      </c>
      <c r="DL38" s="10">
        <f t="shared" si="86"/>
        <v>0.12144712117562033</v>
      </c>
      <c r="DN38" s="1">
        <v>157</v>
      </c>
      <c r="DO38" s="1">
        <v>2094</v>
      </c>
      <c r="DP38" s="1">
        <v>1233</v>
      </c>
      <c r="DQ38" s="1">
        <v>344</v>
      </c>
      <c r="DR38" s="1">
        <v>130</v>
      </c>
      <c r="DS38" s="1">
        <v>93</v>
      </c>
      <c r="DT38" s="1">
        <v>73</v>
      </c>
      <c r="DU38" s="1">
        <v>24</v>
      </c>
      <c r="DV38" s="1">
        <v>3</v>
      </c>
      <c r="DW38">
        <f t="shared" si="32"/>
        <v>4151</v>
      </c>
      <c r="DX38" s="19">
        <f t="shared" si="33"/>
        <v>338.01418634775581</v>
      </c>
      <c r="DY38">
        <f t="shared" si="66"/>
        <v>1.3356536404249273E-2</v>
      </c>
      <c r="DZ38">
        <f t="shared" si="34"/>
        <v>0.27741794574124445</v>
      </c>
      <c r="EA38">
        <f t="shared" si="35"/>
        <v>0.43519761801991358</v>
      </c>
      <c r="EB38">
        <f t="shared" si="36"/>
        <v>0.19782355604639432</v>
      </c>
      <c r="EC38">
        <f t="shared" si="37"/>
        <v>4.6160844812256095E-2</v>
      </c>
      <c r="ED38">
        <f t="shared" si="38"/>
        <v>1.7045369821063798E-2</v>
      </c>
      <c r="EE38">
        <f t="shared" si="39"/>
        <v>9.0534169537654953E-3</v>
      </c>
      <c r="EF38">
        <f t="shared" si="40"/>
        <v>3.629174999614048E-3</v>
      </c>
      <c r="EG38">
        <f t="shared" si="41"/>
        <v>3.1553720149923154E-4</v>
      </c>
      <c r="EH38">
        <f t="shared" si="42"/>
        <v>3.7822211515297521E-2</v>
      </c>
      <c r="EI38">
        <f t="shared" si="43"/>
        <v>0.50445675740785356</v>
      </c>
      <c r="EJ38">
        <f t="shared" si="44"/>
        <v>0.29703685858829199</v>
      </c>
      <c r="EK38">
        <f t="shared" si="45"/>
        <v>8.2871597205492656E-2</v>
      </c>
      <c r="EL38">
        <f t="shared" si="46"/>
        <v>3.1317754757889664E-2</v>
      </c>
      <c r="EM38">
        <f t="shared" si="47"/>
        <v>2.2404239942182606E-2</v>
      </c>
      <c r="EN38">
        <f t="shared" si="48"/>
        <v>1.7586123825584197E-2</v>
      </c>
      <c r="EO38">
        <f t="shared" si="49"/>
        <v>5.7817393399180921E-3</v>
      </c>
      <c r="EP38">
        <f t="shared" si="50"/>
        <v>7.2271741748976151E-4</v>
      </c>
      <c r="EQ38">
        <f t="shared" si="51"/>
        <v>-1.4987403800438406</v>
      </c>
      <c r="ER38">
        <v>100</v>
      </c>
      <c r="ES38">
        <v>0.40279899387574003</v>
      </c>
    </row>
    <row r="39" spans="3:149" x14ac:dyDescent="0.3">
      <c r="C39">
        <f t="shared" si="13"/>
        <v>0.37305490275740444</v>
      </c>
      <c r="D39">
        <v>37</v>
      </c>
      <c r="E39">
        <v>1987</v>
      </c>
      <c r="F39" s="2">
        <v>6.9247353751918137</v>
      </c>
      <c r="G39" s="3">
        <f t="shared" si="67"/>
        <v>1017.125077479492</v>
      </c>
      <c r="H39" s="4">
        <f t="shared" si="52"/>
        <v>94.657420162553109</v>
      </c>
      <c r="I39" s="4">
        <f t="shared" si="53"/>
        <v>145.16940110196677</v>
      </c>
      <c r="J39" s="4">
        <f t="shared" si="54"/>
        <v>96.13716547748642</v>
      </c>
      <c r="K39" s="4">
        <f t="shared" si="55"/>
        <v>28.255244528558858</v>
      </c>
      <c r="L39" s="4">
        <f t="shared" si="56"/>
        <v>5.0499483130909795</v>
      </c>
      <c r="M39" s="4">
        <f t="shared" si="57"/>
        <v>1.3064198075602544</v>
      </c>
      <c r="N39" s="4">
        <f t="shared" si="58"/>
        <v>0.43158973445743026</v>
      </c>
      <c r="O39" s="4">
        <f t="shared" si="59"/>
        <v>9.1808843241868082E-2</v>
      </c>
      <c r="P39" s="22">
        <v>0.75557908396372409</v>
      </c>
      <c r="Q39" s="4"/>
      <c r="R39" s="5">
        <f t="shared" si="15"/>
        <v>43.268848952582672</v>
      </c>
      <c r="S39" s="4">
        <f t="shared" si="16"/>
        <v>-0.94260763079583632</v>
      </c>
      <c r="T39" s="5">
        <v>30.769696436170367</v>
      </c>
      <c r="U39" s="5">
        <f t="shared" si="72"/>
        <v>31.05027072181834</v>
      </c>
      <c r="V39" s="5">
        <v>16.858000000000001</v>
      </c>
      <c r="W39" s="4"/>
      <c r="X39" s="4">
        <f t="shared" si="17"/>
        <v>0.39286501841244137</v>
      </c>
      <c r="Y39" s="23">
        <v>16.748710152480278</v>
      </c>
      <c r="Z39" s="23">
        <v>17.916712307850613</v>
      </c>
      <c r="AA39" s="23">
        <v>38.764448892385275</v>
      </c>
      <c r="AB39" s="23">
        <v>29.773036073685336</v>
      </c>
      <c r="AC39" s="23">
        <v>8.2862039701744532</v>
      </c>
      <c r="AD39" s="23">
        <v>2.9089865001676274</v>
      </c>
      <c r="AE39" s="23">
        <v>1.7850598978301349</v>
      </c>
      <c r="AF39" s="23">
        <v>1.2341154849195994</v>
      </c>
      <c r="AG39" s="23">
        <v>0.44075553032842835</v>
      </c>
      <c r="AH39" s="23">
        <f t="shared" si="18"/>
        <v>15.933999999999994</v>
      </c>
      <c r="AI39" s="10">
        <v>2.7103892953983175</v>
      </c>
      <c r="AJ39" s="4">
        <f t="shared" si="73"/>
        <v>2.7103892953983175</v>
      </c>
      <c r="AK39" s="23">
        <f t="shared" si="74"/>
        <v>2.84897230507165</v>
      </c>
      <c r="AL39" s="23">
        <f t="shared" si="75"/>
        <v>3.047650636872699</v>
      </c>
      <c r="AM39" s="23">
        <f t="shared" si="76"/>
        <v>6.5938714271329379</v>
      </c>
      <c r="AN39" s="23">
        <f t="shared" si="77"/>
        <v>5.0644231370418415</v>
      </c>
      <c r="AO39" s="23">
        <f t="shared" si="78"/>
        <v>1.4094915614565005</v>
      </c>
      <c r="AP39" s="23">
        <f t="shared" si="79"/>
        <v>0.4948215056177076</v>
      </c>
      <c r="AQ39" s="23">
        <f t="shared" si="80"/>
        <v>0.30364046935632055</v>
      </c>
      <c r="AR39" s="23">
        <f t="shared" si="81"/>
        <v>0.20992427511054262</v>
      </c>
      <c r="AS39" s="23">
        <f t="shared" si="82"/>
        <v>7.4972955396622368E-2</v>
      </c>
      <c r="AT39" s="23">
        <f t="shared" si="21"/>
        <v>43.268848952582672</v>
      </c>
      <c r="AU39" s="23">
        <f t="shared" si="83"/>
        <v>42.136173382487996</v>
      </c>
      <c r="AV39" s="4">
        <f t="shared" si="69"/>
        <v>0.37106368139083207</v>
      </c>
      <c r="AW39" s="4">
        <f t="shared" si="69"/>
        <v>0.37106368139083207</v>
      </c>
      <c r="AX39" s="4">
        <f t="shared" si="69"/>
        <v>0.37106368139083207</v>
      </c>
      <c r="AY39" s="4">
        <f t="shared" si="71"/>
        <v>0.49515641167153346</v>
      </c>
      <c r="AZ39" s="4">
        <f t="shared" si="71"/>
        <v>0.66074877255687903</v>
      </c>
      <c r="BA39" s="4">
        <f t="shared" si="71"/>
        <v>0.88171925101726745</v>
      </c>
      <c r="BB39" s="4">
        <f t="shared" si="71"/>
        <v>1.1765876380005351</v>
      </c>
      <c r="BC39" s="4">
        <f t="shared" si="71"/>
        <v>1.5700671934955486</v>
      </c>
      <c r="BD39" s="24">
        <f t="shared" si="24"/>
        <v>1.5700671934955486</v>
      </c>
      <c r="BE39" s="4">
        <f t="shared" si="25"/>
        <v>0.34505652718070839</v>
      </c>
      <c r="BF39" s="4">
        <f t="shared" si="84"/>
        <v>6.2640660914473831E-2</v>
      </c>
      <c r="BG39" s="4">
        <f t="shared" si="85"/>
        <v>6.4324523985482954E-2</v>
      </c>
      <c r="BH39" s="4">
        <f t="shared" si="28"/>
        <v>0.34685453276081846</v>
      </c>
      <c r="BI39" s="23"/>
      <c r="BJ39" s="23"/>
      <c r="BK39" s="23"/>
      <c r="BL39" s="23"/>
      <c r="BM39" s="23"/>
      <c r="BN39" s="23"/>
      <c r="BO39" s="23"/>
      <c r="BP39" s="23"/>
      <c r="BQ39" s="23"/>
      <c r="BR39" s="13">
        <v>17.719954546913051</v>
      </c>
      <c r="BS39" s="13">
        <v>18.955688219263568</v>
      </c>
      <c r="BT39" s="13">
        <v>41.012368484236923</v>
      </c>
      <c r="BU39" s="13">
        <v>31.499550780104645</v>
      </c>
      <c r="BV39" s="13">
        <v>8.7667143547885615</v>
      </c>
      <c r="BW39" s="13">
        <v>3.0776763160427927</v>
      </c>
      <c r="BX39" s="13">
        <v>1.8885741030262593</v>
      </c>
      <c r="BY39" s="13">
        <v>1.3056808613514881</v>
      </c>
      <c r="BZ39" s="13">
        <v>0.46631459333981712</v>
      </c>
      <c r="CA39" s="4"/>
      <c r="CB39" s="4"/>
      <c r="CC39" s="4"/>
      <c r="CD39" s="4"/>
      <c r="CE39" s="4"/>
      <c r="CF39" s="4"/>
      <c r="CG39" s="4"/>
      <c r="CH39" s="4"/>
      <c r="CI39" s="4"/>
      <c r="CJ39" s="23"/>
      <c r="CK39" s="23"/>
      <c r="CL39" s="23"/>
      <c r="CM39" s="23"/>
      <c r="CN39" s="23"/>
      <c r="CO39" s="23"/>
      <c r="CP39" s="23"/>
      <c r="CQ39" s="23"/>
      <c r="CR39" s="23"/>
      <c r="CS39" s="31">
        <f t="shared" si="29"/>
        <v>1987</v>
      </c>
      <c r="CT39" s="1">
        <v>2.6197453885975358E-2</v>
      </c>
      <c r="CU39" s="1">
        <v>0.34768661313711668</v>
      </c>
      <c r="CV39" s="1">
        <v>0.8</v>
      </c>
      <c r="CW39" s="1">
        <v>1</v>
      </c>
      <c r="CX39">
        <f t="shared" si="61"/>
        <v>1</v>
      </c>
      <c r="CY39">
        <f t="shared" si="62"/>
        <v>1</v>
      </c>
      <c r="CZ39">
        <f t="shared" si="63"/>
        <v>1</v>
      </c>
      <c r="DA39">
        <f t="shared" si="64"/>
        <v>1</v>
      </c>
      <c r="DB39">
        <f t="shared" si="65"/>
        <v>1</v>
      </c>
      <c r="DC39" s="11">
        <v>6.88E-2</v>
      </c>
      <c r="DD39" s="11">
        <v>0.1022</v>
      </c>
      <c r="DE39" s="11">
        <v>0.13669999999999999</v>
      </c>
      <c r="DF39" s="11">
        <v>0.1633</v>
      </c>
      <c r="DG39" s="11">
        <v>0.18099999999999999</v>
      </c>
      <c r="DH39" s="11">
        <v>0.2</v>
      </c>
      <c r="DI39" s="11">
        <v>0.20300000000000001</v>
      </c>
      <c r="DJ39" s="11">
        <v>0.20499999999999999</v>
      </c>
      <c r="DK39" s="11">
        <v>0.21010000000000001</v>
      </c>
      <c r="DL39" s="10">
        <f t="shared" si="86"/>
        <v>0.13519655946148093</v>
      </c>
      <c r="DN39" s="1">
        <v>760</v>
      </c>
      <c r="DO39" s="1">
        <v>813</v>
      </c>
      <c r="DP39" s="1">
        <v>1759</v>
      </c>
      <c r="DQ39" s="1">
        <v>1351</v>
      </c>
      <c r="DR39" s="1">
        <v>376</v>
      </c>
      <c r="DS39" s="1">
        <v>132</v>
      </c>
      <c r="DT39" s="1">
        <v>81</v>
      </c>
      <c r="DU39" s="1">
        <v>56</v>
      </c>
      <c r="DV39" s="1">
        <v>20</v>
      </c>
      <c r="DW39">
        <f t="shared" si="32"/>
        <v>5348</v>
      </c>
      <c r="DX39" s="19">
        <f t="shared" si="33"/>
        <v>306.96490272412245</v>
      </c>
      <c r="DY39">
        <f t="shared" si="66"/>
        <v>8.6804996522633904E-2</v>
      </c>
      <c r="DZ39">
        <f t="shared" si="34"/>
        <v>0.10721459532522912</v>
      </c>
      <c r="EA39">
        <f t="shared" si="35"/>
        <v>0.37833485147957618</v>
      </c>
      <c r="EB39">
        <f t="shared" si="36"/>
        <v>0.31318618064908693</v>
      </c>
      <c r="EC39">
        <f t="shared" si="37"/>
        <v>9.2047150269659983E-2</v>
      </c>
      <c r="ED39">
        <f t="shared" si="38"/>
        <v>1.6451223798798598E-2</v>
      </c>
      <c r="EE39">
        <f t="shared" si="39"/>
        <v>4.2559256643563866E-3</v>
      </c>
      <c r="EF39">
        <f t="shared" si="40"/>
        <v>1.4059904915100718E-3</v>
      </c>
      <c r="EG39">
        <f t="shared" si="41"/>
        <v>2.9908579914876831E-4</v>
      </c>
      <c r="EH39">
        <f t="shared" si="42"/>
        <v>0.14210919970082272</v>
      </c>
      <c r="EI39">
        <f t="shared" si="43"/>
        <v>0.15201944652206431</v>
      </c>
      <c r="EJ39">
        <f t="shared" si="44"/>
        <v>0.32890800299177264</v>
      </c>
      <c r="EK39">
        <f t="shared" si="45"/>
        <v>0.25261780104712039</v>
      </c>
      <c r="EL39">
        <f t="shared" si="46"/>
        <v>7.0306656694091252E-2</v>
      </c>
      <c r="EM39">
        <f t="shared" si="47"/>
        <v>2.468212415856395E-2</v>
      </c>
      <c r="EN39">
        <f t="shared" si="48"/>
        <v>1.5145848915482424E-2</v>
      </c>
      <c r="EO39">
        <f t="shared" si="49"/>
        <v>1.0471204188481676E-2</v>
      </c>
      <c r="EP39">
        <f t="shared" si="50"/>
        <v>3.7397157816005983E-3</v>
      </c>
      <c r="EQ39">
        <f t="shared" si="51"/>
        <v>-1.7477868300239423</v>
      </c>
      <c r="ER39">
        <v>100</v>
      </c>
      <c r="ES39">
        <v>0.34382595420149265</v>
      </c>
    </row>
    <row r="40" spans="3:149" x14ac:dyDescent="0.3">
      <c r="C40">
        <f t="shared" si="13"/>
        <v>2.9042596559119251E-2</v>
      </c>
      <c r="D40">
        <v>38</v>
      </c>
      <c r="E40">
        <v>1988</v>
      </c>
      <c r="F40" s="2">
        <v>5.437018515642821</v>
      </c>
      <c r="G40" s="3">
        <f t="shared" si="67"/>
        <v>229.75614690724197</v>
      </c>
      <c r="H40" s="4">
        <f t="shared" si="52"/>
        <v>759.28686118384485</v>
      </c>
      <c r="I40" s="4">
        <f t="shared" si="53"/>
        <v>60.401031630839924</v>
      </c>
      <c r="J40" s="4">
        <f t="shared" si="54"/>
        <v>71.437162380489283</v>
      </c>
      <c r="K40" s="4">
        <f t="shared" si="55"/>
        <v>37.635714089735259</v>
      </c>
      <c r="L40" s="4">
        <f t="shared" si="56"/>
        <v>9.7604492266155507</v>
      </c>
      <c r="M40" s="4">
        <f t="shared" si="57"/>
        <v>1.476208056300224</v>
      </c>
      <c r="N40" s="4">
        <f t="shared" si="58"/>
        <v>0.30562167638315302</v>
      </c>
      <c r="O40" s="4">
        <f t="shared" si="59"/>
        <v>7.4998852094764354E-2</v>
      </c>
      <c r="P40" s="22">
        <v>1.0308023987097366</v>
      </c>
      <c r="Q40" s="4"/>
      <c r="R40" s="5">
        <f t="shared" si="15"/>
        <v>54.341869957737288</v>
      </c>
      <c r="S40" s="4">
        <f t="shared" si="16"/>
        <v>-0.16140653955992476</v>
      </c>
      <c r="T40" s="5">
        <v>41.440440339647921</v>
      </c>
      <c r="U40" s="5">
        <f t="shared" si="72"/>
        <v>38.996409993866379</v>
      </c>
      <c r="V40" s="5">
        <v>46.241999999999997</v>
      </c>
      <c r="W40" s="4"/>
      <c r="X40" s="4">
        <f t="shared" si="17"/>
        <v>0.18847346054919842</v>
      </c>
      <c r="Y40" s="23">
        <v>1.8411326637076251</v>
      </c>
      <c r="Z40" s="23">
        <v>44.100428986714057</v>
      </c>
      <c r="AA40" s="23">
        <v>5.8414994461090091</v>
      </c>
      <c r="AB40" s="23">
        <v>12.569827190967242</v>
      </c>
      <c r="AC40" s="23">
        <v>8.5116237803865591</v>
      </c>
      <c r="AD40" s="23">
        <v>2.6315665821580194</v>
      </c>
      <c r="AE40" s="23">
        <v>0.67476066209179986</v>
      </c>
      <c r="AF40" s="23">
        <v>0.37593808316543131</v>
      </c>
      <c r="AG40" s="23">
        <v>0.17350988453789137</v>
      </c>
      <c r="AH40" s="23">
        <f t="shared" si="18"/>
        <v>9.724000000000002</v>
      </c>
      <c r="AI40" s="10">
        <v>2.7483990697674416</v>
      </c>
      <c r="AJ40" s="4">
        <f t="shared" si="73"/>
        <v>2.7483990697674416</v>
      </c>
      <c r="AK40" s="23">
        <f t="shared" si="74"/>
        <v>0.52037919583016135</v>
      </c>
      <c r="AL40" s="23">
        <f t="shared" si="75"/>
        <v>12.464580214256483</v>
      </c>
      <c r="AM40" s="23">
        <f t="shared" si="76"/>
        <v>1.65104603493758</v>
      </c>
      <c r="AN40" s="23">
        <f t="shared" si="77"/>
        <v>3.5527459233640335</v>
      </c>
      <c r="AO40" s="23">
        <f t="shared" si="78"/>
        <v>2.4057320938116886</v>
      </c>
      <c r="AP40" s="23">
        <f t="shared" si="79"/>
        <v>0.7437880652441573</v>
      </c>
      <c r="AQ40" s="23">
        <f t="shared" si="80"/>
        <v>0.19071488852414289</v>
      </c>
      <c r="AR40" s="23">
        <f t="shared" si="81"/>
        <v>0.10625543789202248</v>
      </c>
      <c r="AS40" s="23">
        <f t="shared" si="82"/>
        <v>4.9040971334779603E-2</v>
      </c>
      <c r="AT40" s="23">
        <f t="shared" si="21"/>
        <v>54.341869957737288</v>
      </c>
      <c r="AU40" s="23">
        <f t="shared" si="83"/>
        <v>76.91106793648953</v>
      </c>
      <c r="AV40" s="4">
        <f t="shared" si="69"/>
        <v>0.37106368139083207</v>
      </c>
      <c r="AW40" s="4">
        <f t="shared" si="69"/>
        <v>0.37106368139083207</v>
      </c>
      <c r="AX40" s="4">
        <f t="shared" si="69"/>
        <v>0.37106368139083207</v>
      </c>
      <c r="AY40" s="4">
        <f t="shared" si="71"/>
        <v>0.49515641167153346</v>
      </c>
      <c r="AZ40" s="4">
        <f t="shared" si="71"/>
        <v>0.66074877255687903</v>
      </c>
      <c r="BA40" s="4">
        <f t="shared" si="71"/>
        <v>0.88171925101726745</v>
      </c>
      <c r="BB40" s="4">
        <f t="shared" si="71"/>
        <v>1.1765876380005351</v>
      </c>
      <c r="BC40" s="4">
        <f t="shared" si="71"/>
        <v>1.5700671934955486</v>
      </c>
      <c r="BD40" s="24">
        <f t="shared" si="24"/>
        <v>1.5700671934955486</v>
      </c>
      <c r="BE40" s="4">
        <f t="shared" si="25"/>
        <v>0.43439321713293105</v>
      </c>
      <c r="BF40" s="4">
        <f t="shared" si="84"/>
        <v>5.0576085657429971E-2</v>
      </c>
      <c r="BG40" s="4">
        <f t="shared" si="85"/>
        <v>3.5734766705319623E-2</v>
      </c>
      <c r="BH40" s="4">
        <f t="shared" si="28"/>
        <v>0.41888221679442972</v>
      </c>
      <c r="BI40" s="23"/>
      <c r="BJ40" s="23"/>
      <c r="BK40" s="23"/>
      <c r="BL40" s="23"/>
      <c r="BM40" s="23"/>
      <c r="BN40" s="23"/>
      <c r="BO40" s="23"/>
      <c r="BP40" s="23"/>
      <c r="BQ40" s="23"/>
      <c r="BR40" s="13">
        <v>8.755415120852323</v>
      </c>
      <c r="BS40" s="13">
        <v>209.71740407277161</v>
      </c>
      <c r="BT40" s="13">
        <v>27.778961064065488</v>
      </c>
      <c r="BU40" s="13">
        <v>59.775190144457746</v>
      </c>
      <c r="BV40" s="13">
        <v>40.476604982788487</v>
      </c>
      <c r="BW40" s="13">
        <v>12.514284439752274</v>
      </c>
      <c r="BX40" s="13">
        <v>3.2087908819877629</v>
      </c>
      <c r="BY40" s="13">
        <v>1.7877549199646106</v>
      </c>
      <c r="BZ40" s="13">
        <v>0.82511765536828174</v>
      </c>
      <c r="CA40" s="4"/>
      <c r="CB40" s="4"/>
      <c r="CC40" s="4"/>
      <c r="CD40" s="4"/>
      <c r="CE40" s="4"/>
      <c r="CF40" s="4"/>
      <c r="CG40" s="4"/>
      <c r="CH40" s="4"/>
      <c r="CI40" s="4"/>
      <c r="CJ40" s="23"/>
      <c r="CK40" s="23"/>
      <c r="CL40" s="23"/>
      <c r="CM40" s="23"/>
      <c r="CN40" s="23"/>
      <c r="CO40" s="23"/>
      <c r="CP40" s="23"/>
      <c r="CQ40" s="23"/>
      <c r="CR40" s="23"/>
      <c r="CS40" s="31">
        <f t="shared" si="29"/>
        <v>1988</v>
      </c>
      <c r="CT40" s="1">
        <v>2.6197453885975358E-2</v>
      </c>
      <c r="CU40" s="1">
        <v>0.34768661313711668</v>
      </c>
      <c r="CV40" s="1">
        <v>0.8</v>
      </c>
      <c r="CW40" s="1">
        <v>1</v>
      </c>
      <c r="CX40">
        <f t="shared" si="61"/>
        <v>1</v>
      </c>
      <c r="CY40">
        <f t="shared" si="62"/>
        <v>1</v>
      </c>
      <c r="CZ40">
        <f t="shared" si="63"/>
        <v>1</v>
      </c>
      <c r="DA40">
        <f t="shared" si="64"/>
        <v>1</v>
      </c>
      <c r="DB40">
        <f t="shared" si="65"/>
        <v>1</v>
      </c>
      <c r="DC40" s="11">
        <v>6.7900000000000002E-2</v>
      </c>
      <c r="DD40" s="11">
        <v>0.1033</v>
      </c>
      <c r="DE40" s="11">
        <v>0.13020000000000001</v>
      </c>
      <c r="DF40" s="11">
        <v>0.15970000000000001</v>
      </c>
      <c r="DG40" s="11">
        <v>0.17749999999999999</v>
      </c>
      <c r="DH40" s="11">
        <v>0.19520000000000001</v>
      </c>
      <c r="DI40" s="11">
        <v>0.2019</v>
      </c>
      <c r="DJ40" s="11">
        <v>0.20619999999999999</v>
      </c>
      <c r="DK40" s="11">
        <v>0.21440000000000001</v>
      </c>
      <c r="DL40" s="10">
        <f t="shared" si="86"/>
        <v>0.12674613644930266</v>
      </c>
      <c r="DN40" s="1">
        <v>191</v>
      </c>
      <c r="DO40" s="1">
        <v>4575</v>
      </c>
      <c r="DP40" s="1">
        <v>606</v>
      </c>
      <c r="DQ40" s="1">
        <v>1304</v>
      </c>
      <c r="DR40" s="1">
        <v>883</v>
      </c>
      <c r="DS40" s="1">
        <v>273</v>
      </c>
      <c r="DT40" s="1">
        <v>70</v>
      </c>
      <c r="DU40" s="1">
        <v>39</v>
      </c>
      <c r="DV40" s="1">
        <v>18</v>
      </c>
      <c r="DW40">
        <f t="shared" si="32"/>
        <v>7959</v>
      </c>
      <c r="DX40" s="19">
        <f t="shared" si="33"/>
        <v>439.02388281443513</v>
      </c>
      <c r="DY40">
        <f t="shared" si="66"/>
        <v>1.3710019657782374E-2</v>
      </c>
      <c r="DZ40">
        <f t="shared" si="34"/>
        <v>0.60132008188745167</v>
      </c>
      <c r="EA40">
        <f t="shared" si="35"/>
        <v>0.11006422929637293</v>
      </c>
      <c r="EB40">
        <f t="shared" si="36"/>
        <v>0.16271816904932268</v>
      </c>
      <c r="EC40">
        <f t="shared" si="37"/>
        <v>8.5725892287374664E-2</v>
      </c>
      <c r="ED40">
        <f t="shared" si="38"/>
        <v>2.2232160045700881E-2</v>
      </c>
      <c r="EE40">
        <f t="shared" si="39"/>
        <v>3.3624777924078945E-3</v>
      </c>
      <c r="EF40">
        <f t="shared" si="40"/>
        <v>6.9613906747832211E-4</v>
      </c>
      <c r="EG40">
        <f t="shared" si="41"/>
        <v>1.7083091610864499E-4</v>
      </c>
      <c r="EH40">
        <f t="shared" si="42"/>
        <v>2.399798969719814E-2</v>
      </c>
      <c r="EI40">
        <f t="shared" si="43"/>
        <v>0.57482095740670935</v>
      </c>
      <c r="EJ40">
        <f t="shared" si="44"/>
        <v>7.6140218620429703E-2</v>
      </c>
      <c r="EK40">
        <f t="shared" si="45"/>
        <v>0.16383967835155169</v>
      </c>
      <c r="EL40">
        <f t="shared" si="46"/>
        <v>0.11094358587762282</v>
      </c>
      <c r="EM40">
        <f t="shared" si="47"/>
        <v>3.430079155672823E-2</v>
      </c>
      <c r="EN40">
        <f t="shared" si="48"/>
        <v>8.795074758135445E-3</v>
      </c>
      <c r="EO40">
        <f t="shared" si="49"/>
        <v>4.9001130795326047E-3</v>
      </c>
      <c r="EP40">
        <f t="shared" si="50"/>
        <v>2.2615906520919715E-3</v>
      </c>
      <c r="EQ40">
        <f t="shared" si="51"/>
        <v>-1.3665706377258071</v>
      </c>
      <c r="ER40">
        <v>100</v>
      </c>
      <c r="ES40">
        <v>0.3634356738728261</v>
      </c>
    </row>
    <row r="41" spans="3:149" x14ac:dyDescent="0.3">
      <c r="C41">
        <f t="shared" si="13"/>
        <v>5.5599637300165778E-4</v>
      </c>
      <c r="D41">
        <v>39</v>
      </c>
      <c r="E41">
        <v>1989</v>
      </c>
      <c r="F41" s="2">
        <v>5.6506661709889165</v>
      </c>
      <c r="G41" s="3">
        <f t="shared" si="67"/>
        <v>284.48091564683102</v>
      </c>
      <c r="H41" s="4">
        <f t="shared" si="52"/>
        <v>155.74959929775281</v>
      </c>
      <c r="I41" s="4">
        <f t="shared" si="53"/>
        <v>475.50139309118163</v>
      </c>
      <c r="J41" s="4">
        <f t="shared" si="54"/>
        <v>33.57477775821684</v>
      </c>
      <c r="K41" s="4">
        <f t="shared" si="55"/>
        <v>33.038439797789188</v>
      </c>
      <c r="L41" s="4">
        <f t="shared" si="56"/>
        <v>14.674538982280222</v>
      </c>
      <c r="M41" s="4">
        <f t="shared" si="57"/>
        <v>3.0304830676858372</v>
      </c>
      <c r="N41" s="4">
        <f t="shared" si="58"/>
        <v>0.33820916064957562</v>
      </c>
      <c r="O41" s="4">
        <f t="shared" si="59"/>
        <v>4.6673702176676157E-2</v>
      </c>
      <c r="P41" s="22">
        <v>0.98824486741976525</v>
      </c>
      <c r="Q41" s="4"/>
      <c r="R41" s="5">
        <f t="shared" si="15"/>
        <v>68.082056142628133</v>
      </c>
      <c r="S41" s="4">
        <f t="shared" si="16"/>
        <v>-0.35540500046598872</v>
      </c>
      <c r="T41" s="5">
        <v>43.90785577376667</v>
      </c>
      <c r="U41" s="5">
        <f t="shared" si="72"/>
        <v>48.856540575953048</v>
      </c>
      <c r="V41" s="5">
        <v>47.718000000000004</v>
      </c>
      <c r="W41" s="4"/>
      <c r="X41" s="4">
        <f t="shared" si="17"/>
        <v>0.20358427045068755</v>
      </c>
      <c r="Y41" s="23">
        <v>2.4437804072241009</v>
      </c>
      <c r="Z41" s="23">
        <v>15.13135265842868</v>
      </c>
      <c r="AA41" s="23">
        <v>61.764039059294056</v>
      </c>
      <c r="AB41" s="23">
        <v>6.9965767823265343</v>
      </c>
      <c r="AC41" s="23">
        <v>9.7081687410272508</v>
      </c>
      <c r="AD41" s="23">
        <v>4.9377754803500666</v>
      </c>
      <c r="AE41" s="23">
        <v>0.75321998852797623</v>
      </c>
      <c r="AF41" s="23">
        <v>0.23433510754203707</v>
      </c>
      <c r="AG41" s="23">
        <v>3.3476443934576723E-2</v>
      </c>
      <c r="AH41" s="23">
        <f t="shared" si="18"/>
        <v>13.289000000000003</v>
      </c>
      <c r="AI41" s="10">
        <v>2.8068756457199404</v>
      </c>
      <c r="AJ41" s="4">
        <f t="shared" si="73"/>
        <v>2.8068756457199404</v>
      </c>
      <c r="AK41" s="23">
        <f t="shared" si="74"/>
        <v>0.51617034453494526</v>
      </c>
      <c r="AL41" s="23">
        <f t="shared" si="75"/>
        <v>3.1960136401341814</v>
      </c>
      <c r="AM41" s="23">
        <f t="shared" si="76"/>
        <v>13.04567514612293</v>
      </c>
      <c r="AN41" s="23">
        <f t="shared" si="77"/>
        <v>1.4778027672301854</v>
      </c>
      <c r="AO41" s="23">
        <f t="shared" si="78"/>
        <v>2.0505397248648509</v>
      </c>
      <c r="AP41" s="23">
        <f t="shared" si="79"/>
        <v>1.0429469290260878</v>
      </c>
      <c r="AQ41" s="23">
        <f t="shared" si="80"/>
        <v>0.15909359934296258</v>
      </c>
      <c r="AR41" s="23">
        <f t="shared" si="81"/>
        <v>4.9495786462255012E-2</v>
      </c>
      <c r="AS41" s="23">
        <f t="shared" si="82"/>
        <v>7.0708266374650032E-3</v>
      </c>
      <c r="AT41" s="23">
        <f t="shared" si="21"/>
        <v>68.082056142628133</v>
      </c>
      <c r="AU41" s="23">
        <f t="shared" si="83"/>
        <v>82.59136461640125</v>
      </c>
      <c r="AV41" s="4">
        <f t="shared" si="69"/>
        <v>0.37106368139083207</v>
      </c>
      <c r="AW41" s="4">
        <f t="shared" si="69"/>
        <v>0.37106368139083207</v>
      </c>
      <c r="AX41" s="4">
        <f t="shared" si="69"/>
        <v>0.37106368139083207</v>
      </c>
      <c r="AY41" s="4">
        <f t="shared" si="71"/>
        <v>0.49515641167153346</v>
      </c>
      <c r="AZ41" s="4">
        <f t="shared" si="71"/>
        <v>0.66074877255687903</v>
      </c>
      <c r="BA41" s="4">
        <f t="shared" si="71"/>
        <v>0.88171925101726745</v>
      </c>
      <c r="BB41" s="4">
        <f t="shared" si="71"/>
        <v>1.1765876380005351</v>
      </c>
      <c r="BC41" s="4">
        <f t="shared" si="71"/>
        <v>1.5700671934955486</v>
      </c>
      <c r="BD41" s="24">
        <f t="shared" si="24"/>
        <v>1.5700671934955486</v>
      </c>
      <c r="BE41" s="4">
        <f t="shared" si="25"/>
        <v>0.40880358453135907</v>
      </c>
      <c r="BF41" s="4">
        <f t="shared" si="84"/>
        <v>4.1227833070136596E-2</v>
      </c>
      <c r="BG41" s="4">
        <f t="shared" si="85"/>
        <v>3.3985098306058774E-2</v>
      </c>
      <c r="BH41" s="4">
        <f t="shared" si="28"/>
        <v>0.40127779732477009</v>
      </c>
      <c r="BI41" s="23"/>
      <c r="BJ41" s="23"/>
      <c r="BK41" s="23"/>
      <c r="BL41" s="23"/>
      <c r="BM41" s="23"/>
      <c r="BN41" s="23"/>
      <c r="BO41" s="23"/>
      <c r="BP41" s="23"/>
      <c r="BQ41" s="23"/>
      <c r="BR41" s="13">
        <v>8.7751007202889344</v>
      </c>
      <c r="BS41" s="13">
        <v>54.333500350282172</v>
      </c>
      <c r="BT41" s="13">
        <v>221.78165519086414</v>
      </c>
      <c r="BU41" s="13">
        <v>25.123233569046402</v>
      </c>
      <c r="BV41" s="13">
        <v>34.859989162791656</v>
      </c>
      <c r="BW41" s="13">
        <v>17.73051172935093</v>
      </c>
      <c r="BX41" s="13">
        <v>2.7046543315959042</v>
      </c>
      <c r="BY41" s="13">
        <v>0.8414480142742814</v>
      </c>
      <c r="BZ41" s="13">
        <v>0.1202068591820402</v>
      </c>
      <c r="CA41" s="4"/>
      <c r="CB41" s="4"/>
      <c r="CC41" s="4"/>
      <c r="CD41" s="4"/>
      <c r="CE41" s="4"/>
      <c r="CF41" s="4"/>
      <c r="CG41" s="4"/>
      <c r="CH41" s="4"/>
      <c r="CI41" s="4"/>
      <c r="CJ41" s="23"/>
      <c r="CK41" s="23"/>
      <c r="CL41" s="23"/>
      <c r="CM41" s="23"/>
      <c r="CN41" s="23"/>
      <c r="CO41" s="23"/>
      <c r="CP41" s="23"/>
      <c r="CQ41" s="23"/>
      <c r="CR41" s="23"/>
      <c r="CS41" s="31">
        <f t="shared" si="29"/>
        <v>1989</v>
      </c>
      <c r="CT41" s="1">
        <v>2.6197453885975358E-2</v>
      </c>
      <c r="CU41" s="1">
        <v>0.34768661313711668</v>
      </c>
      <c r="CV41" s="1">
        <v>0.8</v>
      </c>
      <c r="CW41" s="1">
        <v>1</v>
      </c>
      <c r="CX41">
        <f t="shared" si="61"/>
        <v>1</v>
      </c>
      <c r="CY41">
        <f t="shared" si="62"/>
        <v>1</v>
      </c>
      <c r="CZ41">
        <f t="shared" si="63"/>
        <v>1</v>
      </c>
      <c r="DA41">
        <f t="shared" si="64"/>
        <v>1</v>
      </c>
      <c r="DB41">
        <f t="shared" si="65"/>
        <v>1</v>
      </c>
      <c r="DC41" s="11">
        <v>6.4399999999999999E-2</v>
      </c>
      <c r="DD41" s="11">
        <v>9.6799999999999997E-2</v>
      </c>
      <c r="DE41" s="11">
        <v>0.127</v>
      </c>
      <c r="DF41" s="11">
        <v>0.14879999999999999</v>
      </c>
      <c r="DG41" s="11">
        <v>0.17069999999999999</v>
      </c>
      <c r="DH41" s="11">
        <v>0.1875</v>
      </c>
      <c r="DI41" s="11">
        <v>0.1933</v>
      </c>
      <c r="DJ41" s="11">
        <v>0.1966</v>
      </c>
      <c r="DK41" s="11">
        <v>0.21199999999999999</v>
      </c>
      <c r="DL41" s="10">
        <f t="shared" si="86"/>
        <v>0.13028083360682635</v>
      </c>
      <c r="DN41" s="1">
        <v>146</v>
      </c>
      <c r="DO41" s="1">
        <v>904</v>
      </c>
      <c r="DP41" s="1">
        <v>3690</v>
      </c>
      <c r="DQ41" s="1">
        <v>418</v>
      </c>
      <c r="DR41" s="1">
        <v>580</v>
      </c>
      <c r="DS41" s="1">
        <v>295</v>
      </c>
      <c r="DT41" s="1">
        <v>45</v>
      </c>
      <c r="DU41" s="1">
        <v>14</v>
      </c>
      <c r="DV41" s="1">
        <v>2</v>
      </c>
      <c r="DW41">
        <f t="shared" si="32"/>
        <v>6094</v>
      </c>
      <c r="DX41" s="19">
        <f t="shared" si="33"/>
        <v>526.70896328814035</v>
      </c>
      <c r="DY41">
        <f t="shared" si="66"/>
        <v>1.4149513656597591E-2</v>
      </c>
      <c r="DZ41">
        <f t="shared" si="34"/>
        <v>0.10281209254393192</v>
      </c>
      <c r="EA41">
        <f t="shared" si="35"/>
        <v>0.72222259537444755</v>
      </c>
      <c r="EB41">
        <f t="shared" si="36"/>
        <v>6.3744458701853315E-2</v>
      </c>
      <c r="EC41">
        <f t="shared" si="37"/>
        <v>6.2726177264075242E-2</v>
      </c>
      <c r="ED41">
        <f t="shared" si="38"/>
        <v>2.786081119764882E-2</v>
      </c>
      <c r="EE41">
        <f t="shared" si="39"/>
        <v>5.7536197006542817E-3</v>
      </c>
      <c r="EF41">
        <f t="shared" si="40"/>
        <v>6.4211772387202687E-4</v>
      </c>
      <c r="EG41">
        <f t="shared" si="41"/>
        <v>8.8613836919162011E-5</v>
      </c>
      <c r="EH41">
        <f t="shared" si="42"/>
        <v>2.3957991467016739E-2</v>
      </c>
      <c r="EI41">
        <f t="shared" si="43"/>
        <v>0.14834263209714474</v>
      </c>
      <c r="EJ41">
        <f t="shared" si="44"/>
        <v>0.60551361995405317</v>
      </c>
      <c r="EK41">
        <f t="shared" si="45"/>
        <v>6.8592057761732855E-2</v>
      </c>
      <c r="EL41">
        <f t="shared" si="46"/>
        <v>9.5175582540203474E-2</v>
      </c>
      <c r="EM41">
        <f t="shared" si="47"/>
        <v>4.840827042993108E-2</v>
      </c>
      <c r="EN41">
        <f t="shared" si="48"/>
        <v>7.3843124384640633E-3</v>
      </c>
      <c r="EO41">
        <f t="shared" si="49"/>
        <v>2.2973416475221531E-3</v>
      </c>
      <c r="EP41">
        <f t="shared" si="50"/>
        <v>3.2819166393173612E-4</v>
      </c>
      <c r="EQ41">
        <f t="shared" si="51"/>
        <v>-1.3187118348366738</v>
      </c>
      <c r="ER41">
        <v>100</v>
      </c>
      <c r="ES41">
        <v>0.35481559805137364</v>
      </c>
    </row>
    <row r="42" spans="3:149" x14ac:dyDescent="0.3">
      <c r="C42">
        <f t="shared" si="13"/>
        <v>9.2635434389919254E-5</v>
      </c>
      <c r="D42">
        <v>40</v>
      </c>
      <c r="E42">
        <v>1990</v>
      </c>
      <c r="F42" s="2">
        <v>5.249348736889746</v>
      </c>
      <c r="G42" s="3">
        <f t="shared" si="67"/>
        <v>190.4422000828875</v>
      </c>
      <c r="H42" s="4">
        <f t="shared" si="52"/>
        <v>195.8866315821283</v>
      </c>
      <c r="I42" s="4">
        <f t="shared" si="53"/>
        <v>98.859155230981614</v>
      </c>
      <c r="J42" s="4">
        <f t="shared" si="54"/>
        <v>266.76197208827637</v>
      </c>
      <c r="K42" s="4">
        <f t="shared" si="55"/>
        <v>15.716381541022699</v>
      </c>
      <c r="L42" s="4">
        <f t="shared" si="56"/>
        <v>13.130718130725018</v>
      </c>
      <c r="M42" s="4">
        <f t="shared" si="57"/>
        <v>4.6880825627983294</v>
      </c>
      <c r="N42" s="4">
        <f t="shared" si="58"/>
        <v>0.72341630428205306</v>
      </c>
      <c r="O42" s="4">
        <f t="shared" si="59"/>
        <v>5.4724850689378518E-2</v>
      </c>
      <c r="P42" s="22">
        <v>1.0099775349868614</v>
      </c>
      <c r="Q42" s="4"/>
      <c r="R42" s="5">
        <f t="shared" si="15"/>
        <v>64.826196900341259</v>
      </c>
      <c r="S42" s="4">
        <f t="shared" si="16"/>
        <v>-0.32220069477636615</v>
      </c>
      <c r="T42" s="5">
        <v>41.500562746795211</v>
      </c>
      <c r="U42" s="5">
        <f t="shared" si="72"/>
        <v>46.520094995532595</v>
      </c>
      <c r="V42" s="5">
        <v>46.97</v>
      </c>
      <c r="W42" s="4"/>
      <c r="X42" s="4">
        <f t="shared" si="17"/>
        <v>0.15895522488560748</v>
      </c>
      <c r="Y42" s="23">
        <v>0.31657354047263803</v>
      </c>
      <c r="Z42" s="23">
        <v>17.862422192728847</v>
      </c>
      <c r="AA42" s="23">
        <v>8.4803336296306657</v>
      </c>
      <c r="AB42" s="23">
        <v>33.959707068882985</v>
      </c>
      <c r="AC42" s="23">
        <v>3.3000393309874991</v>
      </c>
      <c r="AD42" s="23">
        <v>4.3360981907161325</v>
      </c>
      <c r="AE42" s="23">
        <v>1.3046667122508717</v>
      </c>
      <c r="AF42" s="23">
        <v>0.18226961421151885</v>
      </c>
      <c r="AG42" s="23">
        <v>5.7558825540479641E-2</v>
      </c>
      <c r="AH42" s="23">
        <f t="shared" si="18"/>
        <v>9.8489999999999984</v>
      </c>
      <c r="AI42" s="10">
        <v>2.8653522216724392</v>
      </c>
      <c r="AJ42" s="4">
        <f t="shared" si="73"/>
        <v>2.8653522216724392</v>
      </c>
      <c r="AK42" s="23">
        <f t="shared" si="74"/>
        <v>9.2100182507460979E-2</v>
      </c>
      <c r="AL42" s="23">
        <f t="shared" si="75"/>
        <v>5.1966830251179497</v>
      </c>
      <c r="AM42" s="23">
        <f t="shared" si="76"/>
        <v>2.4671685253513789</v>
      </c>
      <c r="AN42" s="23">
        <f t="shared" si="77"/>
        <v>9.8798377598912683</v>
      </c>
      <c r="AO42" s="23">
        <f t="shared" si="78"/>
        <v>0.96007462977474467</v>
      </c>
      <c r="AP42" s="23">
        <f t="shared" si="79"/>
        <v>1.2614934088900716</v>
      </c>
      <c r="AQ42" s="23">
        <f t="shared" si="80"/>
        <v>0.37956438851559676</v>
      </c>
      <c r="AR42" s="23">
        <f t="shared" si="81"/>
        <v>5.3027377807326012E-2</v>
      </c>
      <c r="AS42" s="23">
        <f t="shared" si="82"/>
        <v>1.6745487728629268E-2</v>
      </c>
      <c r="AT42" s="23">
        <f t="shared" si="21"/>
        <v>64.826196900341259</v>
      </c>
      <c r="AU42" s="23">
        <f t="shared" si="83"/>
        <v>78.167496044818861</v>
      </c>
      <c r="AV42" s="4">
        <f t="shared" si="69"/>
        <v>0.37106368139083207</v>
      </c>
      <c r="AW42" s="4">
        <f t="shared" si="69"/>
        <v>0.37106368139083207</v>
      </c>
      <c r="AX42" s="4">
        <f t="shared" si="69"/>
        <v>0.37106368139083207</v>
      </c>
      <c r="AY42" s="4">
        <f t="shared" si="71"/>
        <v>0.49515641167153346</v>
      </c>
      <c r="AZ42" s="4">
        <f t="shared" si="71"/>
        <v>0.66074877255687903</v>
      </c>
      <c r="BA42" s="4">
        <f t="shared" si="71"/>
        <v>0.88171925101726745</v>
      </c>
      <c r="BB42" s="4">
        <f t="shared" si="71"/>
        <v>1.1765876380005351</v>
      </c>
      <c r="BC42" s="4">
        <f t="shared" si="71"/>
        <v>1.5700671934955486</v>
      </c>
      <c r="BD42" s="24">
        <f t="shared" si="24"/>
        <v>1.5700671934955486</v>
      </c>
      <c r="BE42" s="4">
        <f t="shared" si="25"/>
        <v>0.41997312896903655</v>
      </c>
      <c r="BF42" s="4">
        <f t="shared" si="84"/>
        <v>4.4200529395198182E-2</v>
      </c>
      <c r="BG42" s="4">
        <f t="shared" si="85"/>
        <v>3.6656569119593307E-2</v>
      </c>
      <c r="BH42" s="4">
        <f t="shared" si="28"/>
        <v>0.41211128697019095</v>
      </c>
      <c r="BI42" s="23"/>
      <c r="BJ42" s="23"/>
      <c r="BK42" s="23"/>
      <c r="BL42" s="23"/>
      <c r="BM42" s="23"/>
      <c r="BN42" s="23"/>
      <c r="BO42" s="23"/>
      <c r="BP42" s="23"/>
      <c r="BQ42" s="23"/>
      <c r="BR42" s="13">
        <v>1.509743039496376</v>
      </c>
      <c r="BS42" s="13">
        <v>85.186107258856126</v>
      </c>
      <c r="BT42" s="13">
        <v>40.442813542872621</v>
      </c>
      <c r="BU42" s="13">
        <v>161.95425332779305</v>
      </c>
      <c r="BV42" s="13">
        <v>15.73792744202283</v>
      </c>
      <c r="BW42" s="13">
        <v>20.678904662192785</v>
      </c>
      <c r="BX42" s="13">
        <v>6.221971314288095</v>
      </c>
      <c r="BY42" s="13">
        <v>0.86924599243730738</v>
      </c>
      <c r="BZ42" s="13">
        <v>0.27449873445388656</v>
      </c>
      <c r="CA42" s="4"/>
      <c r="CB42" s="4"/>
      <c r="CC42" s="4"/>
      <c r="CD42" s="4"/>
      <c r="CE42" s="4"/>
      <c r="CF42" s="4"/>
      <c r="CG42" s="4"/>
      <c r="CH42" s="4"/>
      <c r="CI42" s="4"/>
      <c r="CJ42" s="23"/>
      <c r="CK42" s="23"/>
      <c r="CL42" s="23"/>
      <c r="CM42" s="23"/>
      <c r="CN42" s="23"/>
      <c r="CO42" s="23"/>
      <c r="CP42" s="23"/>
      <c r="CQ42" s="23"/>
      <c r="CR42" s="23"/>
      <c r="CS42" s="31">
        <f t="shared" si="29"/>
        <v>1990</v>
      </c>
      <c r="CT42" s="1">
        <v>2.6197453885975358E-2</v>
      </c>
      <c r="CU42" s="1">
        <v>0.34768661313711668</v>
      </c>
      <c r="CV42" s="1">
        <v>0.8</v>
      </c>
      <c r="CW42" s="1">
        <v>1</v>
      </c>
      <c r="CX42">
        <f t="shared" si="61"/>
        <v>1</v>
      </c>
      <c r="CY42">
        <f t="shared" si="62"/>
        <v>1</v>
      </c>
      <c r="CZ42">
        <f t="shared" si="63"/>
        <v>1</v>
      </c>
      <c r="DA42">
        <f t="shared" si="64"/>
        <v>1</v>
      </c>
      <c r="DB42">
        <f t="shared" si="65"/>
        <v>1</v>
      </c>
      <c r="DC42" s="11">
        <v>6.2E-2</v>
      </c>
      <c r="DD42" s="11">
        <v>0.1008</v>
      </c>
      <c r="DE42" s="11">
        <v>0.1295</v>
      </c>
      <c r="DF42" s="11">
        <v>0.1542</v>
      </c>
      <c r="DG42" s="11">
        <v>0.1721</v>
      </c>
      <c r="DH42" s="11">
        <v>0.18809999999999999</v>
      </c>
      <c r="DI42" s="11">
        <v>0.1993</v>
      </c>
      <c r="DJ42" s="11">
        <v>0.21479999999999999</v>
      </c>
      <c r="DK42" s="11">
        <v>0.19670000000000001</v>
      </c>
      <c r="DL42" s="10">
        <f t="shared" si="86"/>
        <v>0.14110382078064873</v>
      </c>
      <c r="DN42" s="1">
        <v>33</v>
      </c>
      <c r="DO42" s="1">
        <v>1862</v>
      </c>
      <c r="DP42" s="1">
        <v>884</v>
      </c>
      <c r="DQ42" s="1">
        <v>3540</v>
      </c>
      <c r="DR42" s="1">
        <v>344</v>
      </c>
      <c r="DS42" s="1">
        <v>452</v>
      </c>
      <c r="DT42" s="1">
        <v>136</v>
      </c>
      <c r="DU42" s="1">
        <v>19</v>
      </c>
      <c r="DV42" s="1">
        <v>6</v>
      </c>
      <c r="DW42">
        <f t="shared" si="32"/>
        <v>7276</v>
      </c>
      <c r="DX42" s="19">
        <f t="shared" si="33"/>
        <v>453.25887991082266</v>
      </c>
      <c r="DY42">
        <f t="shared" si="66"/>
        <v>1.1007177080781581E-2</v>
      </c>
      <c r="DZ42">
        <f t="shared" si="34"/>
        <v>0.15026105943479415</v>
      </c>
      <c r="EA42">
        <f t="shared" si="35"/>
        <v>0.17448598955269337</v>
      </c>
      <c r="EB42">
        <f t="shared" si="36"/>
        <v>0.58854218618013832</v>
      </c>
      <c r="EC42">
        <f t="shared" si="37"/>
        <v>3.4674183424966434E-2</v>
      </c>
      <c r="ED42">
        <f t="shared" si="38"/>
        <v>2.896957723874808E-2</v>
      </c>
      <c r="EE42">
        <f t="shared" si="39"/>
        <v>1.0343057291499057E-2</v>
      </c>
      <c r="EF42">
        <f t="shared" si="40"/>
        <v>1.5960333847720382E-3</v>
      </c>
      <c r="EG42">
        <f t="shared" si="41"/>
        <v>1.2073641160686244E-4</v>
      </c>
      <c r="EH42">
        <f t="shared" si="42"/>
        <v>4.5354590434304566E-3</v>
      </c>
      <c r="EI42">
        <f t="shared" si="43"/>
        <v>0.25590984057174271</v>
      </c>
      <c r="EJ42">
        <f t="shared" si="44"/>
        <v>0.12149532710280374</v>
      </c>
      <c r="EK42">
        <f t="shared" si="45"/>
        <v>0.48653106102253985</v>
      </c>
      <c r="EL42">
        <f t="shared" si="46"/>
        <v>4.7278724573941729E-2</v>
      </c>
      <c r="EM42">
        <f t="shared" si="47"/>
        <v>6.2122045079714132E-2</v>
      </c>
      <c r="EN42">
        <f t="shared" si="48"/>
        <v>1.8691588785046728E-2</v>
      </c>
      <c r="EO42">
        <f t="shared" si="49"/>
        <v>2.6113249037932932E-3</v>
      </c>
      <c r="EP42">
        <f t="shared" si="50"/>
        <v>8.2462891698735572E-4</v>
      </c>
      <c r="EQ42">
        <f t="shared" si="51"/>
        <v>-1.4626317550822079</v>
      </c>
      <c r="ER42">
        <v>100</v>
      </c>
      <c r="ES42">
        <v>0.36878718998491</v>
      </c>
    </row>
    <row r="43" spans="3:149" x14ac:dyDescent="0.3">
      <c r="C43">
        <f t="shared" si="13"/>
        <v>2.2698367845122511E-2</v>
      </c>
      <c r="D43">
        <v>41</v>
      </c>
      <c r="E43">
        <v>1991</v>
      </c>
      <c r="F43" s="2">
        <v>6.1919827218247541</v>
      </c>
      <c r="G43" s="3">
        <f t="shared" si="67"/>
        <v>488.8143288772668</v>
      </c>
      <c r="H43" s="4">
        <f t="shared" si="52"/>
        <v>130.22337246449064</v>
      </c>
      <c r="I43" s="4">
        <f t="shared" si="53"/>
        <v>125.26485611844886</v>
      </c>
      <c r="J43" s="4">
        <f t="shared" si="54"/>
        <v>57.221038249687872</v>
      </c>
      <c r="K43" s="4">
        <f t="shared" si="55"/>
        <v>130.05304316370626</v>
      </c>
      <c r="L43" s="4">
        <f t="shared" si="56"/>
        <v>6.4821006698036312</v>
      </c>
      <c r="M43" s="4">
        <f t="shared" si="57"/>
        <v>4.3323937492955684</v>
      </c>
      <c r="N43" s="4">
        <f t="shared" si="58"/>
        <v>1.1484107780539576</v>
      </c>
      <c r="O43" s="4">
        <f t="shared" si="59"/>
        <v>0.11909657719168314</v>
      </c>
      <c r="P43" s="22">
        <v>0.75937004203800307</v>
      </c>
      <c r="Q43" s="4"/>
      <c r="R43" s="5">
        <f t="shared" si="15"/>
        <v>48.687114939197443</v>
      </c>
      <c r="S43" s="4">
        <f t="shared" si="16"/>
        <v>-0.48248520027013231</v>
      </c>
      <c r="T43" s="5">
        <v>30.224075537868465</v>
      </c>
      <c r="U43" s="5">
        <f t="shared" si="72"/>
        <v>34.938486604602225</v>
      </c>
      <c r="V43" s="5">
        <v>30.052</v>
      </c>
      <c r="W43" s="4"/>
      <c r="X43" s="4">
        <f t="shared" si="17"/>
        <v>0.18917182245405376</v>
      </c>
      <c r="Y43" s="23">
        <v>4.0792158236412748</v>
      </c>
      <c r="Z43" s="23">
        <v>13.253219875149867</v>
      </c>
      <c r="AA43" s="23">
        <v>13.270146081886967</v>
      </c>
      <c r="AB43" s="23">
        <v>6.9482078655798469</v>
      </c>
      <c r="AC43" s="23">
        <v>22.367982203078608</v>
      </c>
      <c r="AD43" s="23">
        <v>2.09884963540049</v>
      </c>
      <c r="AE43" s="23">
        <v>2.3612058398255509</v>
      </c>
      <c r="AF43" s="23">
        <v>0.4231551684275181</v>
      </c>
      <c r="AG43" s="23">
        <v>2.5389310105651083E-2</v>
      </c>
      <c r="AH43" s="23">
        <f t="shared" si="18"/>
        <v>8.634999999999998</v>
      </c>
      <c r="AI43" s="10">
        <v>3.0407819495299355</v>
      </c>
      <c r="AJ43" s="4">
        <f t="shared" si="73"/>
        <v>3.0407819495299355</v>
      </c>
      <c r="AK43" s="23">
        <f t="shared" si="74"/>
        <v>1.4364801209919256</v>
      </c>
      <c r="AL43" s="23">
        <f t="shared" si="75"/>
        <v>4.6670702686169205</v>
      </c>
      <c r="AM43" s="23">
        <f t="shared" si="76"/>
        <v>4.6730307670442723</v>
      </c>
      <c r="AN43" s="23">
        <f t="shared" si="77"/>
        <v>2.4467846044281556</v>
      </c>
      <c r="AO43" s="23">
        <f t="shared" si="78"/>
        <v>7.8767986717461804</v>
      </c>
      <c r="AP43" s="23">
        <f t="shared" si="79"/>
        <v>0.73910180499169609</v>
      </c>
      <c r="AQ43" s="23">
        <f t="shared" si="80"/>
        <v>0.83148953061565811</v>
      </c>
      <c r="AR43" s="23">
        <f t="shared" si="81"/>
        <v>0.14901246068380969</v>
      </c>
      <c r="AS43" s="23">
        <f t="shared" si="82"/>
        <v>8.9407476410285833E-3</v>
      </c>
      <c r="AT43" s="23">
        <f t="shared" si="21"/>
        <v>48.687114939197443</v>
      </c>
      <c r="AU43" s="23">
        <f t="shared" si="83"/>
        <v>53.553531112254994</v>
      </c>
      <c r="AV43" s="4">
        <f t="shared" ref="AV43:AX62" si="87">-LN(Su)</f>
        <v>0.37106368139083207</v>
      </c>
      <c r="AW43" s="4">
        <f t="shared" si="87"/>
        <v>0.37106368139083207</v>
      </c>
      <c r="AX43" s="4">
        <f t="shared" si="87"/>
        <v>0.37106368139083207</v>
      </c>
      <c r="AY43" s="4">
        <f t="shared" ref="AY43:BC52" si="88">AX43*EXP(tanasMsl)</f>
        <v>0.49515641167153346</v>
      </c>
      <c r="AZ43" s="4">
        <f t="shared" si="88"/>
        <v>0.66074877255687903</v>
      </c>
      <c r="BA43" s="4">
        <f t="shared" si="88"/>
        <v>0.88171925101726745</v>
      </c>
      <c r="BB43" s="4">
        <f t="shared" si="88"/>
        <v>1.1765876380005351</v>
      </c>
      <c r="BC43" s="4">
        <f t="shared" si="88"/>
        <v>1.5700671934955486</v>
      </c>
      <c r="BD43" s="24">
        <f t="shared" si="24"/>
        <v>1.5700671934955486</v>
      </c>
      <c r="BE43" s="4">
        <f t="shared" si="25"/>
        <v>0.34626578311255041</v>
      </c>
      <c r="BF43" s="4">
        <f t="shared" si="84"/>
        <v>6.2455578921186736E-2</v>
      </c>
      <c r="BG43" s="4">
        <f t="shared" si="85"/>
        <v>5.678023253323989E-2</v>
      </c>
      <c r="BH43" s="4">
        <f t="shared" si="28"/>
        <v>0.34023061544111793</v>
      </c>
      <c r="BI43" s="23"/>
      <c r="BJ43" s="23"/>
      <c r="BK43" s="23"/>
      <c r="BL43" s="23"/>
      <c r="BM43" s="23"/>
      <c r="BN43" s="23"/>
      <c r="BO43" s="23"/>
      <c r="BP43" s="23"/>
      <c r="BQ43" s="23"/>
      <c r="BR43" s="13">
        <v>14.196710356927342</v>
      </c>
      <c r="BS43" s="13">
        <v>46.124581782050242</v>
      </c>
      <c r="BT43" s="13">
        <v>46.183489293904707</v>
      </c>
      <c r="BU43" s="13">
        <v>24.181533616260054</v>
      </c>
      <c r="BV43" s="13">
        <v>77.846276915682495</v>
      </c>
      <c r="BW43" s="13">
        <v>7.3045314699543171</v>
      </c>
      <c r="BX43" s="13">
        <v>8.2175979036986053</v>
      </c>
      <c r="BY43" s="13">
        <v>1.4726877963617575</v>
      </c>
      <c r="BZ43" s="13">
        <v>8.836126778170543E-2</v>
      </c>
      <c r="CA43" s="4"/>
      <c r="CB43" s="4"/>
      <c r="CC43" s="4"/>
      <c r="CD43" s="4"/>
      <c r="CE43" s="4"/>
      <c r="CF43" s="4"/>
      <c r="CG43" s="4"/>
      <c r="CH43" s="4"/>
      <c r="CI43" s="4"/>
      <c r="CJ43" s="23"/>
      <c r="CK43" s="23"/>
      <c r="CL43" s="23"/>
      <c r="CM43" s="23"/>
      <c r="CN43" s="23"/>
      <c r="CO43" s="23"/>
      <c r="CP43" s="23"/>
      <c r="CQ43" s="23"/>
      <c r="CR43" s="23"/>
      <c r="CS43" s="31">
        <f t="shared" si="29"/>
        <v>1991</v>
      </c>
      <c r="CT43" s="1">
        <v>2.6197453885975358E-2</v>
      </c>
      <c r="CU43" s="1">
        <v>0.34768661313711668</v>
      </c>
      <c r="CV43" s="1">
        <v>0.8</v>
      </c>
      <c r="CW43" s="1">
        <v>1</v>
      </c>
      <c r="CX43">
        <f t="shared" si="61"/>
        <v>1</v>
      </c>
      <c r="CY43">
        <f t="shared" si="62"/>
        <v>1</v>
      </c>
      <c r="CZ43">
        <f t="shared" si="63"/>
        <v>1</v>
      </c>
      <c r="DA43">
        <f t="shared" si="64"/>
        <v>1</v>
      </c>
      <c r="DB43">
        <f t="shared" si="65"/>
        <v>1</v>
      </c>
      <c r="DC43" s="11">
        <v>6.6199999999999995E-2</v>
      </c>
      <c r="DD43" s="11">
        <v>9.4200000000000006E-2</v>
      </c>
      <c r="DE43" s="11">
        <v>0.1235</v>
      </c>
      <c r="DF43" s="11">
        <v>0.14119999999999999</v>
      </c>
      <c r="DG43" s="11">
        <v>0.1608</v>
      </c>
      <c r="DH43" s="11">
        <v>0.17730000000000001</v>
      </c>
      <c r="DI43" s="11">
        <v>0.18579999999999999</v>
      </c>
      <c r="DJ43" s="11">
        <v>0.1978</v>
      </c>
      <c r="DK43" s="11">
        <v>0.20649999999999999</v>
      </c>
      <c r="DL43" s="10">
        <f t="shared" si="86"/>
        <v>0.133199908616188</v>
      </c>
      <c r="DN43" s="1">
        <v>482</v>
      </c>
      <c r="DO43" s="1">
        <v>1566</v>
      </c>
      <c r="DP43" s="1">
        <v>1568</v>
      </c>
      <c r="DQ43" s="1">
        <v>821</v>
      </c>
      <c r="DR43" s="1">
        <v>2643</v>
      </c>
      <c r="DS43" s="1">
        <v>248</v>
      </c>
      <c r="DT43" s="1">
        <v>279</v>
      </c>
      <c r="DU43" s="1">
        <v>50</v>
      </c>
      <c r="DV43" s="1">
        <v>3</v>
      </c>
      <c r="DW43">
        <f t="shared" si="32"/>
        <v>7660</v>
      </c>
      <c r="DX43" s="19">
        <f t="shared" si="33"/>
        <v>357.65058224553627</v>
      </c>
      <c r="DY43">
        <f t="shared" si="66"/>
        <v>3.5805032831666847E-2</v>
      </c>
      <c r="DZ43">
        <f t="shared" si="34"/>
        <v>0.12659541343172831</v>
      </c>
      <c r="EA43">
        <f t="shared" si="35"/>
        <v>0.28019494408640744</v>
      </c>
      <c r="EB43">
        <f t="shared" si="36"/>
        <v>0.15999145839612855</v>
      </c>
      <c r="EC43">
        <f t="shared" si="37"/>
        <v>0.36363157120326323</v>
      </c>
      <c r="ED43">
        <f t="shared" si="38"/>
        <v>1.8124116083092251E-2</v>
      </c>
      <c r="EE43">
        <f t="shared" si="39"/>
        <v>1.211348160568985E-2</v>
      </c>
      <c r="EF43">
        <f t="shared" si="40"/>
        <v>3.2109853445325704E-3</v>
      </c>
      <c r="EG43">
        <f t="shared" si="41"/>
        <v>3.3299701749099988E-4</v>
      </c>
      <c r="EH43">
        <f t="shared" si="42"/>
        <v>6.292428198433421E-2</v>
      </c>
      <c r="EI43">
        <f t="shared" si="43"/>
        <v>0.20443864229765013</v>
      </c>
      <c r="EJ43">
        <f t="shared" si="44"/>
        <v>0.20469973890339427</v>
      </c>
      <c r="EK43">
        <f t="shared" si="45"/>
        <v>0.10718015665796345</v>
      </c>
      <c r="EL43">
        <f t="shared" si="46"/>
        <v>0.34503916449086164</v>
      </c>
      <c r="EM43">
        <f t="shared" si="47"/>
        <v>3.2375979112271538E-2</v>
      </c>
      <c r="EN43">
        <f t="shared" si="48"/>
        <v>3.6422976501305486E-2</v>
      </c>
      <c r="EO43">
        <f t="shared" si="49"/>
        <v>6.5274151436031328E-3</v>
      </c>
      <c r="EP43">
        <f t="shared" si="50"/>
        <v>3.9164490861618801E-4</v>
      </c>
      <c r="EQ43">
        <f t="shared" si="51"/>
        <v>-1.7677975432514654</v>
      </c>
      <c r="ER43">
        <v>100</v>
      </c>
      <c r="ES43">
        <v>0.36445510466345316</v>
      </c>
    </row>
    <row r="44" spans="3:149" x14ac:dyDescent="0.3">
      <c r="C44">
        <f t="shared" si="13"/>
        <v>2.7513678146593383E-2</v>
      </c>
      <c r="D44">
        <v>42</v>
      </c>
      <c r="E44">
        <v>1992</v>
      </c>
      <c r="F44" s="2">
        <v>5.6088444159715447</v>
      </c>
      <c r="G44" s="3">
        <f t="shared" si="67"/>
        <v>272.82877919054221</v>
      </c>
      <c r="H44" s="4">
        <f t="shared" si="52"/>
        <v>366.35485777418137</v>
      </c>
      <c r="I44" s="4">
        <f t="shared" si="53"/>
        <v>89.791208408680717</v>
      </c>
      <c r="J44" s="4">
        <f t="shared" si="54"/>
        <v>76.195786415686825</v>
      </c>
      <c r="K44" s="4">
        <f t="shared" si="55"/>
        <v>29.86611126705629</v>
      </c>
      <c r="L44" s="4">
        <f t="shared" si="56"/>
        <v>59.859450125017446</v>
      </c>
      <c r="M44" s="4">
        <f t="shared" si="57"/>
        <v>2.5226330030714972</v>
      </c>
      <c r="N44" s="4">
        <f t="shared" si="58"/>
        <v>1.3477877735193229</v>
      </c>
      <c r="O44" s="4">
        <f t="shared" si="59"/>
        <v>0.26498735046170463</v>
      </c>
      <c r="P44" s="22">
        <v>1.0571735120598611</v>
      </c>
      <c r="Q44" s="4"/>
      <c r="R44" s="5">
        <f t="shared" si="15"/>
        <v>50.013806801430782</v>
      </c>
      <c r="S44" s="4">
        <f t="shared" si="16"/>
        <v>-0.16595294957596082</v>
      </c>
      <c r="T44" s="5">
        <v>33.39939331820446</v>
      </c>
      <c r="U44" s="5">
        <f t="shared" si="72"/>
        <v>35.890537386723153</v>
      </c>
      <c r="V44" s="5">
        <v>42.366</v>
      </c>
      <c r="W44" s="4"/>
      <c r="X44" s="4">
        <f t="shared" si="17"/>
        <v>7.9209055050388333E-2</v>
      </c>
      <c r="Y44" s="23">
        <v>0.41862635702164258</v>
      </c>
      <c r="Z44" s="23">
        <v>12.494054676058303</v>
      </c>
      <c r="AA44" s="23">
        <v>3.0425936257758557</v>
      </c>
      <c r="AB44" s="23">
        <v>4.2035265127740198</v>
      </c>
      <c r="AC44" s="23">
        <v>1.8859764744170908</v>
      </c>
      <c r="AD44" s="23">
        <v>5.1055152614082795</v>
      </c>
      <c r="AE44" s="23">
        <v>0.6128344607945696</v>
      </c>
      <c r="AF44" s="23">
        <v>0.37546900062765876</v>
      </c>
      <c r="AG44" s="23">
        <v>6.4736034590975655E-2</v>
      </c>
      <c r="AH44" s="23">
        <f t="shared" si="18"/>
        <v>3.7129999999999996</v>
      </c>
      <c r="AI44" s="10">
        <v>3.1378530656110835</v>
      </c>
      <c r="AJ44" s="4">
        <f t="shared" si="73"/>
        <v>3.1378530656110835</v>
      </c>
      <c r="AK44" s="23">
        <f t="shared" si="74"/>
        <v>0.35378076965417748</v>
      </c>
      <c r="AL44" s="23">
        <f t="shared" si="75"/>
        <v>10.558714723183957</v>
      </c>
      <c r="AM44" s="23">
        <f t="shared" si="76"/>
        <v>2.5712932227442802</v>
      </c>
      <c r="AN44" s="23">
        <f t="shared" si="77"/>
        <v>3.5523965942594731</v>
      </c>
      <c r="AO44" s="23">
        <f t="shared" si="78"/>
        <v>1.5938370756585112</v>
      </c>
      <c r="AP44" s="23">
        <f t="shared" si="79"/>
        <v>4.3146665000091957</v>
      </c>
      <c r="AQ44" s="23">
        <f t="shared" si="80"/>
        <v>0.5179058689782805</v>
      </c>
      <c r="AR44" s="23">
        <f t="shared" si="81"/>
        <v>0.31730852535993243</v>
      </c>
      <c r="AS44" s="23">
        <f t="shared" si="82"/>
        <v>5.4708366441367652E-2</v>
      </c>
      <c r="AT44" s="23">
        <f t="shared" si="21"/>
        <v>50.013806801430789</v>
      </c>
      <c r="AU44" s="23">
        <f t="shared" si="83"/>
        <v>65.88827889510695</v>
      </c>
      <c r="AV44" s="4">
        <f t="shared" si="87"/>
        <v>0.37106368139083207</v>
      </c>
      <c r="AW44" s="4">
        <f t="shared" si="87"/>
        <v>0.37106368139083207</v>
      </c>
      <c r="AX44" s="4">
        <f t="shared" si="87"/>
        <v>0.37106368139083207</v>
      </c>
      <c r="AY44" s="4">
        <f t="shared" si="88"/>
        <v>0.49515641167153346</v>
      </c>
      <c r="AZ44" s="4">
        <f t="shared" si="88"/>
        <v>0.66074877255687903</v>
      </c>
      <c r="BA44" s="4">
        <f t="shared" si="88"/>
        <v>0.88171925101726745</v>
      </c>
      <c r="BB44" s="4">
        <f t="shared" si="88"/>
        <v>1.1765876380005351</v>
      </c>
      <c r="BC44" s="4">
        <f t="shared" si="88"/>
        <v>1.5700671934955486</v>
      </c>
      <c r="BD44" s="24">
        <f t="shared" si="24"/>
        <v>1.5700671934955486</v>
      </c>
      <c r="BE44" s="4">
        <f t="shared" si="25"/>
        <v>0.45707296814428894</v>
      </c>
      <c r="BF44" s="4">
        <f t="shared" si="84"/>
        <v>6.2739736610517641E-2</v>
      </c>
      <c r="BG44" s="4">
        <f t="shared" si="85"/>
        <v>4.7623843242384487E-2</v>
      </c>
      <c r="BH44" s="4">
        <f t="shared" si="28"/>
        <v>0.44107389484042064</v>
      </c>
      <c r="BI44" s="23"/>
      <c r="BJ44" s="23"/>
      <c r="BK44" s="23"/>
      <c r="BL44" s="23"/>
      <c r="BM44" s="23"/>
      <c r="BN44" s="23"/>
      <c r="BO44" s="23"/>
      <c r="BP44" s="23"/>
      <c r="BQ44" s="23"/>
      <c r="BR44" s="13">
        <v>4.7766022735197708</v>
      </c>
      <c r="BS44" s="13">
        <v>142.55941836948185</v>
      </c>
      <c r="BT44" s="13">
        <v>34.716542297231328</v>
      </c>
      <c r="BU44" s="13">
        <v>47.962996024827397</v>
      </c>
      <c r="BV44" s="13">
        <v>21.519331892042679</v>
      </c>
      <c r="BW44" s="13">
        <v>58.254850407978239</v>
      </c>
      <c r="BX44" s="13">
        <v>6.9925517818536855</v>
      </c>
      <c r="BY44" s="13">
        <v>4.284169049445568</v>
      </c>
      <c r="BZ44" s="13">
        <v>0.73864983611130486</v>
      </c>
      <c r="CA44" s="4"/>
      <c r="CB44" s="4"/>
      <c r="CC44" s="4"/>
      <c r="CD44" s="4"/>
      <c r="CE44" s="4"/>
      <c r="CF44" s="4"/>
      <c r="CG44" s="4"/>
      <c r="CH44" s="4"/>
      <c r="CI44" s="4"/>
      <c r="CJ44" s="23"/>
      <c r="CK44" s="23"/>
      <c r="CL44" s="23"/>
      <c r="CM44" s="23"/>
      <c r="CN44" s="23"/>
      <c r="CO44" s="23"/>
      <c r="CP44" s="23"/>
      <c r="CQ44" s="23"/>
      <c r="CR44" s="23"/>
      <c r="CS44" s="31">
        <f t="shared" si="29"/>
        <v>1992</v>
      </c>
      <c r="CT44" s="1">
        <v>2.6197453885975358E-2</v>
      </c>
      <c r="CU44" s="1">
        <v>0.34768661313711668</v>
      </c>
      <c r="CV44" s="1">
        <v>0.8</v>
      </c>
      <c r="CW44" s="1">
        <v>1</v>
      </c>
      <c r="CX44">
        <f t="shared" si="61"/>
        <v>1</v>
      </c>
      <c r="CY44">
        <f t="shared" si="62"/>
        <v>1</v>
      </c>
      <c r="CZ44">
        <f t="shared" si="63"/>
        <v>1</v>
      </c>
      <c r="DA44">
        <f t="shared" si="64"/>
        <v>1</v>
      </c>
      <c r="DB44">
        <f t="shared" si="65"/>
        <v>1</v>
      </c>
      <c r="DC44" s="11">
        <v>6.8599999999999994E-2</v>
      </c>
      <c r="DD44" s="11">
        <v>0.1007</v>
      </c>
      <c r="DE44" s="11">
        <v>0.12559999999999999</v>
      </c>
      <c r="DF44" s="11">
        <v>0.14929999999999999</v>
      </c>
      <c r="DG44" s="11">
        <v>0.1638</v>
      </c>
      <c r="DH44" s="11">
        <v>0.17730000000000001</v>
      </c>
      <c r="DI44" s="11">
        <v>0.1875</v>
      </c>
      <c r="DJ44" s="11">
        <v>0.1973</v>
      </c>
      <c r="DK44" s="11">
        <v>0.2051</v>
      </c>
      <c r="DL44" s="10">
        <f t="shared" si="86"/>
        <v>0.13165110941086458</v>
      </c>
      <c r="DN44" s="1">
        <v>97</v>
      </c>
      <c r="DO44" s="1">
        <v>2895</v>
      </c>
      <c r="DP44" s="1">
        <v>705</v>
      </c>
      <c r="DQ44" s="1">
        <v>974</v>
      </c>
      <c r="DR44" s="1">
        <v>437</v>
      </c>
      <c r="DS44" s="1">
        <v>1183</v>
      </c>
      <c r="DT44" s="1">
        <v>142</v>
      </c>
      <c r="DU44" s="1">
        <v>87</v>
      </c>
      <c r="DV44" s="1">
        <v>15</v>
      </c>
      <c r="DW44">
        <f t="shared" si="32"/>
        <v>6535</v>
      </c>
      <c r="DX44" s="19">
        <f t="shared" si="33"/>
        <v>376.41382172920407</v>
      </c>
      <c r="DY44">
        <f t="shared" si="66"/>
        <v>1.8988195833980585E-2</v>
      </c>
      <c r="DZ44">
        <f t="shared" si="34"/>
        <v>0.33839533075772993</v>
      </c>
      <c r="EA44">
        <f t="shared" si="35"/>
        <v>0.19083509313486885</v>
      </c>
      <c r="EB44">
        <f t="shared" si="36"/>
        <v>0.20242558061670449</v>
      </c>
      <c r="EC44">
        <f t="shared" si="37"/>
        <v>7.9343821993184599E-2</v>
      </c>
      <c r="ED44">
        <f t="shared" si="38"/>
        <v>0.15902564324027652</v>
      </c>
      <c r="EE44">
        <f t="shared" si="39"/>
        <v>6.7017544453675908E-3</v>
      </c>
      <c r="EF44">
        <f t="shared" si="40"/>
        <v>3.5806011780538044E-3</v>
      </c>
      <c r="EG44">
        <f t="shared" si="41"/>
        <v>7.039787998336023E-4</v>
      </c>
      <c r="EH44">
        <f t="shared" si="42"/>
        <v>1.4843152257077276E-2</v>
      </c>
      <c r="EI44">
        <f t="shared" si="43"/>
        <v>0.4429992348890589</v>
      </c>
      <c r="EJ44">
        <f t="shared" si="44"/>
        <v>0.10788064269319052</v>
      </c>
      <c r="EK44">
        <f t="shared" si="45"/>
        <v>0.14904361132364194</v>
      </c>
      <c r="EL44">
        <f t="shared" si="46"/>
        <v>6.6870696250956388E-2</v>
      </c>
      <c r="EM44">
        <f t="shared" si="47"/>
        <v>0.18102524866105585</v>
      </c>
      <c r="EN44">
        <f t="shared" si="48"/>
        <v>2.1729150726855394E-2</v>
      </c>
      <c r="EO44">
        <f t="shared" si="49"/>
        <v>1.3312930374904362E-2</v>
      </c>
      <c r="EP44">
        <f t="shared" si="50"/>
        <v>2.2953328232593728E-3</v>
      </c>
      <c r="EQ44">
        <f t="shared" si="51"/>
        <v>-1.6567845827021084</v>
      </c>
      <c r="ER44">
        <v>100</v>
      </c>
      <c r="ES44">
        <v>0.39650465110767252</v>
      </c>
    </row>
    <row r="45" spans="3:149" x14ac:dyDescent="0.3">
      <c r="C45">
        <f t="shared" si="13"/>
        <v>1.7139997863354591E-3</v>
      </c>
      <c r="D45">
        <v>43</v>
      </c>
      <c r="E45">
        <v>1993</v>
      </c>
      <c r="F45" s="2">
        <v>5.5779458198271525</v>
      </c>
      <c r="G45" s="3">
        <f t="shared" si="67"/>
        <v>264.52765982201544</v>
      </c>
      <c r="H45" s="4">
        <f t="shared" si="52"/>
        <v>183.61542992008509</v>
      </c>
      <c r="I45" s="4">
        <f t="shared" si="53"/>
        <v>235.41319797087453</v>
      </c>
      <c r="J45" s="4">
        <f t="shared" si="54"/>
        <v>53.96033100268869</v>
      </c>
      <c r="K45" s="4">
        <f t="shared" si="55"/>
        <v>38.959529165533084</v>
      </c>
      <c r="L45" s="4">
        <f t="shared" si="56"/>
        <v>12.818402148080462</v>
      </c>
      <c r="M45" s="4">
        <f t="shared" si="57"/>
        <v>20.339250689992049</v>
      </c>
      <c r="N45" s="4">
        <f t="shared" si="58"/>
        <v>0.62758847909431859</v>
      </c>
      <c r="O45" s="4">
        <f t="shared" si="59"/>
        <v>0.22120057376291657</v>
      </c>
      <c r="P45" s="22">
        <v>1.1252135380045774</v>
      </c>
      <c r="Q45" s="4"/>
      <c r="R45" s="5">
        <f t="shared" si="15"/>
        <v>49.360537469268223</v>
      </c>
      <c r="S45" s="4">
        <f t="shared" si="16"/>
        <v>-0.29042494462199775</v>
      </c>
      <c r="T45" s="5">
        <v>33.435421326418776</v>
      </c>
      <c r="U45" s="5">
        <f t="shared" si="72"/>
        <v>35.421743089926906</v>
      </c>
      <c r="V45" s="5">
        <v>36.918999999999997</v>
      </c>
      <c r="W45" s="4"/>
      <c r="X45" s="4">
        <f t="shared" si="17"/>
        <v>0.12085266506898204</v>
      </c>
      <c r="Y45" s="23">
        <v>1.748408010979305</v>
      </c>
      <c r="Z45" s="23">
        <v>12.483960003627935</v>
      </c>
      <c r="AA45" s="23">
        <v>18.423645162422115</v>
      </c>
      <c r="AB45" s="23">
        <v>3.1046497391221299</v>
      </c>
      <c r="AC45" s="23">
        <v>3.3987744512494902</v>
      </c>
      <c r="AD45" s="23">
        <v>1.8464495816884248</v>
      </c>
      <c r="AE45" s="23">
        <v>3.4559653674964763</v>
      </c>
      <c r="AF45" s="23">
        <v>0.41667667551375959</v>
      </c>
      <c r="AG45" s="23">
        <v>0.25327405766522643</v>
      </c>
      <c r="AH45" s="23">
        <f t="shared" si="18"/>
        <v>5.6120000000000001</v>
      </c>
      <c r="AI45" s="10">
        <v>2.923828797624938</v>
      </c>
      <c r="AJ45" s="4">
        <f t="shared" si="73"/>
        <v>2.923828797624938</v>
      </c>
      <c r="AK45" s="23">
        <f t="shared" si="74"/>
        <v>0.91091334506404675</v>
      </c>
      <c r="AL45" s="23">
        <f t="shared" si="75"/>
        <v>6.5040915479339416</v>
      </c>
      <c r="AM45" s="23">
        <f t="shared" si="76"/>
        <v>9.5986429585019888</v>
      </c>
      <c r="AN45" s="23">
        <f t="shared" si="77"/>
        <v>1.6175096781511111</v>
      </c>
      <c r="AO45" s="23">
        <f t="shared" si="78"/>
        <v>1.7707474371338479</v>
      </c>
      <c r="AP45" s="23">
        <f t="shared" si="79"/>
        <v>0.9619925980582924</v>
      </c>
      <c r="AQ45" s="23">
        <f t="shared" si="80"/>
        <v>1.8005436680471576</v>
      </c>
      <c r="AR45" s="23">
        <f t="shared" si="81"/>
        <v>0.21708682522554382</v>
      </c>
      <c r="AS45" s="23">
        <f t="shared" si="82"/>
        <v>0.13195473690180118</v>
      </c>
      <c r="AT45" s="23">
        <f t="shared" si="21"/>
        <v>49.360537469268223</v>
      </c>
      <c r="AU45" s="23">
        <f t="shared" si="83"/>
        <v>59.982808078160218</v>
      </c>
      <c r="AV45" s="4">
        <f t="shared" si="87"/>
        <v>0.37106368139083207</v>
      </c>
      <c r="AW45" s="4">
        <f t="shared" si="87"/>
        <v>0.37106368139083207</v>
      </c>
      <c r="AX45" s="4">
        <f t="shared" si="87"/>
        <v>0.37106368139083207</v>
      </c>
      <c r="AY45" s="4">
        <f t="shared" si="88"/>
        <v>0.49515641167153346</v>
      </c>
      <c r="AZ45" s="4">
        <f t="shared" si="88"/>
        <v>0.66074877255687903</v>
      </c>
      <c r="BA45" s="4">
        <f t="shared" si="88"/>
        <v>0.88171925101726745</v>
      </c>
      <c r="BB45" s="4">
        <f t="shared" si="88"/>
        <v>1.1765876380005351</v>
      </c>
      <c r="BC45" s="4">
        <f t="shared" si="88"/>
        <v>1.5700671934955486</v>
      </c>
      <c r="BD45" s="24">
        <f t="shared" si="24"/>
        <v>1.5700671934955486</v>
      </c>
      <c r="BE45" s="4">
        <f t="shared" si="25"/>
        <v>0.4785868644476744</v>
      </c>
      <c r="BF45" s="4">
        <f t="shared" si="84"/>
        <v>5.9234136164852506E-2</v>
      </c>
      <c r="BG45" s="4">
        <f t="shared" si="85"/>
        <v>4.8744446805742428E-2</v>
      </c>
      <c r="BH45" s="4">
        <f t="shared" si="28"/>
        <v>0.4674984097997209</v>
      </c>
      <c r="BI45" s="23"/>
      <c r="BJ45" s="23"/>
      <c r="BK45" s="23"/>
      <c r="BL45" s="23"/>
      <c r="BM45" s="23"/>
      <c r="BN45" s="23"/>
      <c r="BO45" s="23"/>
      <c r="BP45" s="23"/>
      <c r="BQ45" s="23"/>
      <c r="BR45" s="13">
        <v>11.502044789263177</v>
      </c>
      <c r="BS45" s="13">
        <v>82.126749710252966</v>
      </c>
      <c r="BT45" s="13">
        <v>121.20145327003955</v>
      </c>
      <c r="BU45" s="13">
        <v>20.424191681869193</v>
      </c>
      <c r="BV45" s="13">
        <v>22.359115104362065</v>
      </c>
      <c r="BW45" s="13">
        <v>12.147019263427469</v>
      </c>
      <c r="BX45" s="13">
        <v>22.735350214291234</v>
      </c>
      <c r="BY45" s="13">
        <v>2.7411415151982337</v>
      </c>
      <c r="BZ45" s="13">
        <v>1.6661840582577501</v>
      </c>
      <c r="CA45" s="4"/>
      <c r="CB45" s="4"/>
      <c r="CC45" s="4"/>
      <c r="CD45" s="4"/>
      <c r="CE45" s="4"/>
      <c r="CF45" s="4"/>
      <c r="CG45" s="4"/>
      <c r="CH45" s="4"/>
      <c r="CI45" s="4"/>
      <c r="CJ45" s="23"/>
      <c r="CK45" s="23"/>
      <c r="CL45" s="23"/>
      <c r="CM45" s="23"/>
      <c r="CN45" s="23"/>
      <c r="CO45" s="23"/>
      <c r="CP45" s="23"/>
      <c r="CQ45" s="23"/>
      <c r="CR45" s="23"/>
      <c r="CS45" s="31">
        <f t="shared" si="29"/>
        <v>1993</v>
      </c>
      <c r="CT45" s="1">
        <v>2.6197453885975358E-2</v>
      </c>
      <c r="CU45" s="1">
        <v>0.34768661313711668</v>
      </c>
      <c r="CV45" s="1">
        <v>0.8</v>
      </c>
      <c r="CW45" s="1">
        <v>1</v>
      </c>
      <c r="CX45">
        <f t="shared" si="61"/>
        <v>1</v>
      </c>
      <c r="CY45">
        <f t="shared" si="62"/>
        <v>1</v>
      </c>
      <c r="CZ45">
        <f t="shared" si="63"/>
        <v>1</v>
      </c>
      <c r="DA45">
        <f t="shared" si="64"/>
        <v>1</v>
      </c>
      <c r="DB45">
        <f t="shared" si="65"/>
        <v>1</v>
      </c>
      <c r="DC45" s="11">
        <v>6.8500000000000005E-2</v>
      </c>
      <c r="DD45" s="11">
        <v>9.7299999999999998E-2</v>
      </c>
      <c r="DE45" s="11">
        <v>0.1217</v>
      </c>
      <c r="DF45" s="11">
        <v>0.1406</v>
      </c>
      <c r="DG45" s="11">
        <v>0.1593</v>
      </c>
      <c r="DH45" s="11">
        <v>0.1694</v>
      </c>
      <c r="DI45" s="11">
        <v>0.1784</v>
      </c>
      <c r="DJ45" s="11">
        <v>0.18729999999999999</v>
      </c>
      <c r="DK45" s="11">
        <v>0.19769999999999999</v>
      </c>
      <c r="DL45" s="10">
        <f t="shared" si="86"/>
        <v>0.12434690441708907</v>
      </c>
      <c r="DN45" s="1">
        <v>214</v>
      </c>
      <c r="DO45" s="1">
        <v>1528</v>
      </c>
      <c r="DP45" s="1">
        <v>2255</v>
      </c>
      <c r="DQ45" s="1">
        <v>380</v>
      </c>
      <c r="DR45" s="1">
        <v>416</v>
      </c>
      <c r="DS45" s="1">
        <v>226</v>
      </c>
      <c r="DT45" s="1">
        <v>423</v>
      </c>
      <c r="DU45" s="1">
        <v>51</v>
      </c>
      <c r="DV45" s="1">
        <v>31</v>
      </c>
      <c r="DW45">
        <f t="shared" si="32"/>
        <v>5524</v>
      </c>
      <c r="DX45" s="19">
        <f t="shared" si="33"/>
        <v>386.02743855423336</v>
      </c>
      <c r="DY45">
        <f t="shared" si="66"/>
        <v>1.7951965268859071E-2</v>
      </c>
      <c r="DZ45">
        <f t="shared" si="34"/>
        <v>0.16537846943659926</v>
      </c>
      <c r="EA45">
        <f t="shared" si="35"/>
        <v>0.48786832117956014</v>
      </c>
      <c r="EB45">
        <f t="shared" si="36"/>
        <v>0.13978366720454705</v>
      </c>
      <c r="EC45">
        <f t="shared" si="37"/>
        <v>0.10092424857529816</v>
      </c>
      <c r="ED45">
        <f t="shared" si="38"/>
        <v>3.3205935298507523E-2</v>
      </c>
      <c r="EE45">
        <f t="shared" si="39"/>
        <v>5.2688613965285708E-2</v>
      </c>
      <c r="EF45">
        <f t="shared" si="40"/>
        <v>1.6257613226790045E-3</v>
      </c>
      <c r="EG45">
        <f t="shared" si="41"/>
        <v>5.7301774866410152E-4</v>
      </c>
      <c r="EH45">
        <f t="shared" si="42"/>
        <v>3.87400434467777E-2</v>
      </c>
      <c r="EI45">
        <f t="shared" si="43"/>
        <v>0.27661115133960895</v>
      </c>
      <c r="EJ45">
        <f t="shared" si="44"/>
        <v>0.40821868211440987</v>
      </c>
      <c r="EK45">
        <f t="shared" si="45"/>
        <v>6.8790731354091236E-2</v>
      </c>
      <c r="EL45">
        <f t="shared" si="46"/>
        <v>7.5307748008689362E-2</v>
      </c>
      <c r="EM45">
        <f t="shared" si="47"/>
        <v>4.0912382331643737E-2</v>
      </c>
      <c r="EN45">
        <f t="shared" si="48"/>
        <v>7.6574945691527882E-2</v>
      </c>
      <c r="EO45">
        <f t="shared" si="49"/>
        <v>9.232440260680666E-3</v>
      </c>
      <c r="EP45">
        <f t="shared" si="50"/>
        <v>5.6118754525706013E-3</v>
      </c>
      <c r="EQ45">
        <f t="shared" si="51"/>
        <v>-1.7181152372153397</v>
      </c>
      <c r="ER45">
        <v>100</v>
      </c>
      <c r="ES45">
        <v>0.38525967359540403</v>
      </c>
    </row>
    <row r="46" spans="3:149" x14ac:dyDescent="0.3">
      <c r="C46">
        <f t="shared" si="13"/>
        <v>3.7464568172166861E-2</v>
      </c>
      <c r="D46">
        <v>44</v>
      </c>
      <c r="E46">
        <v>1994</v>
      </c>
      <c r="F46" s="2">
        <v>5.1202669792736009</v>
      </c>
      <c r="G46" s="3">
        <f t="shared" si="67"/>
        <v>167.38005066072361</v>
      </c>
      <c r="H46" s="4">
        <f t="shared" si="52"/>
        <v>173.41644504749175</v>
      </c>
      <c r="I46" s="4">
        <f t="shared" si="53"/>
        <v>113.47476839074285</v>
      </c>
      <c r="J46" s="4">
        <f t="shared" si="54"/>
        <v>133.43156693876605</v>
      </c>
      <c r="K46" s="4">
        <f t="shared" si="55"/>
        <v>25.565114369702542</v>
      </c>
      <c r="L46" s="4">
        <f t="shared" si="56"/>
        <v>15.320260437889488</v>
      </c>
      <c r="M46" s="4">
        <f t="shared" si="57"/>
        <v>3.9310069043719102</v>
      </c>
      <c r="N46" s="4">
        <f t="shared" si="58"/>
        <v>4.4762088363894321</v>
      </c>
      <c r="O46" s="4">
        <f t="shared" si="59"/>
        <v>8.870888349228509E-2</v>
      </c>
      <c r="P46" s="22">
        <v>0.81191312816902639</v>
      </c>
      <c r="Q46" s="4"/>
      <c r="R46" s="5">
        <f t="shared" si="15"/>
        <v>42.69874963322281</v>
      </c>
      <c r="S46" s="4">
        <f t="shared" si="16"/>
        <v>-0.52538308623480667</v>
      </c>
      <c r="T46" s="5">
        <v>29.804307874343003</v>
      </c>
      <c r="U46" s="5">
        <f t="shared" si="72"/>
        <v>30.641160273240267</v>
      </c>
      <c r="V46" s="5">
        <v>25.248999999999999</v>
      </c>
      <c r="W46" s="4"/>
      <c r="X46" s="4">
        <f t="shared" si="17"/>
        <v>0.15101894523761675</v>
      </c>
      <c r="Y46" s="23">
        <v>1.3090031074605706</v>
      </c>
      <c r="Z46" s="23">
        <v>9.9856193334150642</v>
      </c>
      <c r="AA46" s="23">
        <v>11.788180989590275</v>
      </c>
      <c r="AB46" s="23">
        <v>15.750955424197686</v>
      </c>
      <c r="AC46" s="23">
        <v>3.7481837612532187</v>
      </c>
      <c r="AD46" s="23">
        <v>2.2746611375544341</v>
      </c>
      <c r="AE46" s="23">
        <v>2.3891094966766699</v>
      </c>
      <c r="AF46" s="23">
        <v>0.70099619962369364</v>
      </c>
      <c r="AG46" s="23">
        <v>0.10729533667709595</v>
      </c>
      <c r="AH46" s="23">
        <f t="shared" si="18"/>
        <v>6.0390000000000015</v>
      </c>
      <c r="AI46" s="10">
        <v>2.7103892953983175</v>
      </c>
      <c r="AJ46" s="4">
        <f t="shared" si="73"/>
        <v>2.7103892953983175</v>
      </c>
      <c r="AK46" s="23">
        <f t="shared" si="74"/>
        <v>0.58749925651668566</v>
      </c>
      <c r="AL46" s="23">
        <f t="shared" si="75"/>
        <v>4.4816883174715478</v>
      </c>
      <c r="AM46" s="23">
        <f t="shared" si="76"/>
        <v>5.2907036871010815</v>
      </c>
      <c r="AN46" s="23">
        <f t="shared" si="77"/>
        <v>7.0692533489056926</v>
      </c>
      <c r="AO46" s="23">
        <f t="shared" si="78"/>
        <v>1.6822383082772856</v>
      </c>
      <c r="AP46" s="23">
        <f t="shared" si="79"/>
        <v>1.0209003473896505</v>
      </c>
      <c r="AQ46" s="23">
        <f t="shared" si="80"/>
        <v>1.0722664026042241</v>
      </c>
      <c r="AR46" s="23">
        <f t="shared" si="81"/>
        <v>0.31461708818926332</v>
      </c>
      <c r="AS46" s="23">
        <f t="shared" si="82"/>
        <v>4.8155676763662759E-2</v>
      </c>
      <c r="AT46" s="23">
        <f t="shared" si="21"/>
        <v>42.69874963322281</v>
      </c>
      <c r="AU46" s="23">
        <f t="shared" si="83"/>
        <v>43.934112062922779</v>
      </c>
      <c r="AV46" s="4">
        <f t="shared" si="87"/>
        <v>0.37106368139083207</v>
      </c>
      <c r="AW46" s="4">
        <f t="shared" si="87"/>
        <v>0.37106368139083207</v>
      </c>
      <c r="AX46" s="4">
        <f t="shared" si="87"/>
        <v>0.37106368139083207</v>
      </c>
      <c r="AY46" s="4">
        <f t="shared" si="88"/>
        <v>0.49515641167153346</v>
      </c>
      <c r="AZ46" s="4">
        <f t="shared" si="88"/>
        <v>0.66074877255687903</v>
      </c>
      <c r="BA46" s="4">
        <f t="shared" si="88"/>
        <v>0.88171925101726745</v>
      </c>
      <c r="BB46" s="4">
        <f t="shared" si="88"/>
        <v>1.1765876380005351</v>
      </c>
      <c r="BC46" s="4">
        <f t="shared" si="88"/>
        <v>1.5700671934955486</v>
      </c>
      <c r="BD46" s="24">
        <f t="shared" si="24"/>
        <v>1.5700671934955486</v>
      </c>
      <c r="BE46" s="4">
        <f t="shared" si="25"/>
        <v>0.36685269130617609</v>
      </c>
      <c r="BF46" s="4">
        <f t="shared" si="84"/>
        <v>6.3477017914581574E-2</v>
      </c>
      <c r="BG46" s="4">
        <f t="shared" si="85"/>
        <v>6.1692137797538203E-2</v>
      </c>
      <c r="BH46" s="4">
        <f t="shared" si="28"/>
        <v>0.36494864683014111</v>
      </c>
      <c r="BI46" s="23"/>
      <c r="BJ46" s="23"/>
      <c r="BK46" s="23"/>
      <c r="BL46" s="23"/>
      <c r="BM46" s="23"/>
      <c r="BN46" s="23"/>
      <c r="BO46" s="23"/>
      <c r="BP46" s="23"/>
      <c r="BQ46" s="23"/>
      <c r="BR46" s="13">
        <v>5.4729292035555472</v>
      </c>
      <c r="BS46" s="13">
        <v>41.749776875210621</v>
      </c>
      <c r="BT46" s="13">
        <v>49.28626954895924</v>
      </c>
      <c r="BU46" s="13">
        <v>65.854590744422481</v>
      </c>
      <c r="BV46" s="13">
        <v>15.671119686683642</v>
      </c>
      <c r="BW46" s="13">
        <v>9.5103359930637374</v>
      </c>
      <c r="BX46" s="13">
        <v>9.9888434644128541</v>
      </c>
      <c r="BY46" s="13">
        <v>2.930858262013353</v>
      </c>
      <c r="BZ46" s="13">
        <v>0.44860075438979891</v>
      </c>
      <c r="CA46" s="4"/>
      <c r="CB46" s="4"/>
      <c r="CC46" s="4"/>
      <c r="CD46" s="4"/>
      <c r="CE46" s="4"/>
      <c r="CF46" s="4"/>
      <c r="CG46" s="4"/>
      <c r="CH46" s="4"/>
      <c r="CI46" s="4"/>
      <c r="CJ46" s="23"/>
      <c r="CK46" s="23"/>
      <c r="CL46" s="23"/>
      <c r="CM46" s="23"/>
      <c r="CN46" s="23"/>
      <c r="CO46" s="23"/>
      <c r="CP46" s="23"/>
      <c r="CQ46" s="23"/>
      <c r="CR46" s="23"/>
      <c r="CS46" s="31">
        <f t="shared" si="29"/>
        <v>1994</v>
      </c>
      <c r="CT46" s="1">
        <v>2.6197453885975358E-2</v>
      </c>
      <c r="CU46" s="1">
        <v>0.34768661313711668</v>
      </c>
      <c r="CV46" s="1">
        <v>0.8</v>
      </c>
      <c r="CW46" s="1">
        <v>1</v>
      </c>
      <c r="CX46">
        <f t="shared" si="61"/>
        <v>1</v>
      </c>
      <c r="CY46">
        <f t="shared" si="62"/>
        <v>1</v>
      </c>
      <c r="CZ46">
        <f t="shared" si="63"/>
        <v>1</v>
      </c>
      <c r="DA46">
        <f t="shared" si="64"/>
        <v>1</v>
      </c>
      <c r="DB46">
        <f t="shared" si="65"/>
        <v>1</v>
      </c>
      <c r="DC46" s="11">
        <v>6.4799999999999996E-2</v>
      </c>
      <c r="DD46" s="11">
        <v>9.4700000000000006E-2</v>
      </c>
      <c r="DE46" s="11">
        <v>0.11940000000000001</v>
      </c>
      <c r="DF46" s="11">
        <v>0.13589999999999999</v>
      </c>
      <c r="DG46" s="11">
        <v>0.14979999999999999</v>
      </c>
      <c r="DH46" s="11">
        <v>0.1605</v>
      </c>
      <c r="DI46" s="11">
        <v>0.16420000000000001</v>
      </c>
      <c r="DJ46" s="11">
        <v>0.17480000000000001</v>
      </c>
      <c r="DK46" s="11">
        <v>0.1779</v>
      </c>
      <c r="DL46" s="10">
        <f t="shared" si="86"/>
        <v>0.12567110747246202</v>
      </c>
      <c r="DN46" s="1">
        <v>183</v>
      </c>
      <c r="DO46" s="1">
        <v>1396</v>
      </c>
      <c r="DP46" s="1">
        <v>1648</v>
      </c>
      <c r="DQ46" s="1">
        <v>2202</v>
      </c>
      <c r="DR46" s="1">
        <v>524</v>
      </c>
      <c r="DS46" s="1">
        <v>318</v>
      </c>
      <c r="DT46" s="1">
        <v>334</v>
      </c>
      <c r="DU46" s="1">
        <v>98</v>
      </c>
      <c r="DV46" s="1">
        <v>15</v>
      </c>
      <c r="DW46">
        <f t="shared" si="32"/>
        <v>6718</v>
      </c>
      <c r="DX46" s="19">
        <f t="shared" si="33"/>
        <v>338.27218868266385</v>
      </c>
      <c r="DY46">
        <f t="shared" si="66"/>
        <v>1.2962730325814839E-2</v>
      </c>
      <c r="DZ46">
        <f t="shared" si="34"/>
        <v>0.17824278335043439</v>
      </c>
      <c r="EA46">
        <f t="shared" si="35"/>
        <v>0.26836322272344904</v>
      </c>
      <c r="EB46">
        <f t="shared" si="36"/>
        <v>0.39445030186604962</v>
      </c>
      <c r="EC46">
        <f t="shared" si="37"/>
        <v>7.5575572645392386E-2</v>
      </c>
      <c r="ED46">
        <f t="shared" si="38"/>
        <v>4.5289742847472336E-2</v>
      </c>
      <c r="EE46">
        <f t="shared" si="39"/>
        <v>1.1620839773084694E-2</v>
      </c>
      <c r="EF46">
        <f t="shared" si="40"/>
        <v>1.3232565330957798E-2</v>
      </c>
      <c r="EG46">
        <f t="shared" si="41"/>
        <v>2.6224113734488435E-4</v>
      </c>
      <c r="EH46">
        <f t="shared" si="42"/>
        <v>2.7240250074426913E-2</v>
      </c>
      <c r="EI46">
        <f t="shared" si="43"/>
        <v>0.20779994045846978</v>
      </c>
      <c r="EJ46">
        <f t="shared" si="44"/>
        <v>0.24531110449538554</v>
      </c>
      <c r="EK46">
        <f t="shared" si="45"/>
        <v>0.32777612384638283</v>
      </c>
      <c r="EL46">
        <f t="shared" si="46"/>
        <v>7.7999404584697826E-2</v>
      </c>
      <c r="EM46">
        <f t="shared" si="47"/>
        <v>4.7335516522774637E-2</v>
      </c>
      <c r="EN46">
        <f t="shared" si="48"/>
        <v>4.97171777314677E-2</v>
      </c>
      <c r="EO46">
        <f t="shared" si="49"/>
        <v>1.4587674903245014E-2</v>
      </c>
      <c r="EP46">
        <f t="shared" si="50"/>
        <v>2.232807383149747E-3</v>
      </c>
      <c r="EQ46">
        <f t="shared" si="51"/>
        <v>-1.7533131131484547</v>
      </c>
      <c r="ER46">
        <v>100</v>
      </c>
      <c r="ES46">
        <v>0.37268655288603875</v>
      </c>
    </row>
    <row r="47" spans="3:149" x14ac:dyDescent="0.3">
      <c r="C47">
        <f t="shared" si="13"/>
        <v>7.6186706922226153E-3</v>
      </c>
      <c r="D47">
        <v>45</v>
      </c>
      <c r="E47">
        <v>1995</v>
      </c>
      <c r="F47" s="2">
        <v>5.4363659014466696</v>
      </c>
      <c r="G47" s="3">
        <f t="shared" si="67"/>
        <v>229.60625370065455</v>
      </c>
      <c r="H47" s="4">
        <f t="shared" si="52"/>
        <v>123.14555451022525</v>
      </c>
      <c r="I47" s="4">
        <f t="shared" si="53"/>
        <v>118.88672108940207</v>
      </c>
      <c r="J47" s="4">
        <f t="shared" si="54"/>
        <v>70.065641149022682</v>
      </c>
      <c r="K47" s="4">
        <f t="shared" si="55"/>
        <v>70.970558596882512</v>
      </c>
      <c r="L47" s="4">
        <f t="shared" si="56"/>
        <v>11.887155823666633</v>
      </c>
      <c r="M47" s="4">
        <f t="shared" si="57"/>
        <v>5.9536061052661866</v>
      </c>
      <c r="N47" s="4">
        <f t="shared" si="58"/>
        <v>1.2023873375354499</v>
      </c>
      <c r="O47" s="4">
        <f t="shared" si="59"/>
        <v>0.99473257687535332</v>
      </c>
      <c r="P47" s="22">
        <v>0.68491721261708782</v>
      </c>
      <c r="Q47" s="4"/>
      <c r="R47" s="5">
        <f t="shared" si="15"/>
        <v>41.25106072113774</v>
      </c>
      <c r="S47" s="4">
        <f t="shared" si="16"/>
        <v>-0.41911042207856558</v>
      </c>
      <c r="T47" s="5">
        <v>28.847041939760807</v>
      </c>
      <c r="U47" s="5">
        <f t="shared" si="72"/>
        <v>29.602280484908547</v>
      </c>
      <c r="V47" s="5">
        <v>27.128</v>
      </c>
      <c r="W47" s="4"/>
      <c r="X47" s="4">
        <f t="shared" si="17"/>
        <v>5.0903754382614574E-2</v>
      </c>
      <c r="Y47" s="23">
        <v>0.11169443928003171</v>
      </c>
      <c r="Z47" s="23">
        <v>1.8038651943725121</v>
      </c>
      <c r="AA47" s="23">
        <v>3.3508331784009515</v>
      </c>
      <c r="AB47" s="23">
        <v>2.8565852845868114</v>
      </c>
      <c r="AC47" s="23">
        <v>3.5658449740150129</v>
      </c>
      <c r="AD47" s="23">
        <v>0.93264856798826479</v>
      </c>
      <c r="AE47" s="23">
        <v>0.61431941604017448</v>
      </c>
      <c r="AF47" s="23">
        <v>0.43281595221012292</v>
      </c>
      <c r="AG47" s="23">
        <v>9.7732634370027757E-2</v>
      </c>
      <c r="AH47" s="23">
        <f t="shared" si="18"/>
        <v>1.9509999999999998</v>
      </c>
      <c r="AI47" s="10">
        <v>2.923828797624938</v>
      </c>
      <c r="AJ47" s="4">
        <f t="shared" si="73"/>
        <v>2.923828797624938</v>
      </c>
      <c r="AK47" s="23">
        <f t="shared" si="74"/>
        <v>0.16738873300949605</v>
      </c>
      <c r="AL47" s="23">
        <f t="shared" si="75"/>
        <v>2.7033280381033613</v>
      </c>
      <c r="AM47" s="23">
        <f t="shared" si="76"/>
        <v>5.0216619902848816</v>
      </c>
      <c r="AN47" s="23">
        <f t="shared" si="77"/>
        <v>4.2809668467178614</v>
      </c>
      <c r="AO47" s="23">
        <f t="shared" si="78"/>
        <v>5.3438853013281618</v>
      </c>
      <c r="AP47" s="23">
        <f t="shared" si="79"/>
        <v>1.397695920629292</v>
      </c>
      <c r="AQ47" s="23">
        <f t="shared" si="80"/>
        <v>0.92063803155222823</v>
      </c>
      <c r="AR47" s="23">
        <f t="shared" si="81"/>
        <v>0.64863134041179726</v>
      </c>
      <c r="AS47" s="23">
        <f t="shared" si="82"/>
        <v>0.14646514138330904</v>
      </c>
      <c r="AT47" s="23">
        <f t="shared" si="21"/>
        <v>41.25106072113774</v>
      </c>
      <c r="AU47" s="23">
        <f t="shared" si="83"/>
        <v>42.677956019986354</v>
      </c>
      <c r="AV47" s="4">
        <f t="shared" si="87"/>
        <v>0.37106368139083207</v>
      </c>
      <c r="AW47" s="4">
        <f t="shared" si="87"/>
        <v>0.37106368139083207</v>
      </c>
      <c r="AX47" s="4">
        <f t="shared" si="87"/>
        <v>0.37106368139083207</v>
      </c>
      <c r="AY47" s="4">
        <f t="shared" si="88"/>
        <v>0.49515641167153346</v>
      </c>
      <c r="AZ47" s="4">
        <f t="shared" si="88"/>
        <v>0.66074877255687903</v>
      </c>
      <c r="BA47" s="4">
        <f t="shared" si="88"/>
        <v>0.88171925101726745</v>
      </c>
      <c r="BB47" s="4">
        <f t="shared" si="88"/>
        <v>1.1765876380005351</v>
      </c>
      <c r="BC47" s="4">
        <f t="shared" si="88"/>
        <v>1.5700671934955486</v>
      </c>
      <c r="BD47" s="24">
        <f t="shared" si="24"/>
        <v>1.5700671934955486</v>
      </c>
      <c r="BE47" s="4">
        <f t="shared" si="25"/>
        <v>0.32766406944956128</v>
      </c>
      <c r="BF47" s="4">
        <f t="shared" si="84"/>
        <v>7.0878875512811204E-2</v>
      </c>
      <c r="BG47" s="4">
        <f t="shared" si="85"/>
        <v>6.850911032983141E-2</v>
      </c>
      <c r="BH47" s="4">
        <f t="shared" si="28"/>
        <v>0.32511677162890373</v>
      </c>
      <c r="BI47" s="23"/>
      <c r="BJ47" s="23"/>
      <c r="BK47" s="23"/>
      <c r="BL47" s="23"/>
      <c r="BM47" s="23"/>
      <c r="BN47" s="23"/>
      <c r="BO47" s="23"/>
      <c r="BP47" s="23"/>
      <c r="BQ47" s="23"/>
      <c r="BR47" s="13">
        <v>1.5530736795431577</v>
      </c>
      <c r="BS47" s="13">
        <v>25.082139924621995</v>
      </c>
      <c r="BT47" s="13">
        <v>46.592210386294731</v>
      </c>
      <c r="BU47" s="13">
        <v>39.719859354316263</v>
      </c>
      <c r="BV47" s="13">
        <v>49.581877219415311</v>
      </c>
      <c r="BW47" s="13">
        <v>12.968165224185366</v>
      </c>
      <c r="BX47" s="13">
        <v>8.5419052374873683</v>
      </c>
      <c r="BY47" s="13">
        <v>6.0181605082297356</v>
      </c>
      <c r="BZ47" s="13">
        <v>1.358939469600263</v>
      </c>
      <c r="CA47" s="4"/>
      <c r="CB47" s="4"/>
      <c r="CC47" s="4"/>
      <c r="CD47" s="4"/>
      <c r="CE47" s="4"/>
      <c r="CF47" s="4"/>
      <c r="CG47" s="4"/>
      <c r="CH47" s="4"/>
      <c r="CI47" s="4"/>
      <c r="CJ47" s="23"/>
      <c r="CK47" s="23"/>
      <c r="CL47" s="23"/>
      <c r="CM47" s="23"/>
      <c r="CN47" s="23"/>
      <c r="CO47" s="23"/>
      <c r="CP47" s="23"/>
      <c r="CQ47" s="23"/>
      <c r="CR47" s="23"/>
      <c r="CS47" s="31">
        <f t="shared" si="29"/>
        <v>1995</v>
      </c>
      <c r="CT47" s="1">
        <v>2.6197453885975358E-2</v>
      </c>
      <c r="CU47" s="1">
        <v>0.34768661313711668</v>
      </c>
      <c r="CV47" s="1">
        <v>0.8</v>
      </c>
      <c r="CW47" s="1">
        <v>1</v>
      </c>
      <c r="CX47">
        <f t="shared" si="61"/>
        <v>1</v>
      </c>
      <c r="CY47">
        <f t="shared" si="62"/>
        <v>1</v>
      </c>
      <c r="CZ47">
        <f t="shared" si="63"/>
        <v>1</v>
      </c>
      <c r="DA47">
        <f t="shared" si="64"/>
        <v>1</v>
      </c>
      <c r="DB47">
        <f t="shared" si="65"/>
        <v>1</v>
      </c>
      <c r="DC47" s="11">
        <v>6.9900000000000004E-2</v>
      </c>
      <c r="DD47" s="11">
        <v>9.7900000000000001E-2</v>
      </c>
      <c r="DE47" s="11">
        <v>0.1221</v>
      </c>
      <c r="DF47" s="11">
        <v>0.14380000000000001</v>
      </c>
      <c r="DG47" s="11">
        <v>0.16020000000000001</v>
      </c>
      <c r="DH47" s="11">
        <v>0.17530000000000001</v>
      </c>
      <c r="DI47" s="11">
        <v>0.1822</v>
      </c>
      <c r="DJ47" s="11">
        <v>0.189</v>
      </c>
      <c r="DK47" s="11">
        <v>0.18629999999999999</v>
      </c>
      <c r="DL47" s="10">
        <f t="shared" si="86"/>
        <v>0.1417224949290061</v>
      </c>
      <c r="DN47" s="1">
        <v>40</v>
      </c>
      <c r="DO47" s="1">
        <v>646</v>
      </c>
      <c r="DP47" s="1">
        <v>1200</v>
      </c>
      <c r="DQ47" s="1">
        <v>1023</v>
      </c>
      <c r="DR47" s="1">
        <v>1277</v>
      </c>
      <c r="DS47" s="1">
        <v>334</v>
      </c>
      <c r="DT47" s="1">
        <v>220</v>
      </c>
      <c r="DU47" s="1">
        <v>155</v>
      </c>
      <c r="DV47" s="1">
        <v>35</v>
      </c>
      <c r="DW47">
        <f t="shared" si="32"/>
        <v>4930</v>
      </c>
      <c r="DX47" s="19">
        <f t="shared" si="33"/>
        <v>305.01461847457745</v>
      </c>
      <c r="DY47">
        <f t="shared" si="66"/>
        <v>1.9720691661720493E-2</v>
      </c>
      <c r="DZ47">
        <f t="shared" si="34"/>
        <v>0.14037379908111211</v>
      </c>
      <c r="EA47">
        <f t="shared" si="35"/>
        <v>0.31181907722055263</v>
      </c>
      <c r="EB47">
        <f t="shared" si="36"/>
        <v>0.229712403619968</v>
      </c>
      <c r="EC47">
        <f t="shared" si="37"/>
        <v>0.2326792038749376</v>
      </c>
      <c r="ED47">
        <f t="shared" si="38"/>
        <v>3.8972413463708826E-2</v>
      </c>
      <c r="EE47">
        <f t="shared" si="39"/>
        <v>1.9519084478773634E-2</v>
      </c>
      <c r="EF47">
        <f t="shared" si="40"/>
        <v>3.9420646247998346E-3</v>
      </c>
      <c r="EG47">
        <f t="shared" si="41"/>
        <v>3.261261974426524E-3</v>
      </c>
      <c r="EH47">
        <f t="shared" si="42"/>
        <v>8.1135902636916835E-3</v>
      </c>
      <c r="EI47">
        <f t="shared" si="43"/>
        <v>0.1310344827586207</v>
      </c>
      <c r="EJ47">
        <f t="shared" si="44"/>
        <v>0.2434077079107505</v>
      </c>
      <c r="EK47">
        <f t="shared" si="45"/>
        <v>0.2075050709939148</v>
      </c>
      <c r="EL47">
        <f t="shared" si="46"/>
        <v>0.25902636916835697</v>
      </c>
      <c r="EM47">
        <f t="shared" si="47"/>
        <v>6.7748478701825557E-2</v>
      </c>
      <c r="EN47">
        <f t="shared" si="48"/>
        <v>4.4624746450304259E-2</v>
      </c>
      <c r="EO47">
        <f t="shared" si="49"/>
        <v>3.1440162271805273E-2</v>
      </c>
      <c r="EP47">
        <f t="shared" si="50"/>
        <v>7.099391480730223E-3</v>
      </c>
      <c r="EQ47">
        <f t="shared" si="51"/>
        <v>-1.8640759780353016</v>
      </c>
      <c r="ER47">
        <v>100</v>
      </c>
      <c r="ES47">
        <v>0.32078971628276531</v>
      </c>
    </row>
    <row r="48" spans="3:149" x14ac:dyDescent="0.3">
      <c r="C48">
        <f t="shared" si="13"/>
        <v>1.2488710371045505E-2</v>
      </c>
      <c r="D48">
        <v>46</v>
      </c>
      <c r="E48">
        <v>1996</v>
      </c>
      <c r="F48" s="2">
        <v>6.6709599850694667</v>
      </c>
      <c r="G48" s="3">
        <f t="shared" si="67"/>
        <v>789.15281586942024</v>
      </c>
      <c r="H48" s="4">
        <f t="shared" si="52"/>
        <v>177.50965258741877</v>
      </c>
      <c r="I48" s="4">
        <f t="shared" si="53"/>
        <v>91.50647216092824</v>
      </c>
      <c r="J48" s="4">
        <f t="shared" si="54"/>
        <v>83.435477345297926</v>
      </c>
      <c r="K48" s="4">
        <f t="shared" si="55"/>
        <v>44.014985232082552</v>
      </c>
      <c r="L48" s="4">
        <f t="shared" si="56"/>
        <v>39.803135125394768</v>
      </c>
      <c r="M48" s="4">
        <f t="shared" si="57"/>
        <v>5.7304413275214774</v>
      </c>
      <c r="N48" s="4">
        <f t="shared" si="58"/>
        <v>2.3452001357560341</v>
      </c>
      <c r="O48" s="4">
        <f t="shared" si="59"/>
        <v>0.36174408956651438</v>
      </c>
      <c r="P48" s="22">
        <v>0.87230741642768617</v>
      </c>
      <c r="Q48" s="4"/>
      <c r="R48" s="5">
        <f t="shared" si="15"/>
        <v>41.274300762350492</v>
      </c>
      <c r="S48" s="4">
        <f t="shared" si="16"/>
        <v>-0.22007252641622074</v>
      </c>
      <c r="T48" s="5">
        <v>27.102339761688199</v>
      </c>
      <c r="U48" s="5">
        <f t="shared" si="72"/>
        <v>29.618957831052722</v>
      </c>
      <c r="V48" s="5">
        <v>33.121000000000002</v>
      </c>
      <c r="W48" s="4"/>
      <c r="X48" s="4">
        <f t="shared" si="17"/>
        <v>2.0784017774358721E-2</v>
      </c>
      <c r="Y48" s="23">
        <v>1.0234368234160895</v>
      </c>
      <c r="Z48" s="23">
        <v>1.4019807465156235</v>
      </c>
      <c r="AA48" s="23">
        <v>0.82732370662958399</v>
      </c>
      <c r="AB48" s="23">
        <v>1.2879614925699809</v>
      </c>
      <c r="AC48" s="23">
        <v>0.84647894129245205</v>
      </c>
      <c r="AD48" s="23">
        <v>0.87110710014471093</v>
      </c>
      <c r="AE48" s="23">
        <v>0.18516726840772388</v>
      </c>
      <c r="AF48" s="23">
        <v>7.6620938651471945E-2</v>
      </c>
      <c r="AG48" s="23">
        <v>5.4729241893908528E-2</v>
      </c>
      <c r="AH48" s="23">
        <f t="shared" si="18"/>
        <v>0.79100000000000004</v>
      </c>
      <c r="AI48" s="10">
        <v>3.2162116773874319</v>
      </c>
      <c r="AJ48" s="4">
        <f t="shared" si="73"/>
        <v>3.2162116773874319</v>
      </c>
      <c r="AK48" s="23">
        <f t="shared" si="74"/>
        <v>4.1613014697081239</v>
      </c>
      <c r="AL48" s="23">
        <f t="shared" si="75"/>
        <v>5.7004637780226268</v>
      </c>
      <c r="AM48" s="23">
        <f t="shared" si="76"/>
        <v>3.3639041292560323</v>
      </c>
      <c r="AN48" s="23">
        <f t="shared" si="77"/>
        <v>5.2368606731086196</v>
      </c>
      <c r="AO48" s="23">
        <f t="shared" si="78"/>
        <v>3.4417894508815858</v>
      </c>
      <c r="AP48" s="23">
        <f t="shared" si="79"/>
        <v>3.5419277215430114</v>
      </c>
      <c r="AQ48" s="23">
        <f t="shared" si="80"/>
        <v>0.75289144238034689</v>
      </c>
      <c r="AR48" s="23">
        <f t="shared" si="81"/>
        <v>0.31154128650221247</v>
      </c>
      <c r="AS48" s="23">
        <f t="shared" si="82"/>
        <v>0.22252949035872321</v>
      </c>
      <c r="AT48" s="23">
        <f t="shared" si="21"/>
        <v>41.274300762350492</v>
      </c>
      <c r="AU48" s="23">
        <f t="shared" si="83"/>
        <v>50.161641666027684</v>
      </c>
      <c r="AV48" s="4">
        <f t="shared" si="87"/>
        <v>0.37106368139083207</v>
      </c>
      <c r="AW48" s="4">
        <f t="shared" si="87"/>
        <v>0.37106368139083207</v>
      </c>
      <c r="AX48" s="4">
        <f t="shared" si="87"/>
        <v>0.37106368139083207</v>
      </c>
      <c r="AY48" s="4">
        <f t="shared" si="88"/>
        <v>0.49515641167153346</v>
      </c>
      <c r="AZ48" s="4">
        <f t="shared" si="88"/>
        <v>0.66074877255687903</v>
      </c>
      <c r="BA48" s="4">
        <f t="shared" si="88"/>
        <v>0.88171925101726745</v>
      </c>
      <c r="BB48" s="4">
        <f t="shared" si="88"/>
        <v>1.1765876380005351</v>
      </c>
      <c r="BC48" s="4">
        <f t="shared" si="88"/>
        <v>1.5700671934955486</v>
      </c>
      <c r="BD48" s="24">
        <f t="shared" si="24"/>
        <v>1.5700671934955486</v>
      </c>
      <c r="BE48" s="4">
        <f t="shared" si="25"/>
        <v>0.40480799731291395</v>
      </c>
      <c r="BF48" s="4">
        <f t="shared" si="84"/>
        <v>7.7922862846441954E-2</v>
      </c>
      <c r="BG48" s="4">
        <f t="shared" si="85"/>
        <v>6.4116954122050457E-2</v>
      </c>
      <c r="BH48" s="4">
        <f t="shared" si="28"/>
        <v>0.38994636254084913</v>
      </c>
      <c r="BI48" s="23"/>
      <c r="BJ48" s="23"/>
      <c r="BK48" s="23"/>
      <c r="BL48" s="23"/>
      <c r="BM48" s="23"/>
      <c r="BN48" s="23"/>
      <c r="BO48" s="23"/>
      <c r="BP48" s="23"/>
      <c r="BQ48" s="23"/>
      <c r="BR48" s="13">
        <v>42.853667545340457</v>
      </c>
      <c r="BS48" s="13">
        <v>58.704177377173167</v>
      </c>
      <c r="BT48" s="13">
        <v>34.641957632463281</v>
      </c>
      <c r="BU48" s="13">
        <v>53.929927427825966</v>
      </c>
      <c r="BV48" s="13">
        <v>35.444031623953606</v>
      </c>
      <c r="BW48" s="13">
        <v>36.475269613012607</v>
      </c>
      <c r="BX48" s="13">
        <v>7.7533819177398513</v>
      </c>
      <c r="BY48" s="13">
        <v>3.2082959659613182</v>
      </c>
      <c r="BZ48" s="13">
        <v>2.2916399756866559</v>
      </c>
      <c r="CA48" s="4"/>
      <c r="CB48" s="4"/>
      <c r="CC48" s="4"/>
      <c r="CD48" s="4"/>
      <c r="CE48" s="4"/>
      <c r="CF48" s="4"/>
      <c r="CG48" s="4"/>
      <c r="CH48" s="4"/>
      <c r="CI48" s="4"/>
      <c r="CJ48" s="23"/>
      <c r="CK48" s="23"/>
      <c r="CL48" s="23"/>
      <c r="CM48" s="23"/>
      <c r="CN48" s="23"/>
      <c r="CO48" s="23"/>
      <c r="CP48" s="23"/>
      <c r="CQ48" s="23"/>
      <c r="CR48" s="23"/>
      <c r="CS48" s="31">
        <f t="shared" si="29"/>
        <v>1996</v>
      </c>
      <c r="CT48" s="1">
        <v>2.6197453885975358E-2</v>
      </c>
      <c r="CU48" s="1">
        <v>0.34768661313711668</v>
      </c>
      <c r="CV48" s="1">
        <v>0.8</v>
      </c>
      <c r="CW48" s="1">
        <v>1</v>
      </c>
      <c r="CX48">
        <f t="shared" si="61"/>
        <v>1</v>
      </c>
      <c r="CY48">
        <f t="shared" si="62"/>
        <v>1</v>
      </c>
      <c r="CZ48">
        <f t="shared" si="63"/>
        <v>1</v>
      </c>
      <c r="DA48">
        <f t="shared" si="64"/>
        <v>1</v>
      </c>
      <c r="DB48">
        <f t="shared" si="65"/>
        <v>1</v>
      </c>
      <c r="DC48" s="11">
        <v>7.0000000000000007E-2</v>
      </c>
      <c r="DD48" s="11">
        <v>8.5800000000000001E-2</v>
      </c>
      <c r="DE48" s="11">
        <v>0.1159</v>
      </c>
      <c r="DF48" s="11">
        <v>0.13600000000000001</v>
      </c>
      <c r="DG48" s="11">
        <v>0.15129999999999999</v>
      </c>
      <c r="DH48" s="11">
        <v>0.1643</v>
      </c>
      <c r="DI48" s="11">
        <v>0.1759</v>
      </c>
      <c r="DJ48" s="11">
        <v>0.18090000000000001</v>
      </c>
      <c r="DK48" s="11">
        <v>0.18990000000000001</v>
      </c>
      <c r="DL48" s="10">
        <f t="shared" si="86"/>
        <v>0.12030772752497225</v>
      </c>
      <c r="DN48" s="1">
        <v>1122</v>
      </c>
      <c r="DO48" s="1">
        <v>1537</v>
      </c>
      <c r="DP48" s="1">
        <v>907</v>
      </c>
      <c r="DQ48" s="1">
        <v>1412</v>
      </c>
      <c r="DR48" s="1">
        <v>928</v>
      </c>
      <c r="DS48" s="1">
        <v>955</v>
      </c>
      <c r="DT48" s="1">
        <v>203</v>
      </c>
      <c r="DU48" s="1">
        <v>84</v>
      </c>
      <c r="DV48" s="1">
        <v>60</v>
      </c>
      <c r="DW48">
        <f t="shared" si="32"/>
        <v>7208</v>
      </c>
      <c r="DX48" s="19">
        <f t="shared" si="33"/>
        <v>331.28768539435447</v>
      </c>
      <c r="DY48">
        <f t="shared" si="66"/>
        <v>6.2404355532012311E-2</v>
      </c>
      <c r="DZ48">
        <f t="shared" si="34"/>
        <v>0.18629648075749936</v>
      </c>
      <c r="EA48">
        <f t="shared" si="35"/>
        <v>0.22097162362555509</v>
      </c>
      <c r="EB48">
        <f t="shared" si="36"/>
        <v>0.25185203381761367</v>
      </c>
      <c r="EC48">
        <f t="shared" si="37"/>
        <v>0.13286031196628542</v>
      </c>
      <c r="ED48">
        <f t="shared" si="38"/>
        <v>0.12014673916422328</v>
      </c>
      <c r="EE48">
        <f t="shared" si="39"/>
        <v>1.7297477630960352E-2</v>
      </c>
      <c r="EF48">
        <f t="shared" si="40"/>
        <v>7.0790441032071005E-3</v>
      </c>
      <c r="EG48">
        <f t="shared" si="41"/>
        <v>1.0919334026434021E-3</v>
      </c>
      <c r="EH48">
        <f t="shared" si="42"/>
        <v>0.15566037735849056</v>
      </c>
      <c r="EI48">
        <f t="shared" si="43"/>
        <v>0.21323529411764705</v>
      </c>
      <c r="EJ48">
        <f t="shared" si="44"/>
        <v>0.12583240843507215</v>
      </c>
      <c r="EK48">
        <f t="shared" si="45"/>
        <v>0.19589345172031078</v>
      </c>
      <c r="EL48">
        <f t="shared" si="46"/>
        <v>0.12874583795782463</v>
      </c>
      <c r="EM48">
        <f t="shared" si="47"/>
        <v>0.13249167591564928</v>
      </c>
      <c r="EN48">
        <f t="shared" si="48"/>
        <v>2.8163152053274139E-2</v>
      </c>
      <c r="EO48">
        <f t="shared" si="49"/>
        <v>1.1653718091009988E-2</v>
      </c>
      <c r="EP48">
        <f t="shared" si="50"/>
        <v>8.3240843507214213E-3</v>
      </c>
      <c r="EQ48">
        <f t="shared" si="51"/>
        <v>-2.0178242423243531</v>
      </c>
      <c r="ER48">
        <v>100</v>
      </c>
      <c r="ES48">
        <v>0.36840292714177181</v>
      </c>
    </row>
    <row r="49" spans="2:149" x14ac:dyDescent="0.3">
      <c r="C49">
        <f t="shared" si="13"/>
        <v>4.495918908346111E-2</v>
      </c>
      <c r="D49">
        <v>47</v>
      </c>
      <c r="E49">
        <v>1997</v>
      </c>
      <c r="F49" s="2">
        <v>5.2613238427918292</v>
      </c>
      <c r="G49" s="3">
        <f t="shared" si="67"/>
        <v>192.73647527417043</v>
      </c>
      <c r="H49" s="4">
        <f t="shared" si="52"/>
        <v>569.46098901424432</v>
      </c>
      <c r="I49" s="4">
        <f t="shared" si="53"/>
        <v>124.04250819650478</v>
      </c>
      <c r="J49" s="4">
        <f t="shared" si="54"/>
        <v>61.044008746175763</v>
      </c>
      <c r="K49" s="4">
        <f t="shared" si="55"/>
        <v>48.91164733089861</v>
      </c>
      <c r="L49" s="4">
        <f t="shared" si="56"/>
        <v>22.332089898520032</v>
      </c>
      <c r="M49" s="4">
        <f t="shared" si="57"/>
        <v>16.65459238983798</v>
      </c>
      <c r="N49" s="4">
        <f t="shared" si="58"/>
        <v>1.8539471927384719</v>
      </c>
      <c r="O49" s="4">
        <f t="shared" si="59"/>
        <v>0.53829962239629969</v>
      </c>
      <c r="P49" s="22">
        <v>1.2065365747110248</v>
      </c>
      <c r="Q49" s="4"/>
      <c r="R49" s="5">
        <f t="shared" si="15"/>
        <v>51.134752545390832</v>
      </c>
      <c r="S49" s="4">
        <f t="shared" si="16"/>
        <v>-0.11978960484661924</v>
      </c>
      <c r="T49" s="5">
        <v>30.309212608602479</v>
      </c>
      <c r="U49" s="5">
        <f t="shared" si="72"/>
        <v>36.694942164224216</v>
      </c>
      <c r="V49" s="5">
        <v>45.362000000000002</v>
      </c>
      <c r="W49" s="4"/>
      <c r="X49" s="4">
        <f t="shared" si="17"/>
        <v>0.13975513207769968</v>
      </c>
      <c r="Y49" s="23">
        <v>1.5546472967260836</v>
      </c>
      <c r="Z49" s="23">
        <v>43.918786132511862</v>
      </c>
      <c r="AA49" s="23">
        <v>5.1605653321879723</v>
      </c>
      <c r="AB49" s="23">
        <v>2.8933713577957665</v>
      </c>
      <c r="AC49" s="23">
        <v>4.2644839042139093</v>
      </c>
      <c r="AD49" s="23">
        <v>3.163275402366267</v>
      </c>
      <c r="AE49" s="23">
        <v>2.1268438712155446</v>
      </c>
      <c r="AF49" s="23">
        <v>0.34547717705024078</v>
      </c>
      <c r="AG49" s="23">
        <v>0.21592323565640051</v>
      </c>
      <c r="AH49" s="23">
        <f t="shared" si="18"/>
        <v>6.6560000000000006</v>
      </c>
      <c r="AI49" s="10">
        <v>3.5085945571499257</v>
      </c>
      <c r="AJ49" s="4">
        <f t="shared" si="73"/>
        <v>3.5085945571499257</v>
      </c>
      <c r="AK49" s="23">
        <f t="shared" si="74"/>
        <v>0.81950526496108511</v>
      </c>
      <c r="AL49" s="23">
        <f t="shared" si="75"/>
        <v>23.151023735150655</v>
      </c>
      <c r="AM49" s="23">
        <f t="shared" si="76"/>
        <v>2.7203021989680467</v>
      </c>
      <c r="AN49" s="23">
        <f t="shared" si="77"/>
        <v>1.5251903542331309</v>
      </c>
      <c r="AO49" s="23">
        <f t="shared" si="78"/>
        <v>2.2479484698585321</v>
      </c>
      <c r="AP49" s="23">
        <f t="shared" si="79"/>
        <v>1.6674655738444302</v>
      </c>
      <c r="AQ49" s="23">
        <f t="shared" si="80"/>
        <v>1.1211287305370401</v>
      </c>
      <c r="AR49" s="23">
        <f t="shared" si="81"/>
        <v>0.18211228110246336</v>
      </c>
      <c r="AS49" s="23">
        <f t="shared" si="82"/>
        <v>0.1138201756890396</v>
      </c>
      <c r="AT49" s="23">
        <f t="shared" si="21"/>
        <v>51.134752545390839</v>
      </c>
      <c r="AU49" s="23">
        <f t="shared" si="83"/>
        <v>73.376975015007446</v>
      </c>
      <c r="AV49" s="4">
        <f t="shared" si="87"/>
        <v>0.37106368139083207</v>
      </c>
      <c r="AW49" s="4">
        <f t="shared" si="87"/>
        <v>0.37106368139083207</v>
      </c>
      <c r="AX49" s="4">
        <f t="shared" si="87"/>
        <v>0.37106368139083207</v>
      </c>
      <c r="AY49" s="4">
        <f t="shared" si="88"/>
        <v>0.49515641167153346</v>
      </c>
      <c r="AZ49" s="4">
        <f t="shared" si="88"/>
        <v>0.66074877255687903</v>
      </c>
      <c r="BA49" s="4">
        <f t="shared" si="88"/>
        <v>0.88171925101726745</v>
      </c>
      <c r="BB49" s="4">
        <f t="shared" si="88"/>
        <v>1.1765876380005351</v>
      </c>
      <c r="BC49" s="4">
        <f t="shared" si="88"/>
        <v>1.5700671934955486</v>
      </c>
      <c r="BD49" s="24">
        <f t="shared" si="24"/>
        <v>1.5700671934955486</v>
      </c>
      <c r="BE49" s="4">
        <f t="shared" si="25"/>
        <v>0.51878411028483395</v>
      </c>
      <c r="BF49" s="4">
        <f t="shared" si="84"/>
        <v>6.8614677543133662E-2</v>
      </c>
      <c r="BG49" s="4">
        <f t="shared" si="85"/>
        <v>4.7816015261358612E-2</v>
      </c>
      <c r="BH49" s="4">
        <f t="shared" si="28"/>
        <v>0.49669890472819922</v>
      </c>
      <c r="BI49" s="23"/>
      <c r="BJ49" s="23"/>
      <c r="BK49" s="23"/>
      <c r="BL49" s="23"/>
      <c r="BM49" s="23"/>
      <c r="BN49" s="23"/>
      <c r="BO49" s="23"/>
      <c r="BP49" s="23"/>
      <c r="BQ49" s="23"/>
      <c r="BR49" s="13">
        <v>10.595238983486871</v>
      </c>
      <c r="BS49" s="13">
        <v>299.31550128350409</v>
      </c>
      <c r="BT49" s="13">
        <v>35.170307181296693</v>
      </c>
      <c r="BU49" s="13">
        <v>19.71891699704501</v>
      </c>
      <c r="BV49" s="13">
        <v>29.063329156092458</v>
      </c>
      <c r="BW49" s="13">
        <v>21.558368209455924</v>
      </c>
      <c r="BX49" s="13">
        <v>14.494875553798011</v>
      </c>
      <c r="BY49" s="13">
        <v>2.354497551885971</v>
      </c>
      <c r="BZ49" s="13">
        <v>1.471560969928732</v>
      </c>
      <c r="CA49" s="4"/>
      <c r="CB49" s="4"/>
      <c r="CC49" s="4"/>
      <c r="CD49" s="4"/>
      <c r="CE49" s="4"/>
      <c r="CF49" s="4"/>
      <c r="CG49" s="4"/>
      <c r="CH49" s="4"/>
      <c r="CI49" s="4"/>
      <c r="CJ49" s="23"/>
      <c r="CK49" s="23"/>
      <c r="CL49" s="23"/>
      <c r="CM49" s="23"/>
      <c r="CN49" s="23"/>
      <c r="CO49" s="23"/>
      <c r="CP49" s="23"/>
      <c r="CQ49" s="23"/>
      <c r="CR49" s="23"/>
      <c r="CS49" s="31">
        <f t="shared" si="29"/>
        <v>1997</v>
      </c>
      <c r="CT49" s="1">
        <v>2.6197453885975358E-2</v>
      </c>
      <c r="CU49" s="1">
        <v>0.34768661313711668</v>
      </c>
      <c r="CV49" s="1">
        <v>0.8</v>
      </c>
      <c r="CW49" s="1">
        <v>1</v>
      </c>
      <c r="CX49">
        <f t="shared" si="61"/>
        <v>1</v>
      </c>
      <c r="CY49">
        <f t="shared" si="62"/>
        <v>1</v>
      </c>
      <c r="CZ49">
        <f t="shared" si="63"/>
        <v>1</v>
      </c>
      <c r="DA49">
        <f t="shared" si="64"/>
        <v>1</v>
      </c>
      <c r="DB49">
        <f t="shared" si="65"/>
        <v>1</v>
      </c>
      <c r="DC49" s="11">
        <v>6.4199999999999993E-2</v>
      </c>
      <c r="DD49" s="11">
        <v>9.1399999999999995E-2</v>
      </c>
      <c r="DE49" s="11">
        <v>0.1052</v>
      </c>
      <c r="DF49" s="11">
        <v>0.13150000000000001</v>
      </c>
      <c r="DG49" s="11">
        <v>0.14940000000000001</v>
      </c>
      <c r="DH49" s="11">
        <v>0.16089999999999999</v>
      </c>
      <c r="DI49" s="11">
        <v>0.1759</v>
      </c>
      <c r="DJ49" s="11">
        <v>0.1729</v>
      </c>
      <c r="DK49" s="11">
        <v>0.17929999999999999</v>
      </c>
      <c r="DL49" s="10">
        <f t="shared" si="86"/>
        <v>0.10458276505513145</v>
      </c>
      <c r="DN49" s="1">
        <v>144</v>
      </c>
      <c r="DO49" s="1">
        <v>4068</v>
      </c>
      <c r="DP49" s="1">
        <v>478</v>
      </c>
      <c r="DQ49" s="1">
        <v>268</v>
      </c>
      <c r="DR49" s="1">
        <v>395</v>
      </c>
      <c r="DS49" s="1">
        <v>293</v>
      </c>
      <c r="DT49" s="1">
        <v>197</v>
      </c>
      <c r="DU49" s="1">
        <v>32</v>
      </c>
      <c r="DV49" s="1">
        <v>20</v>
      </c>
      <c r="DW49">
        <f t="shared" si="32"/>
        <v>5895</v>
      </c>
      <c r="DX49" s="19">
        <f t="shared" si="33"/>
        <v>453.61175924498696</v>
      </c>
      <c r="DY49">
        <f t="shared" si="66"/>
        <v>1.1131115585593827E-2</v>
      </c>
      <c r="DZ49">
        <f t="shared" si="34"/>
        <v>0.43648331100063631</v>
      </c>
      <c r="EA49">
        <f t="shared" si="35"/>
        <v>0.2187641844258483</v>
      </c>
      <c r="EB49">
        <f t="shared" si="36"/>
        <v>0.13457325014629321</v>
      </c>
      <c r="EC49">
        <f t="shared" si="37"/>
        <v>0.10782711500316811</v>
      </c>
      <c r="ED49">
        <f t="shared" si="38"/>
        <v>4.9231726125642396E-2</v>
      </c>
      <c r="EE49">
        <f t="shared" si="39"/>
        <v>3.6715521699787229E-2</v>
      </c>
      <c r="EF49">
        <f t="shared" si="40"/>
        <v>4.0870792146664586E-3</v>
      </c>
      <c r="EG49">
        <f t="shared" si="41"/>
        <v>1.1866967983640267E-3</v>
      </c>
      <c r="EH49">
        <f t="shared" si="42"/>
        <v>2.4427480916030534E-2</v>
      </c>
      <c r="EI49">
        <f t="shared" si="43"/>
        <v>0.69007633587786255</v>
      </c>
      <c r="EJ49">
        <f t="shared" si="44"/>
        <v>8.1085665818490249E-2</v>
      </c>
      <c r="EK49">
        <f t="shared" si="45"/>
        <v>4.5462256149279047E-2</v>
      </c>
      <c r="EL49">
        <f t="shared" si="46"/>
        <v>6.7005937234944871E-2</v>
      </c>
      <c r="EM49">
        <f t="shared" si="47"/>
        <v>4.9703138252756573E-2</v>
      </c>
      <c r="EN49">
        <f t="shared" si="48"/>
        <v>3.3418150975402884E-2</v>
      </c>
      <c r="EO49">
        <f t="shared" si="49"/>
        <v>5.4283290924512298E-3</v>
      </c>
      <c r="EP49">
        <f t="shared" si="50"/>
        <v>3.3927056827820186E-3</v>
      </c>
      <c r="EQ49">
        <f t="shared" si="51"/>
        <v>-1.3573040915723213</v>
      </c>
      <c r="ER49">
        <v>100</v>
      </c>
      <c r="ES49">
        <v>0.38820591805865989</v>
      </c>
    </row>
    <row r="50" spans="2:149" x14ac:dyDescent="0.3">
      <c r="C50">
        <f t="shared" si="13"/>
        <v>4.0406395838451667E-2</v>
      </c>
      <c r="D50">
        <v>48</v>
      </c>
      <c r="E50">
        <v>1998</v>
      </c>
      <c r="F50" s="2">
        <v>4.7300215986423986</v>
      </c>
      <c r="G50" s="3">
        <f t="shared" si="67"/>
        <v>113.29800940542283</v>
      </c>
      <c r="H50" s="4">
        <f t="shared" si="52"/>
        <v>122.50536745340017</v>
      </c>
      <c r="I50" s="4">
        <f t="shared" si="53"/>
        <v>337.99516022933409</v>
      </c>
      <c r="J50" s="4">
        <f t="shared" si="54"/>
        <v>66.546679834563932</v>
      </c>
      <c r="K50" s="4">
        <f t="shared" si="55"/>
        <v>26.911409206544349</v>
      </c>
      <c r="L50" s="4">
        <f t="shared" si="56"/>
        <v>17.657799553171358</v>
      </c>
      <c r="M50" s="4">
        <f t="shared" si="57"/>
        <v>6.1754250907250423</v>
      </c>
      <c r="N50" s="4">
        <f t="shared" si="58"/>
        <v>3.2267310687486841</v>
      </c>
      <c r="O50" s="4">
        <f t="shared" si="59"/>
        <v>0.22343227809969807</v>
      </c>
      <c r="P50" s="22">
        <v>1.4697022933879234</v>
      </c>
      <c r="Q50" s="4"/>
      <c r="R50" s="5">
        <f t="shared" si="15"/>
        <v>46.742430421074772</v>
      </c>
      <c r="S50" s="4">
        <f t="shared" si="16"/>
        <v>-0.13081200309493307</v>
      </c>
      <c r="T50" s="5">
        <v>29.175714139333618</v>
      </c>
      <c r="U50" s="5">
        <f t="shared" si="72"/>
        <v>33.542956512678352</v>
      </c>
      <c r="V50" s="5">
        <v>41.011000000000003</v>
      </c>
      <c r="W50" s="4"/>
      <c r="X50" s="4">
        <f t="shared" si="17"/>
        <v>0.16283074392317987</v>
      </c>
      <c r="Y50" s="23">
        <v>1.2832207312401598</v>
      </c>
      <c r="Z50" s="23">
        <v>12.444006082782725</v>
      </c>
      <c r="AA50" s="23">
        <v>37.731002845456466</v>
      </c>
      <c r="AB50" s="23">
        <v>4.6907648578947017</v>
      </c>
      <c r="AC50" s="23">
        <v>2.5448747275014933</v>
      </c>
      <c r="AD50" s="23">
        <v>3.8065287237628267</v>
      </c>
      <c r="AE50" s="23">
        <v>2.2537238052873394</v>
      </c>
      <c r="AF50" s="23">
        <v>1.1861704238354418</v>
      </c>
      <c r="AG50" s="23">
        <v>0.39898459710828493</v>
      </c>
      <c r="AH50" s="23">
        <f t="shared" si="18"/>
        <v>6.9840000000000018</v>
      </c>
      <c r="AI50" s="10">
        <v>3.8512672922315683</v>
      </c>
      <c r="AJ50" s="4">
        <f t="shared" si="73"/>
        <v>3.8512672922315683</v>
      </c>
      <c r="AK50" s="23">
        <f t="shared" si="74"/>
        <v>0.70762113845055885</v>
      </c>
      <c r="AL50" s="23">
        <f t="shared" si="75"/>
        <v>6.8621411241339896</v>
      </c>
      <c r="AM50" s="23">
        <f t="shared" si="76"/>
        <v>20.806440028895</v>
      </c>
      <c r="AN50" s="23">
        <f t="shared" si="77"/>
        <v>2.5866823128234713</v>
      </c>
      <c r="AO50" s="23">
        <f t="shared" si="78"/>
        <v>1.4033494846582508</v>
      </c>
      <c r="AP50" s="23">
        <f t="shared" si="79"/>
        <v>2.0990778308659435</v>
      </c>
      <c r="AQ50" s="23">
        <f t="shared" si="80"/>
        <v>1.2427967893795528</v>
      </c>
      <c r="AR50" s="23">
        <f t="shared" si="81"/>
        <v>0.65410357335765934</v>
      </c>
      <c r="AS50" s="23">
        <f t="shared" si="82"/>
        <v>0.22001665649303087</v>
      </c>
      <c r="AT50" s="23">
        <f t="shared" si="21"/>
        <v>46.742430421074772</v>
      </c>
      <c r="AU50" s="23">
        <f t="shared" si="83"/>
        <v>67.984487673987104</v>
      </c>
      <c r="AV50" s="4">
        <f t="shared" si="87"/>
        <v>0.37106368139083207</v>
      </c>
      <c r="AW50" s="4">
        <f t="shared" si="87"/>
        <v>0.37106368139083207</v>
      </c>
      <c r="AX50" s="4">
        <f t="shared" si="87"/>
        <v>0.37106368139083207</v>
      </c>
      <c r="AY50" s="4">
        <f t="shared" si="88"/>
        <v>0.49515641167153346</v>
      </c>
      <c r="AZ50" s="4">
        <f t="shared" si="88"/>
        <v>0.66074877255687903</v>
      </c>
      <c r="BA50" s="4">
        <f t="shared" si="88"/>
        <v>0.88171925101726745</v>
      </c>
      <c r="BB50" s="4">
        <f t="shared" si="88"/>
        <v>1.1765876380005351</v>
      </c>
      <c r="BC50" s="4">
        <f t="shared" si="88"/>
        <v>1.5700671934955486</v>
      </c>
      <c r="BD50" s="24">
        <f t="shared" si="24"/>
        <v>1.5700671934955486</v>
      </c>
      <c r="BE50" s="4">
        <f t="shared" si="25"/>
        <v>0.63133965298824934</v>
      </c>
      <c r="BF50" s="4">
        <f t="shared" si="84"/>
        <v>8.2393389850245066E-2</v>
      </c>
      <c r="BG50" s="4">
        <f t="shared" si="85"/>
        <v>5.6649206664613552E-2</v>
      </c>
      <c r="BH50" s="4">
        <f t="shared" si="28"/>
        <v>0.60367021188122283</v>
      </c>
      <c r="BI50" s="23"/>
      <c r="BJ50" s="23"/>
      <c r="BK50" s="23"/>
      <c r="BL50" s="23"/>
      <c r="BM50" s="23"/>
      <c r="BN50" s="23"/>
      <c r="BO50" s="23"/>
      <c r="BP50" s="23"/>
      <c r="BQ50" s="23"/>
      <c r="BR50" s="13">
        <v>7.5352470516738537</v>
      </c>
      <c r="BS50" s="13">
        <v>73.072899980097702</v>
      </c>
      <c r="BT50" s="13">
        <v>221.56159188072951</v>
      </c>
      <c r="BU50" s="13">
        <v>27.544810651076688</v>
      </c>
      <c r="BV50" s="13">
        <v>14.94385129575655</v>
      </c>
      <c r="BW50" s="13">
        <v>22.352455539839248</v>
      </c>
      <c r="BX50" s="13">
        <v>13.234173393275928</v>
      </c>
      <c r="BY50" s="13">
        <v>6.9653544175136455</v>
      </c>
      <c r="BZ50" s="13">
        <v>2.3428919404364081</v>
      </c>
      <c r="CA50" s="4"/>
      <c r="CB50" s="4"/>
      <c r="CC50" s="4"/>
      <c r="CD50" s="4"/>
      <c r="CE50" s="4"/>
      <c r="CF50" s="4"/>
      <c r="CG50" s="4"/>
      <c r="CH50" s="4"/>
      <c r="CI50" s="4"/>
      <c r="CJ50" s="23"/>
      <c r="CK50" s="23"/>
      <c r="CL50" s="23"/>
      <c r="CM50" s="23"/>
      <c r="CN50" s="23"/>
      <c r="CO50" s="23"/>
      <c r="CP50" s="23"/>
      <c r="CQ50" s="23"/>
      <c r="CR50" s="23"/>
      <c r="CS50" s="31">
        <f t="shared" si="29"/>
        <v>1998</v>
      </c>
      <c r="CT50" s="1">
        <v>2.6197453885975358E-2</v>
      </c>
      <c r="CU50" s="1">
        <v>0.34768661313711668</v>
      </c>
      <c r="CV50" s="1">
        <v>0.8</v>
      </c>
      <c r="CW50" s="1">
        <v>1</v>
      </c>
      <c r="CX50">
        <f t="shared" si="61"/>
        <v>1</v>
      </c>
      <c r="CY50">
        <f t="shared" si="62"/>
        <v>1</v>
      </c>
      <c r="CZ50">
        <f t="shared" si="63"/>
        <v>1</v>
      </c>
      <c r="DA50">
        <f t="shared" si="64"/>
        <v>1</v>
      </c>
      <c r="DB50">
        <f t="shared" si="65"/>
        <v>1</v>
      </c>
      <c r="DC50" s="11">
        <v>5.8599999999999999E-2</v>
      </c>
      <c r="DD50" s="11">
        <v>7.9799999999999996E-2</v>
      </c>
      <c r="DE50" s="11">
        <v>0.10390000000000001</v>
      </c>
      <c r="DF50" s="11">
        <v>0.1132</v>
      </c>
      <c r="DG50" s="11">
        <v>0.13220000000000001</v>
      </c>
      <c r="DH50" s="11">
        <v>0.14280000000000001</v>
      </c>
      <c r="DI50" s="11">
        <v>0.14990000000000001</v>
      </c>
      <c r="DJ50" s="11">
        <v>0.15579999999999999</v>
      </c>
      <c r="DK50" s="11">
        <v>0.15509999999999999</v>
      </c>
      <c r="DL50" s="10">
        <f t="shared" si="86"/>
        <v>0.10527699934980496</v>
      </c>
      <c r="DN50" s="1">
        <v>119</v>
      </c>
      <c r="DO50" s="1">
        <v>1154</v>
      </c>
      <c r="DP50" s="1">
        <v>3499</v>
      </c>
      <c r="DQ50" s="1">
        <v>435</v>
      </c>
      <c r="DR50" s="1">
        <v>236</v>
      </c>
      <c r="DS50" s="1">
        <v>353</v>
      </c>
      <c r="DT50" s="1">
        <v>209</v>
      </c>
      <c r="DU50" s="1">
        <v>110</v>
      </c>
      <c r="DV50" s="1">
        <v>37</v>
      </c>
      <c r="DW50">
        <f t="shared" si="32"/>
        <v>6152</v>
      </c>
      <c r="DX50" s="19">
        <f t="shared" si="33"/>
        <v>436.69920089308243</v>
      </c>
      <c r="DY50">
        <f t="shared" si="66"/>
        <v>6.7967135518025718E-3</v>
      </c>
      <c r="DZ50">
        <f t="shared" si="34"/>
        <v>9.7535045207052903E-2</v>
      </c>
      <c r="EA50">
        <f t="shared" si="35"/>
        <v>0.61918164180398549</v>
      </c>
      <c r="EB50">
        <f t="shared" si="36"/>
        <v>0.15238562309816692</v>
      </c>
      <c r="EC50">
        <f t="shared" si="37"/>
        <v>6.1624589995833541E-2</v>
      </c>
      <c r="ED50">
        <f t="shared" si="38"/>
        <v>4.0434696278490646E-2</v>
      </c>
      <c r="EE50">
        <f t="shared" si="39"/>
        <v>1.4141141266335816E-2</v>
      </c>
      <c r="EF50">
        <f t="shared" si="40"/>
        <v>7.3889099456783489E-3</v>
      </c>
      <c r="EG50">
        <f t="shared" si="41"/>
        <v>5.1163885265363988E-4</v>
      </c>
      <c r="EH50">
        <f t="shared" si="42"/>
        <v>1.934330299089727E-2</v>
      </c>
      <c r="EI50">
        <f t="shared" si="43"/>
        <v>0.1875812743823147</v>
      </c>
      <c r="EJ50">
        <f t="shared" si="44"/>
        <v>0.56875812743823151</v>
      </c>
      <c r="EK50">
        <f t="shared" si="45"/>
        <v>7.0708712613784142E-2</v>
      </c>
      <c r="EL50">
        <f t="shared" si="46"/>
        <v>3.8361508452535761E-2</v>
      </c>
      <c r="EM50">
        <f t="shared" si="47"/>
        <v>5.7379713914174249E-2</v>
      </c>
      <c r="EN50">
        <f t="shared" si="48"/>
        <v>3.3972691807542262E-2</v>
      </c>
      <c r="EO50">
        <f t="shared" si="49"/>
        <v>1.7880364109232771E-2</v>
      </c>
      <c r="EP50">
        <f t="shared" si="50"/>
        <v>6.0143042912873864E-3</v>
      </c>
      <c r="EQ50">
        <f t="shared" si="51"/>
        <v>-1.5054336121382628</v>
      </c>
      <c r="ER50">
        <v>100</v>
      </c>
      <c r="ES50">
        <v>0.54840143625366788</v>
      </c>
    </row>
    <row r="51" spans="2:149" x14ac:dyDescent="0.3">
      <c r="C51">
        <f t="shared" si="13"/>
        <v>1.6107766005323165E-2</v>
      </c>
      <c r="D51">
        <v>49</v>
      </c>
      <c r="E51">
        <v>1999</v>
      </c>
      <c r="F51" s="2">
        <v>4.8656530397429325</v>
      </c>
      <c r="G51" s="3">
        <f t="shared" si="67"/>
        <v>129.75564654403865</v>
      </c>
      <c r="H51" s="4">
        <f t="shared" si="52"/>
        <v>65.25043742345936</v>
      </c>
      <c r="I51" s="4">
        <f t="shared" si="53"/>
        <v>65.069534795884792</v>
      </c>
      <c r="J51" s="4">
        <f t="shared" si="54"/>
        <v>159.16233513107747</v>
      </c>
      <c r="K51" s="4">
        <f t="shared" si="55"/>
        <v>24.691415167050376</v>
      </c>
      <c r="L51" s="4">
        <f t="shared" si="56"/>
        <v>7.8281861050113672</v>
      </c>
      <c r="M51" s="4">
        <f t="shared" si="57"/>
        <v>3.7120981676436711</v>
      </c>
      <c r="N51" s="4">
        <f t="shared" si="58"/>
        <v>0.84166656220858627</v>
      </c>
      <c r="O51" s="4">
        <f t="shared" si="59"/>
        <v>0.24665188617354128</v>
      </c>
      <c r="P51" s="22">
        <v>1.257503812555709</v>
      </c>
      <c r="Q51" s="4"/>
      <c r="R51" s="5">
        <f t="shared" si="15"/>
        <v>31.220809249787131</v>
      </c>
      <c r="S51" s="4">
        <f t="shared" si="16"/>
        <v>-0.4587417991936012</v>
      </c>
      <c r="T51" s="5">
        <v>20.904968583143159</v>
      </c>
      <c r="U51" s="5">
        <f t="shared" si="72"/>
        <v>22.404445757789848</v>
      </c>
      <c r="V51" s="5">
        <v>19.734000000000002</v>
      </c>
      <c r="W51" s="4"/>
      <c r="X51" s="4">
        <f t="shared" si="17"/>
        <v>0.1612020360182945</v>
      </c>
      <c r="Y51" s="23">
        <v>0.54205643223418054</v>
      </c>
      <c r="Z51" s="23">
        <v>7.503609754784585</v>
      </c>
      <c r="AA51" s="23">
        <v>8.9052128152758243</v>
      </c>
      <c r="AB51" s="23">
        <v>16.788262072624335</v>
      </c>
      <c r="AC51" s="23">
        <v>3.7479330457334772</v>
      </c>
      <c r="AD51" s="23">
        <v>1.2080114775504596</v>
      </c>
      <c r="AE51" s="23">
        <v>0.72790435185732816</v>
      </c>
      <c r="AF51" s="23">
        <v>0.33297752265813946</v>
      </c>
      <c r="AG51" s="23">
        <v>0.13164227639972956</v>
      </c>
      <c r="AH51" s="23">
        <f t="shared" si="18"/>
        <v>4.3730000000000002</v>
      </c>
      <c r="AI51" s="10">
        <v>4.0933603166749135</v>
      </c>
      <c r="AJ51" s="4">
        <f t="shared" si="73"/>
        <v>4.0933603166749135</v>
      </c>
      <c r="AK51" s="23">
        <f t="shared" si="74"/>
        <v>0.5073936174492979</v>
      </c>
      <c r="AL51" s="23">
        <f t="shared" si="75"/>
        <v>7.023777361548138</v>
      </c>
      <c r="AM51" s="23">
        <f t="shared" si="76"/>
        <v>8.3357522866670362</v>
      </c>
      <c r="AN51" s="23">
        <f t="shared" si="77"/>
        <v>15.714705180429682</v>
      </c>
      <c r="AO51" s="23">
        <f t="shared" si="78"/>
        <v>3.5082644406494308</v>
      </c>
      <c r="AP51" s="23">
        <f t="shared" si="79"/>
        <v>1.1307629188870068</v>
      </c>
      <c r="AQ51" s="23">
        <f t="shared" si="80"/>
        <v>0.68135714343191434</v>
      </c>
      <c r="AR51" s="23">
        <f t="shared" si="81"/>
        <v>0.31168465071885443</v>
      </c>
      <c r="AS51" s="23">
        <f t="shared" si="82"/>
        <v>0.12322416423768662</v>
      </c>
      <c r="AT51" s="23">
        <f t="shared" si="21"/>
        <v>31.220809249787131</v>
      </c>
      <c r="AU51" s="23">
        <f t="shared" si="83"/>
        <v>35.965877885462895</v>
      </c>
      <c r="AV51" s="4">
        <f t="shared" si="87"/>
        <v>0.37106368139083207</v>
      </c>
      <c r="AW51" s="4">
        <f t="shared" si="87"/>
        <v>0.37106368139083207</v>
      </c>
      <c r="AX51" s="4">
        <f t="shared" si="87"/>
        <v>0.37106368139083207</v>
      </c>
      <c r="AY51" s="4">
        <f t="shared" si="88"/>
        <v>0.49515641167153346</v>
      </c>
      <c r="AZ51" s="4">
        <f t="shared" si="88"/>
        <v>0.66074877255687903</v>
      </c>
      <c r="BA51" s="4">
        <f t="shared" si="88"/>
        <v>0.88171925101726745</v>
      </c>
      <c r="BB51" s="4">
        <f t="shared" si="88"/>
        <v>1.1765876380005351</v>
      </c>
      <c r="BC51" s="4">
        <f t="shared" si="88"/>
        <v>1.5700671934955486</v>
      </c>
      <c r="BD51" s="24">
        <f t="shared" si="24"/>
        <v>1.5700671934955486</v>
      </c>
      <c r="BE51" s="4">
        <f t="shared" si="25"/>
        <v>0.60715273864479125</v>
      </c>
      <c r="BF51" s="4">
        <f t="shared" si="84"/>
        <v>0.13111000051040711</v>
      </c>
      <c r="BG51" s="4">
        <f t="shared" si="85"/>
        <v>0.11381232872198055</v>
      </c>
      <c r="BH51" s="4">
        <f t="shared" si="28"/>
        <v>0.5874405262591601</v>
      </c>
      <c r="BI51" s="23"/>
      <c r="BJ51" s="23"/>
      <c r="BK51" s="23"/>
      <c r="BL51" s="23"/>
      <c r="BM51" s="23"/>
      <c r="BN51" s="23"/>
      <c r="BO51" s="23"/>
      <c r="BP51" s="23"/>
      <c r="BQ51" s="23"/>
      <c r="BR51" s="13">
        <v>2.4461334630023601</v>
      </c>
      <c r="BS51" s="13">
        <v>33.861476080704101</v>
      </c>
      <c r="BT51" s="13">
        <v>40.186478320753061</v>
      </c>
      <c r="BU51" s="13">
        <v>75.760247825558807</v>
      </c>
      <c r="BV51" s="13">
        <v>16.91326565847346</v>
      </c>
      <c r="BW51" s="13">
        <v>5.4513831461195457</v>
      </c>
      <c r="BX51" s="13">
        <v>3.2848077931745983</v>
      </c>
      <c r="BY51" s="13">
        <v>1.5026248415585928</v>
      </c>
      <c r="BZ51" s="13">
        <v>0.59406098387200179</v>
      </c>
      <c r="CA51" s="4"/>
      <c r="CB51" s="4"/>
      <c r="CC51" s="4"/>
      <c r="CD51" s="4"/>
      <c r="CE51" s="4"/>
      <c r="CF51" s="4"/>
      <c r="CG51" s="4"/>
      <c r="CH51" s="4"/>
      <c r="CI51" s="4"/>
      <c r="CJ51" s="23"/>
      <c r="CK51" s="23"/>
      <c r="CL51" s="23"/>
      <c r="CM51" s="23"/>
      <c r="CN51" s="23"/>
      <c r="CO51" s="23"/>
      <c r="CP51" s="23"/>
      <c r="CQ51" s="23"/>
      <c r="CR51" s="23"/>
      <c r="CS51" s="31">
        <f t="shared" si="29"/>
        <v>1999</v>
      </c>
      <c r="CT51" s="1">
        <v>2.6197453885975358E-2</v>
      </c>
      <c r="CU51" s="1">
        <v>0.34768661313711668</v>
      </c>
      <c r="CV51" s="1">
        <v>0.8</v>
      </c>
      <c r="CW51" s="1">
        <v>1</v>
      </c>
      <c r="CX51">
        <f t="shared" si="61"/>
        <v>1</v>
      </c>
      <c r="CY51">
        <f t="shared" si="62"/>
        <v>1</v>
      </c>
      <c r="CZ51">
        <f t="shared" si="63"/>
        <v>1</v>
      </c>
      <c r="DA51">
        <f t="shared" si="64"/>
        <v>1</v>
      </c>
      <c r="DB51">
        <f t="shared" si="65"/>
        <v>1</v>
      </c>
      <c r="DC51" s="11">
        <v>5.3800000000000001E-2</v>
      </c>
      <c r="DD51" s="11">
        <v>8.3199999999999996E-2</v>
      </c>
      <c r="DE51" s="11">
        <v>9.9099999999999994E-2</v>
      </c>
      <c r="DF51" s="11">
        <v>0.1195</v>
      </c>
      <c r="DG51" s="11">
        <v>0.12570000000000001</v>
      </c>
      <c r="DH51" s="11">
        <v>0.14399999999999999</v>
      </c>
      <c r="DI51" s="11">
        <v>0.15210000000000001</v>
      </c>
      <c r="DJ51" s="11">
        <v>0.16339999999999999</v>
      </c>
      <c r="DK51" s="11">
        <v>0.15679999999999999</v>
      </c>
      <c r="DL51" s="10">
        <f t="shared" si="86"/>
        <v>0.10963304212774218</v>
      </c>
      <c r="DN51" s="1">
        <v>70</v>
      </c>
      <c r="DO51" s="1">
        <v>969</v>
      </c>
      <c r="DP51" s="1">
        <v>1150</v>
      </c>
      <c r="DQ51" s="1">
        <v>2168</v>
      </c>
      <c r="DR51" s="1">
        <v>484</v>
      </c>
      <c r="DS51" s="1">
        <v>156</v>
      </c>
      <c r="DT51" s="1">
        <v>94</v>
      </c>
      <c r="DU51" s="1">
        <v>43</v>
      </c>
      <c r="DV51" s="1">
        <v>17</v>
      </c>
      <c r="DW51">
        <f t="shared" si="32"/>
        <v>5151</v>
      </c>
      <c r="DX51" s="19">
        <f t="shared" si="33"/>
        <v>274.6239520161331</v>
      </c>
      <c r="DY51">
        <f t="shared" si="66"/>
        <v>1.2377899093749391E-2</v>
      </c>
      <c r="DZ51">
        <f t="shared" si="34"/>
        <v>8.2610068884833465E-2</v>
      </c>
      <c r="EA51">
        <f t="shared" si="35"/>
        <v>0.18955239502798271</v>
      </c>
      <c r="EB51">
        <f t="shared" si="36"/>
        <v>0.57956465181786943</v>
      </c>
      <c r="EC51">
        <f t="shared" si="37"/>
        <v>8.9909911301545353E-2</v>
      </c>
      <c r="ED51">
        <f t="shared" si="38"/>
        <v>2.8505110524924247E-2</v>
      </c>
      <c r="EE51">
        <f t="shared" si="39"/>
        <v>1.3517022606336972E-2</v>
      </c>
      <c r="EF51">
        <f t="shared" si="40"/>
        <v>3.0647966283696244E-3</v>
      </c>
      <c r="EG51">
        <f t="shared" si="41"/>
        <v>8.9814411438901521E-4</v>
      </c>
      <c r="EH51">
        <f t="shared" si="42"/>
        <v>1.3589594253543001E-2</v>
      </c>
      <c r="EI51">
        <f t="shared" si="43"/>
        <v>0.18811881188118812</v>
      </c>
      <c r="EJ51">
        <f t="shared" si="44"/>
        <v>0.22325761987963502</v>
      </c>
      <c r="EK51">
        <f t="shared" si="45"/>
        <v>0.42088914773830322</v>
      </c>
      <c r="EL51">
        <f t="shared" si="46"/>
        <v>9.3962337410211608E-2</v>
      </c>
      <c r="EM51">
        <f t="shared" si="47"/>
        <v>3.0285381479324403E-2</v>
      </c>
      <c r="EN51">
        <f t="shared" si="48"/>
        <v>1.8248883711900601E-2</v>
      </c>
      <c r="EO51">
        <f t="shared" si="49"/>
        <v>8.3478936128907003E-3</v>
      </c>
      <c r="EP51">
        <f t="shared" si="50"/>
        <v>3.3003300330033004E-3</v>
      </c>
      <c r="EQ51">
        <f t="shared" si="51"/>
        <v>-1.6122789315593444</v>
      </c>
      <c r="ER51">
        <v>100</v>
      </c>
      <c r="ES51">
        <v>0.54285071185017186</v>
      </c>
    </row>
    <row r="52" spans="2:149" x14ac:dyDescent="0.3">
      <c r="C52">
        <f t="shared" si="13"/>
        <v>2.6175986650922623E-2</v>
      </c>
      <c r="D52">
        <v>50</v>
      </c>
      <c r="E52">
        <v>2000</v>
      </c>
      <c r="F52" s="2">
        <v>5.6405900558302084</v>
      </c>
      <c r="G52" s="3">
        <f t="shared" si="67"/>
        <v>281.62884620079927</v>
      </c>
      <c r="H52" s="4">
        <f t="shared" si="52"/>
        <v>80.75067812548285</v>
      </c>
      <c r="I52" s="4">
        <f t="shared" si="53"/>
        <v>36.865720076685619</v>
      </c>
      <c r="J52" s="4">
        <f t="shared" si="54"/>
        <v>31.815919950557596</v>
      </c>
      <c r="K52" s="4">
        <f t="shared" si="55"/>
        <v>62.236362168150805</v>
      </c>
      <c r="L52" s="4">
        <f t="shared" si="56"/>
        <v>7.8399884931413082</v>
      </c>
      <c r="M52" s="4">
        <f t="shared" si="57"/>
        <v>1.8825765651353765</v>
      </c>
      <c r="N52" s="4">
        <f t="shared" si="58"/>
        <v>0.61613429253689345</v>
      </c>
      <c r="O52" s="4">
        <f t="shared" si="59"/>
        <v>8.5173835814366716E-2</v>
      </c>
      <c r="P52" s="22">
        <v>0.95829926896317907</v>
      </c>
      <c r="Q52" s="4"/>
      <c r="R52" s="5">
        <f t="shared" si="15"/>
        <v>20.967684393254711</v>
      </c>
      <c r="S52" s="4">
        <f t="shared" si="16"/>
        <v>-0.49361537120541787</v>
      </c>
      <c r="T52" s="5">
        <v>16.491300417503396</v>
      </c>
      <c r="U52" s="5">
        <f t="shared" si="72"/>
        <v>15.046674283701819</v>
      </c>
      <c r="V52" s="5">
        <v>12.798999999999999</v>
      </c>
      <c r="W52" s="4"/>
      <c r="X52" s="4">
        <f t="shared" si="17"/>
        <v>9.8058483063013735E-2</v>
      </c>
      <c r="Y52" s="23">
        <v>0.70249064129071226</v>
      </c>
      <c r="Z52" s="23">
        <v>2.8251242336799147</v>
      </c>
      <c r="AA52" s="23">
        <v>2.4662980787760258</v>
      </c>
      <c r="AB52" s="23">
        <v>2.5724297583954856</v>
      </c>
      <c r="AC52" s="23">
        <v>4.0835427205963697</v>
      </c>
      <c r="AD52" s="23">
        <v>0.54582006661436633</v>
      </c>
      <c r="AE52" s="23">
        <v>0.19204780121616594</v>
      </c>
      <c r="AF52" s="23">
        <v>0.11118556912514869</v>
      </c>
      <c r="AG52" s="23">
        <v>3.0323337034131464E-2</v>
      </c>
      <c r="AH52" s="23">
        <f t="shared" si="18"/>
        <v>1.6259999999999994</v>
      </c>
      <c r="AI52" s="10">
        <v>4.3857431964374065</v>
      </c>
      <c r="AJ52" s="4">
        <f t="shared" si="73"/>
        <v>4.3857431964374065</v>
      </c>
      <c r="AK52" s="23">
        <f t="shared" si="74"/>
        <v>1.894799231612357</v>
      </c>
      <c r="AL52" s="23">
        <f t="shared" si="75"/>
        <v>7.6200918738942978</v>
      </c>
      <c r="AM52" s="23">
        <f t="shared" si="76"/>
        <v>6.652244784365684</v>
      </c>
      <c r="AN52" s="23">
        <f t="shared" si="77"/>
        <v>6.938509416479782</v>
      </c>
      <c r="AO52" s="23">
        <f t="shared" si="78"/>
        <v>11.014372511818593</v>
      </c>
      <c r="AP52" s="23">
        <f t="shared" si="79"/>
        <v>1.4722181080153565</v>
      </c>
      <c r="AQ52" s="23">
        <f t="shared" si="80"/>
        <v>0.51800266763503278</v>
      </c>
      <c r="AR52" s="23">
        <f t="shared" si="81"/>
        <v>0.29989628126238743</v>
      </c>
      <c r="AS52" s="23">
        <f t="shared" si="82"/>
        <v>8.1789894889742018E-2</v>
      </c>
      <c r="AT52" s="23">
        <f t="shared" si="21"/>
        <v>20.967684393254711</v>
      </c>
      <c r="AU52" s="23">
        <f t="shared" si="83"/>
        <v>23.847271997639254</v>
      </c>
      <c r="AV52" s="4">
        <f t="shared" si="87"/>
        <v>0.37106368139083207</v>
      </c>
      <c r="AW52" s="4">
        <f t="shared" si="87"/>
        <v>0.37106368139083207</v>
      </c>
      <c r="AX52" s="4">
        <f t="shared" si="87"/>
        <v>0.37106368139083207</v>
      </c>
      <c r="AY52" s="4">
        <f t="shared" si="88"/>
        <v>0.49515641167153346</v>
      </c>
      <c r="AZ52" s="4">
        <f t="shared" si="88"/>
        <v>0.66074877255687903</v>
      </c>
      <c r="BA52" s="4">
        <f t="shared" si="88"/>
        <v>0.88171925101726745</v>
      </c>
      <c r="BB52" s="4">
        <f t="shared" si="88"/>
        <v>1.1765876380005351</v>
      </c>
      <c r="BC52" s="4">
        <f t="shared" si="88"/>
        <v>1.5700671934955486</v>
      </c>
      <c r="BD52" s="24">
        <f t="shared" si="24"/>
        <v>1.5700671934955486</v>
      </c>
      <c r="BE52" s="4">
        <f t="shared" si="25"/>
        <v>0.59025824521264036</v>
      </c>
      <c r="BF52" s="4">
        <f t="shared" si="84"/>
        <v>0.20916678800489275</v>
      </c>
      <c r="BG52" s="4">
        <f t="shared" si="85"/>
        <v>0.18390963951229183</v>
      </c>
      <c r="BH52" s="4">
        <f t="shared" si="28"/>
        <v>0.5588202488726175</v>
      </c>
      <c r="BI52" s="23"/>
      <c r="BJ52" s="23"/>
      <c r="BK52" s="23"/>
      <c r="BL52" s="23"/>
      <c r="BM52" s="23"/>
      <c r="BN52" s="23"/>
      <c r="BO52" s="23"/>
      <c r="BP52" s="23"/>
      <c r="BQ52" s="23"/>
      <c r="BR52" s="13">
        <v>5.5296295927920216</v>
      </c>
      <c r="BS52" s="13">
        <v>22.237862894753523</v>
      </c>
      <c r="BT52" s="13">
        <v>19.413375836564793</v>
      </c>
      <c r="BU52" s="13">
        <v>20.248787501662868</v>
      </c>
      <c r="BV52" s="13">
        <v>32.143458352344986</v>
      </c>
      <c r="BW52" s="13">
        <v>4.2964028490758146</v>
      </c>
      <c r="BX52" s="13">
        <v>1.5116972987488979</v>
      </c>
      <c r="BY52" s="13">
        <v>0.87519317295988819</v>
      </c>
      <c r="BZ52" s="13">
        <v>0.23868904717087858</v>
      </c>
      <c r="CA52" s="4"/>
      <c r="CB52" s="4"/>
      <c r="CC52" s="4"/>
      <c r="CD52" s="4"/>
      <c r="CE52" s="4"/>
      <c r="CF52" s="4"/>
      <c r="CG52" s="4"/>
      <c r="CH52" s="4"/>
      <c r="CI52" s="4"/>
      <c r="CJ52" s="23"/>
      <c r="CK52" s="23"/>
      <c r="CL52" s="23"/>
      <c r="CM52" s="23"/>
      <c r="CN52" s="23"/>
      <c r="CO52" s="23"/>
      <c r="CP52" s="23"/>
      <c r="CQ52" s="23"/>
      <c r="CR52" s="23"/>
      <c r="CS52" s="31">
        <f t="shared" si="29"/>
        <v>2000</v>
      </c>
      <c r="CT52" s="1">
        <v>2.6197453885975358E-2</v>
      </c>
      <c r="CU52" s="1">
        <v>0.34768661313711668</v>
      </c>
      <c r="CV52" s="1">
        <v>0.8</v>
      </c>
      <c r="CW52" s="1">
        <v>1</v>
      </c>
      <c r="CX52">
        <f t="shared" si="61"/>
        <v>1</v>
      </c>
      <c r="CY52">
        <f t="shared" si="62"/>
        <v>1</v>
      </c>
      <c r="CZ52">
        <f t="shared" si="63"/>
        <v>1</v>
      </c>
      <c r="DA52">
        <f t="shared" si="64"/>
        <v>1</v>
      </c>
      <c r="DB52">
        <f t="shared" si="65"/>
        <v>1</v>
      </c>
      <c r="DC52" s="11">
        <v>5.7599999999999998E-2</v>
      </c>
      <c r="DD52" s="11">
        <v>8.6400000000000005E-2</v>
      </c>
      <c r="DE52" s="11">
        <v>0.10730000000000001</v>
      </c>
      <c r="DF52" s="11">
        <v>0.13020000000000001</v>
      </c>
      <c r="DG52" s="11">
        <v>0.14680000000000001</v>
      </c>
      <c r="DH52" s="11">
        <v>0.15920000000000001</v>
      </c>
      <c r="DI52" s="11">
        <v>0.16209999999999999</v>
      </c>
      <c r="DJ52" s="11">
        <v>0.17069999999999999</v>
      </c>
      <c r="DK52" s="11">
        <v>0.17849999999999999</v>
      </c>
      <c r="DL52" s="10">
        <f t="shared" si="86"/>
        <v>0.12018393724318269</v>
      </c>
      <c r="DN52" s="1">
        <v>278</v>
      </c>
      <c r="DO52" s="1">
        <v>1118</v>
      </c>
      <c r="DP52" s="1">
        <v>976</v>
      </c>
      <c r="DQ52" s="1">
        <v>1018</v>
      </c>
      <c r="DR52" s="1">
        <v>1616</v>
      </c>
      <c r="DS52" s="1">
        <v>216</v>
      </c>
      <c r="DT52" s="1">
        <v>76</v>
      </c>
      <c r="DU52" s="1">
        <v>44</v>
      </c>
      <c r="DV52" s="1">
        <v>12</v>
      </c>
      <c r="DW52">
        <f t="shared" si="32"/>
        <v>5354</v>
      </c>
      <c r="DX52" s="19">
        <f t="shared" si="33"/>
        <v>169.42261986396531</v>
      </c>
      <c r="DY52">
        <f t="shared" si="66"/>
        <v>4.3547660384604357E-2</v>
      </c>
      <c r="DZ52">
        <f t="shared" si="34"/>
        <v>0.16571535612256277</v>
      </c>
      <c r="EA52">
        <f t="shared" si="35"/>
        <v>0.17407696850059928</v>
      </c>
      <c r="EB52">
        <f t="shared" si="36"/>
        <v>0.18779027249197061</v>
      </c>
      <c r="EC52">
        <f t="shared" si="37"/>
        <v>0.36734387780169092</v>
      </c>
      <c r="ED52">
        <f t="shared" si="38"/>
        <v>4.6274744773963941E-2</v>
      </c>
      <c r="EE52">
        <f t="shared" si="39"/>
        <v>1.111171912373304E-2</v>
      </c>
      <c r="EF52">
        <f t="shared" si="40"/>
        <v>3.6366707883020983E-3</v>
      </c>
      <c r="EG52">
        <f t="shared" si="41"/>
        <v>5.0273001257302851E-4</v>
      </c>
      <c r="EH52">
        <f t="shared" si="42"/>
        <v>5.1923795293238699E-2</v>
      </c>
      <c r="EI52">
        <f t="shared" si="43"/>
        <v>0.20881583862532685</v>
      </c>
      <c r="EJ52">
        <f t="shared" si="44"/>
        <v>0.18229361225252147</v>
      </c>
      <c r="EK52">
        <f t="shared" si="45"/>
        <v>0.1901382144191259</v>
      </c>
      <c r="EL52">
        <f t="shared" si="46"/>
        <v>0.30183040717220772</v>
      </c>
      <c r="EM52">
        <f t="shared" si="47"/>
        <v>4.0343668285394096E-2</v>
      </c>
      <c r="EN52">
        <f t="shared" si="48"/>
        <v>1.4194994396712738E-2</v>
      </c>
      <c r="EO52">
        <f t="shared" si="49"/>
        <v>8.2181546507284278E-3</v>
      </c>
      <c r="EP52">
        <f t="shared" si="50"/>
        <v>2.2413149047441168E-3</v>
      </c>
      <c r="EQ52">
        <f t="shared" si="51"/>
        <v>-1.7266882928078775</v>
      </c>
      <c r="ER52">
        <v>100</v>
      </c>
      <c r="ES52">
        <v>0.59494093613117272</v>
      </c>
    </row>
    <row r="53" spans="2:149" x14ac:dyDescent="0.3">
      <c r="C53">
        <f t="shared" si="13"/>
        <v>2.3699231617068076E-3</v>
      </c>
      <c r="D53">
        <v>51</v>
      </c>
      <c r="E53">
        <v>2001</v>
      </c>
      <c r="F53" s="2">
        <v>5.9347849400663506</v>
      </c>
      <c r="G53" s="3">
        <f t="shared" si="67"/>
        <v>377.95870365684488</v>
      </c>
      <c r="H53" s="4">
        <f t="shared" si="52"/>
        <v>195.76855268375346</v>
      </c>
      <c r="I53" s="4">
        <f t="shared" si="53"/>
        <v>50.682636925025264</v>
      </c>
      <c r="J53" s="4">
        <f t="shared" si="54"/>
        <v>19.823643054830697</v>
      </c>
      <c r="K53" s="4">
        <f t="shared" si="55"/>
        <v>14.11989754255222</v>
      </c>
      <c r="L53" s="4">
        <f t="shared" si="56"/>
        <v>23.567545508693673</v>
      </c>
      <c r="M53" s="4">
        <f t="shared" si="57"/>
        <v>2.4022664940891096</v>
      </c>
      <c r="N53" s="4">
        <f t="shared" si="58"/>
        <v>0.43484940198494781</v>
      </c>
      <c r="O53" s="4">
        <f t="shared" si="59"/>
        <v>9.7611656210212089E-2</v>
      </c>
      <c r="P53" s="22">
        <v>0.86191430861140517</v>
      </c>
      <c r="Q53" s="4"/>
      <c r="R53" s="5">
        <f t="shared" si="15"/>
        <v>19.625038381363066</v>
      </c>
      <c r="S53" s="4">
        <f t="shared" si="16"/>
        <v>-0.38050728172725956</v>
      </c>
      <c r="T53" s="5">
        <v>14.768917550746544</v>
      </c>
      <c r="U53" s="5">
        <f t="shared" si="72"/>
        <v>14.083174602938602</v>
      </c>
      <c r="V53" s="5">
        <v>13.414</v>
      </c>
      <c r="W53" s="4"/>
      <c r="X53" s="4">
        <f t="shared" si="17"/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f t="shared" si="18"/>
        <v>0</v>
      </c>
      <c r="AI53" s="10">
        <v>4.6781260761999004</v>
      </c>
      <c r="AJ53" s="4">
        <f t="shared" si="73"/>
        <v>4.6781260761999004</v>
      </c>
      <c r="AK53" s="23">
        <f t="shared" si="74"/>
        <v>3.11621493690784</v>
      </c>
      <c r="AL53" s="23">
        <f t="shared" si="75"/>
        <v>20.28372631660012</v>
      </c>
      <c r="AM53" s="23">
        <f t="shared" si="76"/>
        <v>8.9709217880680239</v>
      </c>
      <c r="AN53" s="23">
        <f t="shared" si="77"/>
        <v>3.7205717731566335</v>
      </c>
      <c r="AO53" s="23">
        <f t="shared" si="78"/>
        <v>3.3617349016339118</v>
      </c>
      <c r="AP53" s="23">
        <f t="shared" si="79"/>
        <v>4.1927255514760029</v>
      </c>
      <c r="AQ53" s="23">
        <f t="shared" si="80"/>
        <v>0.58547068511601841</v>
      </c>
      <c r="AR53" s="23">
        <f t="shared" si="81"/>
        <v>9.4430755663873947E-2</v>
      </c>
      <c r="AS53" s="23">
        <f t="shared" si="82"/>
        <v>9.4430755663873947E-2</v>
      </c>
      <c r="AT53" s="23">
        <f t="shared" si="21"/>
        <v>19.625038381363066</v>
      </c>
      <c r="AU53" s="23">
        <f t="shared" si="83"/>
        <v>23.370663254051422</v>
      </c>
      <c r="AV53" s="4">
        <f t="shared" si="87"/>
        <v>0.37106368139083207</v>
      </c>
      <c r="AW53" s="4">
        <f t="shared" si="87"/>
        <v>0.37106368139083207</v>
      </c>
      <c r="AX53" s="4">
        <f t="shared" si="87"/>
        <v>0.37106368139083207</v>
      </c>
      <c r="AY53" s="4">
        <f t="shared" ref="AY53:BC62" si="89">AX53*EXP(tanasMsl)</f>
        <v>0.49515641167153346</v>
      </c>
      <c r="AZ53" s="4">
        <f t="shared" si="89"/>
        <v>0.66074877255687903</v>
      </c>
      <c r="BA53" s="4">
        <f t="shared" si="89"/>
        <v>0.88171925101726745</v>
      </c>
      <c r="BB53" s="4">
        <f t="shared" si="89"/>
        <v>1.1765876380005351</v>
      </c>
      <c r="BC53" s="4">
        <f t="shared" si="89"/>
        <v>1.5700671934955486</v>
      </c>
      <c r="BD53" s="24">
        <f t="shared" si="24"/>
        <v>1.5700671934955486</v>
      </c>
      <c r="BE53" s="4">
        <f t="shared" si="25"/>
        <v>0.59212657206782915</v>
      </c>
      <c r="BF53" s="4">
        <f t="shared" si="84"/>
        <v>0.23837538481669859</v>
      </c>
      <c r="BG53" s="4">
        <f t="shared" si="85"/>
        <v>0.20017087342991532</v>
      </c>
      <c r="BH53" s="4">
        <f t="shared" si="28"/>
        <v>0.54318226231236011</v>
      </c>
      <c r="BI53" s="23"/>
      <c r="BJ53" s="23"/>
      <c r="BK53" s="23"/>
      <c r="BL53" s="23"/>
      <c r="BM53" s="23"/>
      <c r="BN53" s="23"/>
      <c r="BO53" s="23"/>
      <c r="BP53" s="23"/>
      <c r="BQ53" s="23"/>
      <c r="BR53" s="13">
        <v>8.9353956013167455</v>
      </c>
      <c r="BS53" s="13">
        <v>58.161302277661726</v>
      </c>
      <c r="BT53" s="13">
        <v>25.723108549245179</v>
      </c>
      <c r="BU53" s="13">
        <v>10.668320808844843</v>
      </c>
      <c r="BV53" s="13">
        <v>9.639396466875036</v>
      </c>
      <c r="BW53" s="13">
        <v>12.022168627226169</v>
      </c>
      <c r="BX53" s="13">
        <v>1.6787712947928433</v>
      </c>
      <c r="BY53" s="13">
        <v>0.27076956367626503</v>
      </c>
      <c r="BZ53" s="13">
        <v>0.27076956367626503</v>
      </c>
      <c r="CA53" s="4"/>
      <c r="CB53" s="4"/>
      <c r="CC53" s="4"/>
      <c r="CD53" s="4"/>
      <c r="CE53" s="4"/>
      <c r="CF53" s="4"/>
      <c r="CG53" s="4"/>
      <c r="CH53" s="4"/>
      <c r="CI53" s="4"/>
      <c r="CJ53" s="23"/>
      <c r="CK53" s="23"/>
      <c r="CL53" s="23"/>
      <c r="CM53" s="23"/>
      <c r="CN53" s="23"/>
      <c r="CO53" s="23"/>
      <c r="CP53" s="23"/>
      <c r="CQ53" s="23"/>
      <c r="CR53" s="23"/>
      <c r="CS53" s="31">
        <f t="shared" si="29"/>
        <v>2001</v>
      </c>
      <c r="CT53" s="1">
        <v>2.6197453885975358E-2</v>
      </c>
      <c r="CU53" s="1">
        <v>0.34768661313711668</v>
      </c>
      <c r="CV53" s="1">
        <v>0.8</v>
      </c>
      <c r="CW53" s="1">
        <v>1</v>
      </c>
      <c r="CX53">
        <f t="shared" si="61"/>
        <v>1</v>
      </c>
      <c r="CY53">
        <f t="shared" si="62"/>
        <v>1</v>
      </c>
      <c r="CZ53">
        <f t="shared" si="63"/>
        <v>1</v>
      </c>
      <c r="DA53">
        <f t="shared" si="64"/>
        <v>1</v>
      </c>
      <c r="DB53">
        <f t="shared" si="65"/>
        <v>1</v>
      </c>
      <c r="DC53" s="11">
        <v>6.59E-2</v>
      </c>
      <c r="DD53" s="11">
        <v>8.8499999999999995E-2</v>
      </c>
      <c r="DE53" s="11">
        <v>0.1074</v>
      </c>
      <c r="DF53" s="11">
        <v>0.1242</v>
      </c>
      <c r="DG53" s="11">
        <v>0.14080000000000001</v>
      </c>
      <c r="DH53" s="11">
        <v>0.15640000000000001</v>
      </c>
      <c r="DI53" s="11">
        <v>0.15629999999999999</v>
      </c>
      <c r="DJ53" s="11">
        <v>0.14779999999999999</v>
      </c>
      <c r="DK53" s="11">
        <v>0.18579999999999999</v>
      </c>
      <c r="DL53" s="10">
        <f t="shared" si="86"/>
        <v>0.10531522108843537</v>
      </c>
      <c r="DN53" s="1">
        <v>165</v>
      </c>
      <c r="DO53" s="1">
        <v>1074</v>
      </c>
      <c r="DP53" s="1">
        <v>475</v>
      </c>
      <c r="DQ53" s="1">
        <v>197</v>
      </c>
      <c r="DR53" s="1">
        <v>178</v>
      </c>
      <c r="DS53" s="1">
        <v>222</v>
      </c>
      <c r="DT53" s="1">
        <v>31</v>
      </c>
      <c r="DU53" s="1">
        <v>5</v>
      </c>
      <c r="DV53" s="1">
        <v>5</v>
      </c>
      <c r="DW53">
        <f t="shared" si="32"/>
        <v>2352</v>
      </c>
      <c r="DX53" s="19">
        <f t="shared" si="33"/>
        <v>178.95958394960371</v>
      </c>
      <c r="DY53">
        <f t="shared" si="66"/>
        <v>5.532844618504236E-2</v>
      </c>
      <c r="DZ53">
        <f t="shared" si="34"/>
        <v>0.3803434470463305</v>
      </c>
      <c r="EA53">
        <f t="shared" si="35"/>
        <v>0.22656573425784385</v>
      </c>
      <c r="EB53">
        <f t="shared" si="36"/>
        <v>0.11077162014644142</v>
      </c>
      <c r="EC53">
        <f t="shared" si="37"/>
        <v>7.8899923831564578E-2</v>
      </c>
      <c r="ED53">
        <f t="shared" si="38"/>
        <v>0.13169199988378638</v>
      </c>
      <c r="EE53">
        <f t="shared" si="39"/>
        <v>1.3423514075477538E-2</v>
      </c>
      <c r="EF53">
        <f t="shared" si="40"/>
        <v>2.4298749046455345E-3</v>
      </c>
      <c r="EG53">
        <f t="shared" si="41"/>
        <v>5.4543966886791721E-4</v>
      </c>
      <c r="EH53">
        <f t="shared" si="42"/>
        <v>7.0153061224489791E-2</v>
      </c>
      <c r="EI53">
        <f t="shared" si="43"/>
        <v>0.45663265306122447</v>
      </c>
      <c r="EJ53">
        <f t="shared" si="44"/>
        <v>0.20195578231292516</v>
      </c>
      <c r="EK53">
        <f t="shared" si="45"/>
        <v>8.375850340136054E-2</v>
      </c>
      <c r="EL53">
        <f t="shared" si="46"/>
        <v>7.5680272108843538E-2</v>
      </c>
      <c r="EM53">
        <f t="shared" si="47"/>
        <v>9.438775510204081E-2</v>
      </c>
      <c r="EN53">
        <f t="shared" si="48"/>
        <v>1.3180272108843538E-2</v>
      </c>
      <c r="EO53">
        <f t="shared" si="49"/>
        <v>2.1258503401360546E-3</v>
      </c>
      <c r="EP53">
        <f t="shared" si="50"/>
        <v>2.1258503401360546E-3</v>
      </c>
      <c r="EQ53">
        <f t="shared" si="51"/>
        <v>-1.5966285149289314</v>
      </c>
      <c r="ER53">
        <v>100</v>
      </c>
      <c r="ES53">
        <v>0.58209753834315636</v>
      </c>
    </row>
    <row r="54" spans="2:149" x14ac:dyDescent="0.3">
      <c r="C54">
        <f t="shared" si="13"/>
        <v>9.4747599385995741E-3</v>
      </c>
      <c r="D54">
        <v>52</v>
      </c>
      <c r="E54">
        <v>2002</v>
      </c>
      <c r="F54" s="2">
        <v>5.6638955748060074</v>
      </c>
      <c r="G54" s="3">
        <f t="shared" si="67"/>
        <v>288.26943321812803</v>
      </c>
      <c r="H54" s="4">
        <f t="shared" si="52"/>
        <v>272.78813592661004</v>
      </c>
      <c r="I54" s="4">
        <f t="shared" si="53"/>
        <v>130.39797676227303</v>
      </c>
      <c r="J54" s="4">
        <f t="shared" si="54"/>
        <v>29.789986266299941</v>
      </c>
      <c r="K54" s="4">
        <f t="shared" si="55"/>
        <v>9.8531524249629179</v>
      </c>
      <c r="L54" s="4">
        <f t="shared" si="56"/>
        <v>6.0846832978100043</v>
      </c>
      <c r="M54" s="4">
        <f t="shared" si="57"/>
        <v>8.3947176846708427</v>
      </c>
      <c r="N54" s="4">
        <f t="shared" si="58"/>
        <v>0.66364591522209981</v>
      </c>
      <c r="O54" s="4">
        <f t="shared" si="59"/>
        <v>8.5578571048308238E-2</v>
      </c>
      <c r="P54" s="22">
        <v>1.0230386138998224</v>
      </c>
      <c r="Q54" s="4"/>
      <c r="R54" s="5">
        <f t="shared" si="15"/>
        <v>26.855412955817741</v>
      </c>
      <c r="S54" s="4">
        <f t="shared" si="16"/>
        <v>-0.23448704658124406</v>
      </c>
      <c r="T54" s="5">
        <v>16.004541910176645</v>
      </c>
      <c r="U54" s="5">
        <f t="shared" si="72"/>
        <v>19.271782421071219</v>
      </c>
      <c r="V54" s="5">
        <v>21.242000000000001</v>
      </c>
      <c r="W54" s="4"/>
      <c r="X54" s="4">
        <f t="shared" si="17"/>
        <v>3.7798245615837556E-2</v>
      </c>
      <c r="Y54" s="23">
        <v>0.54259925314659541</v>
      </c>
      <c r="Z54" s="23">
        <v>3.9249978583593395</v>
      </c>
      <c r="AA54" s="23">
        <v>1.7560753002652043</v>
      </c>
      <c r="AB54" s="23">
        <v>0.77408860842924609</v>
      </c>
      <c r="AC54" s="23">
        <v>0.32732889727865266</v>
      </c>
      <c r="AD54" s="23">
        <v>0.39367934942973087</v>
      </c>
      <c r="AE54" s="23">
        <v>0.37008807755379197</v>
      </c>
      <c r="AF54" s="23">
        <v>3.9810271290646945E-2</v>
      </c>
      <c r="AG54" s="23">
        <v>4.4233634767385493E-3</v>
      </c>
      <c r="AH54" s="23">
        <f t="shared" si="18"/>
        <v>0.82099999999999995</v>
      </c>
      <c r="AI54" s="10">
        <v>5.1348281343889157</v>
      </c>
      <c r="AJ54" s="4">
        <f t="shared" si="73"/>
        <v>5.1348281343889157</v>
      </c>
      <c r="AK54" s="23">
        <f t="shared" si="74"/>
        <v>3.3936101227229618</v>
      </c>
      <c r="AL54" s="23">
        <f t="shared" si="75"/>
        <v>24.548342789914468</v>
      </c>
      <c r="AM54" s="23">
        <f t="shared" si="76"/>
        <v>10.983124065660455</v>
      </c>
      <c r="AN54" s="23">
        <f t="shared" si="77"/>
        <v>4.8414274848629208</v>
      </c>
      <c r="AO54" s="23">
        <f t="shared" si="78"/>
        <v>2.0472321935991782</v>
      </c>
      <c r="AP54" s="23">
        <f t="shared" si="79"/>
        <v>2.4622116923017141</v>
      </c>
      <c r="AQ54" s="23">
        <f t="shared" si="80"/>
        <v>2.3146634260963683</v>
      </c>
      <c r="AR54" s="23">
        <f t="shared" si="81"/>
        <v>0.24898769922152164</v>
      </c>
      <c r="AS54" s="23">
        <f t="shared" si="82"/>
        <v>2.7665299913502406E-2</v>
      </c>
      <c r="AT54" s="23">
        <f t="shared" si="21"/>
        <v>26.855412955817741</v>
      </c>
      <c r="AU54" s="23">
        <f t="shared" si="83"/>
        <v>35.556758112912995</v>
      </c>
      <c r="AV54" s="4">
        <f t="shared" si="87"/>
        <v>0.37106368139083207</v>
      </c>
      <c r="AW54" s="4">
        <f t="shared" si="87"/>
        <v>0.37106368139083207</v>
      </c>
      <c r="AX54" s="4">
        <f t="shared" si="87"/>
        <v>0.37106368139083207</v>
      </c>
      <c r="AY54" s="4">
        <f t="shared" si="89"/>
        <v>0.49515641167153346</v>
      </c>
      <c r="AZ54" s="4">
        <f t="shared" si="89"/>
        <v>0.66074877255687903</v>
      </c>
      <c r="BA54" s="4">
        <f t="shared" si="89"/>
        <v>0.88171925101726745</v>
      </c>
      <c r="BB54" s="4">
        <f t="shared" si="89"/>
        <v>1.1765876380005351</v>
      </c>
      <c r="BC54" s="4">
        <f t="shared" si="89"/>
        <v>1.5700671934955486</v>
      </c>
      <c r="BD54" s="24">
        <f t="shared" si="24"/>
        <v>1.5700671934955486</v>
      </c>
      <c r="BE54" s="4">
        <f t="shared" si="25"/>
        <v>0.59181945457583529</v>
      </c>
      <c r="BF54" s="4">
        <f t="shared" si="84"/>
        <v>0.19120272485985168</v>
      </c>
      <c r="BG54" s="4">
        <f t="shared" si="85"/>
        <v>0.1444121569824478</v>
      </c>
      <c r="BH54" s="4">
        <f t="shared" si="28"/>
        <v>0.53557898487536204</v>
      </c>
      <c r="BI54" s="23"/>
      <c r="BJ54" s="23"/>
      <c r="BK54" s="23"/>
      <c r="BL54" s="23"/>
      <c r="BM54" s="23"/>
      <c r="BN54" s="23"/>
      <c r="BO54" s="23"/>
      <c r="BP54" s="23"/>
      <c r="BQ54" s="23"/>
      <c r="BR54" s="13">
        <v>14.038846937076711</v>
      </c>
      <c r="BS54" s="13">
        <v>101.55274605026688</v>
      </c>
      <c r="BT54" s="13">
        <v>45.435507342549904</v>
      </c>
      <c r="BU54" s="13">
        <v>20.028246309688246</v>
      </c>
      <c r="BV54" s="13">
        <v>8.4690870109538867</v>
      </c>
      <c r="BW54" s="13">
        <v>10.185793837498593</v>
      </c>
      <c r="BX54" s="13">
        <v>9.5754091880604744</v>
      </c>
      <c r="BY54" s="13">
        <v>1.0300240959268241</v>
      </c>
      <c r="BZ54" s="13">
        <v>0.11444712176964711</v>
      </c>
      <c r="CA54" s="4"/>
      <c r="CB54" s="4"/>
      <c r="CC54" s="4"/>
      <c r="CD54" s="4"/>
      <c r="CE54" s="4"/>
      <c r="CF54" s="4"/>
      <c r="CG54" s="4"/>
      <c r="CH54" s="4"/>
      <c r="CI54" s="4"/>
      <c r="CJ54" s="23"/>
      <c r="CK54" s="23"/>
      <c r="CL54" s="23"/>
      <c r="CM54" s="23"/>
      <c r="CN54" s="23"/>
      <c r="CO54" s="23"/>
      <c r="CP54" s="23"/>
      <c r="CQ54" s="23"/>
      <c r="CR54" s="23"/>
      <c r="CS54" s="31">
        <f t="shared" si="29"/>
        <v>2002</v>
      </c>
      <c r="CT54" s="1">
        <v>2.6197453885975358E-2</v>
      </c>
      <c r="CU54" s="1">
        <v>0.34768661313711668</v>
      </c>
      <c r="CV54" s="1">
        <v>0.8</v>
      </c>
      <c r="CW54" s="1">
        <v>1</v>
      </c>
      <c r="CX54">
        <f t="shared" si="61"/>
        <v>1</v>
      </c>
      <c r="CY54">
        <f t="shared" si="62"/>
        <v>1</v>
      </c>
      <c r="CZ54">
        <f t="shared" si="63"/>
        <v>1</v>
      </c>
      <c r="DA54">
        <f t="shared" si="64"/>
        <v>1</v>
      </c>
      <c r="DB54">
        <f t="shared" si="65"/>
        <v>1</v>
      </c>
      <c r="DC54" s="11">
        <v>6.1800000000000001E-2</v>
      </c>
      <c r="DD54" s="11">
        <v>8.3900000000000002E-2</v>
      </c>
      <c r="DE54" s="11">
        <v>0.1032</v>
      </c>
      <c r="DF54" s="11">
        <v>0.1249</v>
      </c>
      <c r="DG54" s="11">
        <v>0.14399999999999999</v>
      </c>
      <c r="DH54" s="11">
        <v>0.15659999999999999</v>
      </c>
      <c r="DI54" s="11">
        <v>0.1704</v>
      </c>
      <c r="DJ54" s="11">
        <v>0.18679999999999999</v>
      </c>
      <c r="DK54" s="11">
        <v>0.218</v>
      </c>
      <c r="DL54" s="10">
        <f t="shared" si="86"/>
        <v>0.10094563089195069</v>
      </c>
      <c r="DN54" s="1">
        <v>368</v>
      </c>
      <c r="DO54" s="1">
        <v>2662</v>
      </c>
      <c r="DP54" s="1">
        <v>1191</v>
      </c>
      <c r="DQ54" s="1">
        <v>525</v>
      </c>
      <c r="DR54" s="1">
        <v>222</v>
      </c>
      <c r="DS54" s="1">
        <v>267</v>
      </c>
      <c r="DT54" s="1">
        <v>251</v>
      </c>
      <c r="DU54" s="1">
        <v>27</v>
      </c>
      <c r="DV54" s="1">
        <v>3</v>
      </c>
      <c r="DW54">
        <f t="shared" si="32"/>
        <v>5516</v>
      </c>
      <c r="DX54" s="19">
        <f t="shared" si="33"/>
        <v>261.58685383761122</v>
      </c>
      <c r="DY54">
        <f t="shared" si="66"/>
        <v>2.8869666318003397E-2</v>
      </c>
      <c r="DZ54">
        <f t="shared" si="34"/>
        <v>0.36257473069800572</v>
      </c>
      <c r="EA54">
        <f t="shared" si="35"/>
        <v>0.39879061152888651</v>
      </c>
      <c r="EB54">
        <f t="shared" si="36"/>
        <v>0.11388181718334008</v>
      </c>
      <c r="EC54">
        <f t="shared" si="37"/>
        <v>3.7666848621833234E-2</v>
      </c>
      <c r="ED54">
        <f t="shared" si="38"/>
        <v>2.3260661644668407E-2</v>
      </c>
      <c r="EE54">
        <f t="shared" si="39"/>
        <v>3.2091512098242306E-2</v>
      </c>
      <c r="EF54">
        <f t="shared" si="40"/>
        <v>2.5370002562670074E-3</v>
      </c>
      <c r="EG54">
        <f t="shared" si="41"/>
        <v>3.2715165075319111E-4</v>
      </c>
      <c r="EH54">
        <f t="shared" si="42"/>
        <v>6.6715010877447425E-2</v>
      </c>
      <c r="EI54">
        <f t="shared" si="43"/>
        <v>0.48259608411892674</v>
      </c>
      <c r="EJ54">
        <f t="shared" si="44"/>
        <v>0.2159173313995649</v>
      </c>
      <c r="EK54">
        <f t="shared" si="45"/>
        <v>9.5177664974619283E-2</v>
      </c>
      <c r="EL54">
        <f t="shared" si="46"/>
        <v>4.024655547498187E-2</v>
      </c>
      <c r="EM54">
        <f t="shared" si="47"/>
        <v>4.8404641044234954E-2</v>
      </c>
      <c r="EN54">
        <f t="shared" si="48"/>
        <v>4.5503988397389415E-2</v>
      </c>
      <c r="EO54">
        <f t="shared" si="49"/>
        <v>4.8948513415518488E-3</v>
      </c>
      <c r="EP54">
        <f t="shared" si="50"/>
        <v>5.4387237128353878E-4</v>
      </c>
      <c r="EQ54">
        <f t="shared" si="51"/>
        <v>-1.6342281504540177</v>
      </c>
      <c r="ER54">
        <v>100</v>
      </c>
      <c r="ES54">
        <v>0.53625322617637439</v>
      </c>
    </row>
    <row r="55" spans="2:149" x14ac:dyDescent="0.3">
      <c r="C55">
        <f t="shared" si="13"/>
        <v>8.3187597011876641E-2</v>
      </c>
      <c r="D55">
        <v>53</v>
      </c>
      <c r="E55">
        <v>2003</v>
      </c>
      <c r="F55" s="2">
        <v>4.6857413532734977</v>
      </c>
      <c r="G55" s="3">
        <f t="shared" si="67"/>
        <v>108.39059825438552</v>
      </c>
      <c r="H55" s="4">
        <f t="shared" si="52"/>
        <v>196.03060213007606</v>
      </c>
      <c r="I55" s="4">
        <f t="shared" si="53"/>
        <v>171.9257118517246</v>
      </c>
      <c r="J55" s="4">
        <f t="shared" si="54"/>
        <v>73.27822606736045</v>
      </c>
      <c r="K55" s="4">
        <f t="shared" si="55"/>
        <v>13.969411828840917</v>
      </c>
      <c r="L55" s="4">
        <f t="shared" si="56"/>
        <v>3.9004106091905357</v>
      </c>
      <c r="M55" s="4">
        <f t="shared" si="57"/>
        <v>1.9213032495642655</v>
      </c>
      <c r="N55" s="4">
        <f t="shared" si="58"/>
        <v>1.9604420194747296</v>
      </c>
      <c r="O55" s="4">
        <f t="shared" si="59"/>
        <v>0.10362423955131718</v>
      </c>
      <c r="P55" s="22">
        <v>1.4226208588041873</v>
      </c>
      <c r="Q55" s="4"/>
      <c r="R55" s="5">
        <f t="shared" si="15"/>
        <v>32.789723902773325</v>
      </c>
      <c r="S55" s="4">
        <f t="shared" si="16"/>
        <v>-4.3402823707045853E-2</v>
      </c>
      <c r="T55" s="5">
        <v>16.659319006838707</v>
      </c>
      <c r="U55" s="5">
        <f t="shared" si="72"/>
        <v>23.530318663908403</v>
      </c>
      <c r="V55" s="5">
        <v>31.396999999999998</v>
      </c>
      <c r="W55" s="4"/>
      <c r="X55" s="4">
        <f t="shared" si="17"/>
        <v>0.12772991790104685</v>
      </c>
      <c r="Y55" s="23">
        <v>0.52393669657055997</v>
      </c>
      <c r="Z55" s="23">
        <v>12.039628673277658</v>
      </c>
      <c r="AA55" s="23">
        <v>11.684879868308009</v>
      </c>
      <c r="AB55" s="23">
        <v>4.9555679217298785</v>
      </c>
      <c r="AC55" s="23">
        <v>1.5117756765629697</v>
      </c>
      <c r="AD55" s="23">
        <v>0.75861667524278975</v>
      </c>
      <c r="AE55" s="23">
        <v>0.79136271877844977</v>
      </c>
      <c r="AF55" s="23">
        <v>0.49119065303489989</v>
      </c>
      <c r="AG55" s="23">
        <v>4.3661391380879988E-2</v>
      </c>
      <c r="AH55" s="23">
        <f t="shared" si="18"/>
        <v>3.5160000000000005</v>
      </c>
      <c r="AI55" s="10">
        <v>5.2628918357248882</v>
      </c>
      <c r="AJ55" s="4">
        <f t="shared" si="73"/>
        <v>5.2628918357248882</v>
      </c>
      <c r="AK55" s="23">
        <f t="shared" si="74"/>
        <v>0.78424976189359141</v>
      </c>
      <c r="AL55" s="23">
        <f t="shared" si="75"/>
        <v>18.021405986846489</v>
      </c>
      <c r="AM55" s="23">
        <f t="shared" si="76"/>
        <v>17.490403543897699</v>
      </c>
      <c r="AN55" s="23">
        <f t="shared" si="77"/>
        <v>7.4176956645768861</v>
      </c>
      <c r="AO55" s="23">
        <f t="shared" si="78"/>
        <v>2.2628873337971336</v>
      </c>
      <c r="AP55" s="23">
        <f t="shared" si="79"/>
        <v>1.1355283010750958</v>
      </c>
      <c r="AQ55" s="23">
        <f t="shared" si="80"/>
        <v>1.1845439111934455</v>
      </c>
      <c r="AR55" s="23">
        <f t="shared" si="81"/>
        <v>0.73523415177524198</v>
      </c>
      <c r="AS55" s="23">
        <f t="shared" si="82"/>
        <v>6.5354146824465956E-2</v>
      </c>
      <c r="AT55" s="23">
        <f t="shared" si="21"/>
        <v>32.789723902773325</v>
      </c>
      <c r="AU55" s="23">
        <f t="shared" si="83"/>
        <v>52.530911350634995</v>
      </c>
      <c r="AV55" s="4">
        <f t="shared" si="87"/>
        <v>0.37106368139083207</v>
      </c>
      <c r="AW55" s="4">
        <f t="shared" si="87"/>
        <v>0.37106368139083207</v>
      </c>
      <c r="AX55" s="4">
        <f t="shared" si="87"/>
        <v>0.37106368139083207</v>
      </c>
      <c r="AY55" s="4">
        <f t="shared" si="89"/>
        <v>0.49515641167153346</v>
      </c>
      <c r="AZ55" s="4">
        <f t="shared" si="89"/>
        <v>0.66074877255687903</v>
      </c>
      <c r="BA55" s="4">
        <f t="shared" si="89"/>
        <v>0.88171925101726745</v>
      </c>
      <c r="BB55" s="4">
        <f t="shared" si="89"/>
        <v>1.1765876380005351</v>
      </c>
      <c r="BC55" s="4">
        <f t="shared" si="89"/>
        <v>1.5700671934955486</v>
      </c>
      <c r="BD55" s="24">
        <f t="shared" si="24"/>
        <v>1.5700671934955486</v>
      </c>
      <c r="BE55" s="4">
        <f t="shared" si="25"/>
        <v>0.7028368632424089</v>
      </c>
      <c r="BF55" s="4">
        <f t="shared" si="84"/>
        <v>0.16050430468186277</v>
      </c>
      <c r="BG55" s="4">
        <f t="shared" si="85"/>
        <v>0.10018657016239392</v>
      </c>
      <c r="BH55" s="4">
        <f t="shared" si="28"/>
        <v>0.63345077041918518</v>
      </c>
      <c r="BI55" s="23"/>
      <c r="BJ55" s="23"/>
      <c r="BK55" s="23"/>
      <c r="BL55" s="23"/>
      <c r="BM55" s="23"/>
      <c r="BN55" s="23"/>
      <c r="BO55" s="23"/>
      <c r="BP55" s="23"/>
      <c r="BQ55" s="23"/>
      <c r="BR55" s="13">
        <v>4.6786235671859693</v>
      </c>
      <c r="BS55" s="13">
        <v>107.51087072096091</v>
      </c>
      <c r="BT55" s="13">
        <v>104.34305268067875</v>
      </c>
      <c r="BU55" s="13">
        <v>44.251981239633963</v>
      </c>
      <c r="BV55" s="13">
        <v>13.499778417817849</v>
      </c>
      <c r="BW55" s="13">
        <v>6.7742570399880186</v>
      </c>
      <c r="BX55" s="13">
        <v>7.0666710129371406</v>
      </c>
      <c r="BY55" s="13">
        <v>4.3862095942368464</v>
      </c>
      <c r="BZ55" s="13">
        <v>0.38988529726549742</v>
      </c>
      <c r="CA55" s="4"/>
      <c r="CB55" s="4"/>
      <c r="CC55" s="4"/>
      <c r="CD55" s="4"/>
      <c r="CE55" s="4"/>
      <c r="CF55" s="4"/>
      <c r="CG55" s="4"/>
      <c r="CH55" s="4"/>
      <c r="CI55" s="4"/>
      <c r="CJ55" s="23"/>
      <c r="CK55" s="23"/>
      <c r="CL55" s="23"/>
      <c r="CM55" s="23"/>
      <c r="CN55" s="23"/>
      <c r="CO55" s="23"/>
      <c r="CP55" s="23"/>
      <c r="CQ55" s="23"/>
      <c r="CR55" s="23"/>
      <c r="CS55" s="31">
        <f t="shared" si="29"/>
        <v>2003</v>
      </c>
      <c r="CT55" s="1">
        <v>2.6197453885975358E-2</v>
      </c>
      <c r="CU55" s="1">
        <v>0.34768661313711668</v>
      </c>
      <c r="CV55" s="1">
        <v>0.8</v>
      </c>
      <c r="CW55" s="1">
        <v>1</v>
      </c>
      <c r="CX55">
        <f t="shared" si="61"/>
        <v>1</v>
      </c>
      <c r="CY55">
        <f t="shared" si="62"/>
        <v>1</v>
      </c>
      <c r="CZ55">
        <f t="shared" si="63"/>
        <v>1</v>
      </c>
      <c r="DA55">
        <f t="shared" si="64"/>
        <v>1</v>
      </c>
      <c r="DB55">
        <f t="shared" si="65"/>
        <v>1</v>
      </c>
      <c r="DC55" s="11">
        <v>6.0900000000000003E-2</v>
      </c>
      <c r="DD55" s="11">
        <v>9.3399999999999997E-2</v>
      </c>
      <c r="DE55" s="11">
        <v>0.1031</v>
      </c>
      <c r="DF55" s="11">
        <v>0.1207</v>
      </c>
      <c r="DG55" s="11">
        <v>0.13869999999999999</v>
      </c>
      <c r="DH55" s="11">
        <v>0.15440000000000001</v>
      </c>
      <c r="DI55" s="11">
        <v>0.17630000000000001</v>
      </c>
      <c r="DJ55" s="11">
        <v>0.16700000000000001</v>
      </c>
      <c r="DK55" s="11">
        <v>0.192</v>
      </c>
      <c r="DL55" s="10">
        <f t="shared" si="86"/>
        <v>0.1071930948419301</v>
      </c>
      <c r="DN55" s="1">
        <v>96</v>
      </c>
      <c r="DO55" s="1">
        <v>2206</v>
      </c>
      <c r="DP55" s="1">
        <v>2141</v>
      </c>
      <c r="DQ55" s="1">
        <v>908</v>
      </c>
      <c r="DR55" s="1">
        <v>277</v>
      </c>
      <c r="DS55" s="1">
        <v>139</v>
      </c>
      <c r="DT55" s="1">
        <v>145</v>
      </c>
      <c r="DU55" s="1">
        <v>90</v>
      </c>
      <c r="DV55" s="1">
        <v>8</v>
      </c>
      <c r="DW55">
        <f t="shared" si="32"/>
        <v>6010</v>
      </c>
      <c r="DX55" s="19">
        <f t="shared" si="33"/>
        <v>303.67076132064028</v>
      </c>
      <c r="DY55">
        <f t="shared" si="66"/>
        <v>9.350777424515724E-3</v>
      </c>
      <c r="DZ55">
        <f t="shared" si="34"/>
        <v>0.22444444710259698</v>
      </c>
      <c r="EA55">
        <f t="shared" si="35"/>
        <v>0.45292661329403777</v>
      </c>
      <c r="EB55">
        <f t="shared" si="36"/>
        <v>0.24130813828990055</v>
      </c>
      <c r="EC55">
        <f t="shared" si="37"/>
        <v>4.6001833591383781E-2</v>
      </c>
      <c r="ED55">
        <f t="shared" si="38"/>
        <v>1.284420861668722E-2</v>
      </c>
      <c r="EE55">
        <f t="shared" si="39"/>
        <v>6.3269286816046051E-3</v>
      </c>
      <c r="EF55">
        <f t="shared" si="40"/>
        <v>6.455814221128571E-3</v>
      </c>
      <c r="EG55">
        <f t="shared" si="41"/>
        <v>3.4123877814467055E-4</v>
      </c>
      <c r="EH55">
        <f t="shared" si="42"/>
        <v>1.5973377703826955E-2</v>
      </c>
      <c r="EI55">
        <f t="shared" si="43"/>
        <v>0.36705490848585692</v>
      </c>
      <c r="EJ55">
        <f t="shared" si="44"/>
        <v>0.35623960066555738</v>
      </c>
      <c r="EK55">
        <f t="shared" si="45"/>
        <v>0.15108153078202996</v>
      </c>
      <c r="EL55">
        <f t="shared" si="46"/>
        <v>4.6089850249584029E-2</v>
      </c>
      <c r="EM55">
        <f t="shared" si="47"/>
        <v>2.3128119800332778E-2</v>
      </c>
      <c r="EN55">
        <f t="shared" si="48"/>
        <v>2.4126455906821963E-2</v>
      </c>
      <c r="EO55">
        <f t="shared" si="49"/>
        <v>1.4975041597337771E-2</v>
      </c>
      <c r="EP55">
        <f t="shared" si="50"/>
        <v>1.3311148086522463E-3</v>
      </c>
      <c r="EQ55">
        <f t="shared" si="51"/>
        <v>-1.5692212674683712</v>
      </c>
      <c r="ER55">
        <v>100</v>
      </c>
      <c r="ES55">
        <v>0.53612450855401184</v>
      </c>
    </row>
    <row r="56" spans="2:149" x14ac:dyDescent="0.3">
      <c r="C56">
        <f t="shared" si="13"/>
        <v>2.757543585631082E-4</v>
      </c>
      <c r="D56">
        <v>54</v>
      </c>
      <c r="E56">
        <v>2004</v>
      </c>
      <c r="F56" s="2">
        <v>4.579998165610661</v>
      </c>
      <c r="G56" s="3">
        <f t="shared" si="67"/>
        <v>97.514215327852938</v>
      </c>
      <c r="H56" s="4">
        <f t="shared" si="52"/>
        <v>63.45258546099199</v>
      </c>
      <c r="I56" s="4">
        <f t="shared" si="53"/>
        <v>104.32789345925269</v>
      </c>
      <c r="J56" s="4">
        <f t="shared" si="54"/>
        <v>79.357333098738351</v>
      </c>
      <c r="K56" s="4">
        <f t="shared" si="55"/>
        <v>26.528869811861838</v>
      </c>
      <c r="L56" s="4">
        <f t="shared" si="56"/>
        <v>3.9958845847201334</v>
      </c>
      <c r="M56" s="4">
        <f t="shared" si="57"/>
        <v>0.81474469530822247</v>
      </c>
      <c r="N56" s="4">
        <f t="shared" si="58"/>
        <v>0.26383153871518766</v>
      </c>
      <c r="O56" s="4">
        <f t="shared" si="59"/>
        <v>0.15380795853680634</v>
      </c>
      <c r="P56" s="22">
        <v>1.29025697619668</v>
      </c>
      <c r="Q56" s="4"/>
      <c r="R56" s="5">
        <f t="shared" si="15"/>
        <v>23.281566996830765</v>
      </c>
      <c r="S56" s="4">
        <f t="shared" si="16"/>
        <v>-0.34843127827218845</v>
      </c>
      <c r="T56" s="5">
        <v>11.266768500962025</v>
      </c>
      <c r="U56" s="5">
        <f t="shared" si="72"/>
        <v>16.707145569597994</v>
      </c>
      <c r="V56" s="5">
        <v>16.431999999999999</v>
      </c>
      <c r="W56" s="4"/>
      <c r="X56" s="4">
        <f t="shared" si="17"/>
        <v>0.25547912963205571</v>
      </c>
      <c r="Y56" s="23">
        <v>2.8187678741060829</v>
      </c>
      <c r="Z56" s="23">
        <v>9.5232541219798854</v>
      </c>
      <c r="AA56" s="23">
        <v>18.952789618989492</v>
      </c>
      <c r="AB56" s="23">
        <v>8.3481667473525416</v>
      </c>
      <c r="AC56" s="23">
        <v>3.2008514989849122</v>
      </c>
      <c r="AD56" s="23">
        <v>1.1246234996433475</v>
      </c>
      <c r="AE56" s="23">
        <v>0.32441062489711953</v>
      </c>
      <c r="AF56" s="23">
        <v>0.18022812494284415</v>
      </c>
      <c r="AG56" s="23">
        <v>4.3254749986282599E-2</v>
      </c>
      <c r="AH56" s="23">
        <f t="shared" si="18"/>
        <v>4.4539999999999997</v>
      </c>
      <c r="AI56" s="10">
        <v>5.8476575952498759</v>
      </c>
      <c r="AJ56" s="4">
        <f t="shared" si="73"/>
        <v>5.8476575952498759</v>
      </c>
      <c r="AK56" s="23">
        <f t="shared" si="74"/>
        <v>3.7007609717698204</v>
      </c>
      <c r="AL56" s="23">
        <f t="shared" si="75"/>
        <v>12.50308246472617</v>
      </c>
      <c r="AM56" s="23">
        <f t="shared" si="76"/>
        <v>24.883121725787358</v>
      </c>
      <c r="AN56" s="23">
        <f t="shared" si="77"/>
        <v>10.960309988003713</v>
      </c>
      <c r="AO56" s="23">
        <f t="shared" si="78"/>
        <v>4.2023986482501279</v>
      </c>
      <c r="AP56" s="23">
        <f t="shared" si="79"/>
        <v>1.4765184439797749</v>
      </c>
      <c r="AQ56" s="23">
        <f t="shared" si="80"/>
        <v>0.42591878191724275</v>
      </c>
      <c r="AR56" s="23">
        <f t="shared" si="81"/>
        <v>0.23662154550957931</v>
      </c>
      <c r="AS56" s="23">
        <f t="shared" si="82"/>
        <v>5.6789170922299036E-2</v>
      </c>
      <c r="AT56" s="23">
        <f t="shared" si="21"/>
        <v>23.281566996830765</v>
      </c>
      <c r="AU56" s="23">
        <f t="shared" si="83"/>
        <v>33.199806611684657</v>
      </c>
      <c r="AV56" s="4">
        <f t="shared" si="87"/>
        <v>0.37106368139083207</v>
      </c>
      <c r="AW56" s="4">
        <f t="shared" si="87"/>
        <v>0.37106368139083207</v>
      </c>
      <c r="AX56" s="4">
        <f t="shared" si="87"/>
        <v>0.37106368139083207</v>
      </c>
      <c r="AY56" s="4">
        <f t="shared" si="89"/>
        <v>0.49515641167153346</v>
      </c>
      <c r="AZ56" s="4">
        <f t="shared" si="89"/>
        <v>0.66074877255687903</v>
      </c>
      <c r="BA56" s="4">
        <f t="shared" si="89"/>
        <v>0.88171925101726745</v>
      </c>
      <c r="BB56" s="4">
        <f t="shared" si="89"/>
        <v>1.1765876380005351</v>
      </c>
      <c r="BC56" s="4">
        <f t="shared" si="89"/>
        <v>1.5700671934955486</v>
      </c>
      <c r="BD56" s="24">
        <f t="shared" si="24"/>
        <v>1.5700671934955486</v>
      </c>
      <c r="BE56" s="4">
        <f t="shared" si="25"/>
        <v>0.76801230906157225</v>
      </c>
      <c r="BF56" s="4">
        <f t="shared" si="84"/>
        <v>0.25117113448789319</v>
      </c>
      <c r="BG56" s="4">
        <f t="shared" si="85"/>
        <v>0.17613529089629684</v>
      </c>
      <c r="BH56" s="4">
        <f t="shared" si="28"/>
        <v>0.67251645406167349</v>
      </c>
      <c r="BI56" s="23"/>
      <c r="BJ56" s="23"/>
      <c r="BK56" s="23"/>
      <c r="BL56" s="23"/>
      <c r="BM56" s="23"/>
      <c r="BN56" s="23"/>
      <c r="BO56" s="23"/>
      <c r="BP56" s="23"/>
      <c r="BQ56" s="23"/>
      <c r="BR56" s="13">
        <v>10.399190324946373</v>
      </c>
      <c r="BS56" s="13">
        <v>35.133837389396824</v>
      </c>
      <c r="BT56" s="13">
        <v>69.921921647785197</v>
      </c>
      <c r="BU56" s="13">
        <v>30.798625054444752</v>
      </c>
      <c r="BV56" s="13">
        <v>11.808799243673118</v>
      </c>
      <c r="BW56" s="13">
        <v>4.1490375721013653</v>
      </c>
      <c r="BX56" s="13">
        <v>1.1968377611830865</v>
      </c>
      <c r="BY56" s="13">
        <v>0.66490986732393687</v>
      </c>
      <c r="BZ56" s="13">
        <v>0.15957836815774484</v>
      </c>
      <c r="CA56" s="4"/>
      <c r="CB56" s="4"/>
      <c r="CC56" s="4"/>
      <c r="CD56" s="4"/>
      <c r="CE56" s="4"/>
      <c r="CF56" s="4"/>
      <c r="CG56" s="4"/>
      <c r="CH56" s="4"/>
      <c r="CI56" s="4"/>
      <c r="CJ56" s="23"/>
      <c r="CK56" s="23"/>
      <c r="CL56" s="23"/>
      <c r="CM56" s="23"/>
      <c r="CN56" s="23"/>
      <c r="CO56" s="23"/>
      <c r="CP56" s="23"/>
      <c r="CQ56" s="23"/>
      <c r="CR56" s="23"/>
      <c r="CS56" s="31">
        <f t="shared" si="29"/>
        <v>2004</v>
      </c>
      <c r="CT56" s="1">
        <v>2.6197453885975358E-2</v>
      </c>
      <c r="CU56" s="1">
        <v>0.34768661313711668</v>
      </c>
      <c r="CV56" s="1">
        <v>0.8</v>
      </c>
      <c r="CW56" s="1">
        <v>1</v>
      </c>
      <c r="CX56">
        <f t="shared" si="61"/>
        <v>1</v>
      </c>
      <c r="CY56">
        <f t="shared" si="62"/>
        <v>1</v>
      </c>
      <c r="CZ56">
        <f t="shared" si="63"/>
        <v>1</v>
      </c>
      <c r="DA56">
        <f t="shared" si="64"/>
        <v>1</v>
      </c>
      <c r="DB56">
        <f t="shared" si="65"/>
        <v>1</v>
      </c>
      <c r="DC56" s="11">
        <v>6.3500000000000001E-2</v>
      </c>
      <c r="DD56" s="11">
        <v>8.1500000000000003E-2</v>
      </c>
      <c r="DE56" s="11">
        <v>0.1027</v>
      </c>
      <c r="DF56" s="11">
        <v>0.11</v>
      </c>
      <c r="DG56" s="11">
        <v>0.1242</v>
      </c>
      <c r="DH56" s="11">
        <v>0.13400000000000001</v>
      </c>
      <c r="DI56" s="11">
        <v>0.15570000000000001</v>
      </c>
      <c r="DJ56" s="11">
        <v>0.16569999999999999</v>
      </c>
      <c r="DK56" s="11">
        <v>0.127</v>
      </c>
      <c r="DL56" s="10">
        <f t="shared" si="86"/>
        <v>0.10005313360323886</v>
      </c>
      <c r="DN56" s="1">
        <v>391</v>
      </c>
      <c r="DO56" s="1">
        <v>1321</v>
      </c>
      <c r="DP56" s="1">
        <v>2629</v>
      </c>
      <c r="DQ56" s="1">
        <v>1158</v>
      </c>
      <c r="DR56" s="1">
        <v>444</v>
      </c>
      <c r="DS56" s="1">
        <v>156</v>
      </c>
      <c r="DT56" s="1">
        <v>45</v>
      </c>
      <c r="DU56" s="1">
        <v>25</v>
      </c>
      <c r="DV56" s="1">
        <v>6</v>
      </c>
      <c r="DW56">
        <f t="shared" si="32"/>
        <v>6175</v>
      </c>
      <c r="DX56" s="19">
        <f t="shared" si="33"/>
        <v>219.19302514828698</v>
      </c>
      <c r="DY56">
        <f t="shared" si="66"/>
        <v>1.165467814293024E-2</v>
      </c>
      <c r="DZ56">
        <f t="shared" si="34"/>
        <v>0.10064925432185072</v>
      </c>
      <c r="EA56">
        <f t="shared" si="35"/>
        <v>0.38077085122092186</v>
      </c>
      <c r="EB56">
        <f t="shared" si="36"/>
        <v>0.3620431491606636</v>
      </c>
      <c r="EC56">
        <f t="shared" si="37"/>
        <v>0.1210297170446674</v>
      </c>
      <c r="ED56">
        <f t="shared" si="38"/>
        <v>1.8229980548043739E-2</v>
      </c>
      <c r="EE56">
        <f t="shared" si="39"/>
        <v>3.7170192562333447E-3</v>
      </c>
      <c r="EF56">
        <f t="shared" si="40"/>
        <v>1.2036493338996629E-3</v>
      </c>
      <c r="EG56">
        <f t="shared" si="41"/>
        <v>7.0170097078934527E-4</v>
      </c>
      <c r="EH56">
        <f t="shared" si="42"/>
        <v>6.3319838056680164E-2</v>
      </c>
      <c r="EI56">
        <f t="shared" si="43"/>
        <v>0.21392712550607287</v>
      </c>
      <c r="EJ56">
        <f t="shared" si="44"/>
        <v>0.42574898785425103</v>
      </c>
      <c r="EK56">
        <f t="shared" si="45"/>
        <v>0.18753036437246964</v>
      </c>
      <c r="EL56">
        <f t="shared" si="46"/>
        <v>7.1902834008097161E-2</v>
      </c>
      <c r="EM56">
        <f t="shared" si="47"/>
        <v>2.5263157894736842E-2</v>
      </c>
      <c r="EN56">
        <f t="shared" si="48"/>
        <v>7.2874493927125505E-3</v>
      </c>
      <c r="EO56">
        <f t="shared" si="49"/>
        <v>4.048582995951417E-3</v>
      </c>
      <c r="EP56">
        <f t="shared" si="50"/>
        <v>9.7165991902834013E-4</v>
      </c>
      <c r="EQ56">
        <f t="shared" si="51"/>
        <v>-1.7010118337235849</v>
      </c>
      <c r="ER56">
        <v>100</v>
      </c>
      <c r="ES56">
        <v>0.63716099372253088</v>
      </c>
    </row>
    <row r="57" spans="2:149" x14ac:dyDescent="0.3">
      <c r="C57">
        <f t="shared" si="13"/>
        <v>6.687557103680861E-3</v>
      </c>
      <c r="D57">
        <v>55</v>
      </c>
      <c r="E57">
        <v>2005</v>
      </c>
      <c r="F57" s="2">
        <v>3.9781237427692373</v>
      </c>
      <c r="G57" s="3">
        <f t="shared" si="67"/>
        <v>53.416716645276701</v>
      </c>
      <c r="H57" s="4">
        <f t="shared" si="52"/>
        <v>59.615372776919834</v>
      </c>
      <c r="I57" s="4">
        <f t="shared" si="53"/>
        <v>32.691779606566158</v>
      </c>
      <c r="J57" s="4">
        <f t="shared" si="54"/>
        <v>41.092192463629267</v>
      </c>
      <c r="K57" s="4">
        <f t="shared" si="55"/>
        <v>23.355269724467004</v>
      </c>
      <c r="L57" s="4">
        <f t="shared" si="56"/>
        <v>6.3056033170137216</v>
      </c>
      <c r="M57" s="4">
        <f t="shared" si="57"/>
        <v>0.71416686671813301</v>
      </c>
      <c r="N57" s="4">
        <f t="shared" si="58"/>
        <v>9.9535583045684134E-2</v>
      </c>
      <c r="O57" s="4">
        <f t="shared" si="59"/>
        <v>1.9399774435783092E-2</v>
      </c>
      <c r="P57" s="22">
        <v>1.1363592189047462</v>
      </c>
      <c r="Q57" s="4"/>
      <c r="R57" s="5">
        <f t="shared" si="15"/>
        <v>12.409416517807131</v>
      </c>
      <c r="S57" s="4">
        <f t="shared" si="16"/>
        <v>-0.25004793982017931</v>
      </c>
      <c r="T57" s="5">
        <v>5.8305588323658988</v>
      </c>
      <c r="U57" s="5">
        <f t="shared" si="72"/>
        <v>8.905153515869447</v>
      </c>
      <c r="V57" s="5">
        <v>9.6639999999999997</v>
      </c>
      <c r="W57" s="4"/>
      <c r="X57" s="4">
        <f t="shared" si="17"/>
        <v>0.71423872899902008</v>
      </c>
      <c r="Y57" s="23">
        <v>1.6625877144240613</v>
      </c>
      <c r="Z57" s="23">
        <v>17.568363173436417</v>
      </c>
      <c r="AA57" s="23">
        <v>10.515602550465561</v>
      </c>
      <c r="AB57" s="23">
        <v>10.314397667828253</v>
      </c>
      <c r="AC57" s="23">
        <v>4.0240976527461356</v>
      </c>
      <c r="AD57" s="23">
        <v>1.3978444477960261</v>
      </c>
      <c r="AE57" s="23">
        <v>0.36005084261412795</v>
      </c>
      <c r="AF57" s="23">
        <v>3.1769191995364224E-2</v>
      </c>
      <c r="AG57" s="23">
        <v>5.2948653325607054E-2</v>
      </c>
      <c r="AH57" s="23">
        <f t="shared" si="18"/>
        <v>4.2690000000000001</v>
      </c>
      <c r="AI57" s="10">
        <v>6.4324233547748637</v>
      </c>
      <c r="AJ57" s="4">
        <f t="shared" si="73"/>
        <v>6.4324233547748637</v>
      </c>
      <c r="AK57" s="23">
        <f t="shared" si="74"/>
        <v>2.5051459460349244</v>
      </c>
      <c r="AL57" s="23">
        <f t="shared" si="75"/>
        <v>26.471574041222546</v>
      </c>
      <c r="AM57" s="23">
        <f t="shared" si="76"/>
        <v>15.844649200080765</v>
      </c>
      <c r="AN57" s="23">
        <f t="shared" si="77"/>
        <v>15.541478671579725</v>
      </c>
      <c r="AO57" s="23">
        <f t="shared" si="78"/>
        <v>6.0634105700208369</v>
      </c>
      <c r="AP57" s="23">
        <f t="shared" si="79"/>
        <v>2.1062373559019751</v>
      </c>
      <c r="AQ57" s="23">
        <f t="shared" si="80"/>
        <v>0.54251568258081173</v>
      </c>
      <c r="AR57" s="23">
        <f t="shared" si="81"/>
        <v>4.7869030815953978E-2</v>
      </c>
      <c r="AS57" s="23">
        <f t="shared" si="82"/>
        <v>7.9781718026589954E-2</v>
      </c>
      <c r="AT57" s="23">
        <f t="shared" si="21"/>
        <v>12.409416517807131</v>
      </c>
      <c r="AU57" s="23">
        <f t="shared" si="83"/>
        <v>24.168299699396684</v>
      </c>
      <c r="AV57" s="4">
        <f t="shared" si="87"/>
        <v>0.37106368139083207</v>
      </c>
      <c r="AW57" s="4">
        <f t="shared" si="87"/>
        <v>0.37106368139083207</v>
      </c>
      <c r="AX57" s="4">
        <f t="shared" si="87"/>
        <v>0.37106368139083207</v>
      </c>
      <c r="AY57" s="4">
        <f t="shared" si="89"/>
        <v>0.49515641167153346</v>
      </c>
      <c r="AZ57" s="4">
        <f t="shared" si="89"/>
        <v>0.66074877255687903</v>
      </c>
      <c r="BA57" s="4">
        <f t="shared" si="89"/>
        <v>0.88171925101726745</v>
      </c>
      <c r="BB57" s="4">
        <f t="shared" si="89"/>
        <v>1.1765876380005351</v>
      </c>
      <c r="BC57" s="4">
        <f t="shared" si="89"/>
        <v>1.5700671934955486</v>
      </c>
      <c r="BD57" s="24">
        <f t="shared" si="24"/>
        <v>1.5700671934955486</v>
      </c>
      <c r="BE57" s="4">
        <f t="shared" si="25"/>
        <v>1.1521995901998745</v>
      </c>
      <c r="BF57" s="4">
        <f t="shared" si="84"/>
        <v>0.5183501855663023</v>
      </c>
      <c r="BG57" s="4">
        <f t="shared" si="85"/>
        <v>0.26615125742318718</v>
      </c>
      <c r="BH57" s="4">
        <f t="shared" si="28"/>
        <v>0.73111397953637436</v>
      </c>
      <c r="BI57" s="23"/>
      <c r="BJ57" s="23"/>
      <c r="BK57" s="23"/>
      <c r="BL57" s="23"/>
      <c r="BM57" s="23"/>
      <c r="BN57" s="23"/>
      <c r="BO57" s="23"/>
      <c r="BP57" s="23"/>
      <c r="BQ57" s="23"/>
      <c r="BR57" s="13">
        <v>3.763702898148074</v>
      </c>
      <c r="BS57" s="13">
        <v>39.770593044762137</v>
      </c>
      <c r="BT57" s="13">
        <v>23.804821515038455</v>
      </c>
      <c r="BU57" s="13">
        <v>23.349341546472765</v>
      </c>
      <c r="BV57" s="13">
        <v>9.1095993713138093</v>
      </c>
      <c r="BW57" s="13">
        <v>3.1643871500353233</v>
      </c>
      <c r="BX57" s="13">
        <v>0.81506941743334094</v>
      </c>
      <c r="BY57" s="13">
        <v>7.1917889773530086E-2</v>
      </c>
      <c r="BZ57" s="13">
        <v>0.11986314962255014</v>
      </c>
      <c r="CA57" s="4"/>
      <c r="CB57" s="4"/>
      <c r="CC57" s="4"/>
      <c r="CD57" s="4"/>
      <c r="CE57" s="4"/>
      <c r="CF57" s="4"/>
      <c r="CG57" s="4"/>
      <c r="CH57" s="4"/>
      <c r="CI57" s="4"/>
      <c r="CJ57" s="23"/>
      <c r="CK57" s="23"/>
      <c r="CL57" s="23"/>
      <c r="CM57" s="23"/>
      <c r="CN57" s="23"/>
      <c r="CO57" s="23"/>
      <c r="CP57" s="23"/>
      <c r="CQ57" s="23"/>
      <c r="CR57" s="23"/>
      <c r="CS57" s="31">
        <f t="shared" si="29"/>
        <v>2005</v>
      </c>
      <c r="CT57" s="1">
        <v>2.6197453885975358E-2</v>
      </c>
      <c r="CU57" s="1">
        <v>0.34768661313711668</v>
      </c>
      <c r="CV57" s="1">
        <v>0.8</v>
      </c>
      <c r="CW57" s="1">
        <v>1</v>
      </c>
      <c r="CX57">
        <f t="shared" si="61"/>
        <v>1</v>
      </c>
      <c r="CY57">
        <f t="shared" si="62"/>
        <v>1</v>
      </c>
      <c r="CZ57">
        <f t="shared" si="63"/>
        <v>1</v>
      </c>
      <c r="DA57">
        <f t="shared" si="64"/>
        <v>1</v>
      </c>
      <c r="DB57">
        <f t="shared" si="65"/>
        <v>1</v>
      </c>
      <c r="DC57" s="11">
        <v>5.5899999999999998E-2</v>
      </c>
      <c r="DD57" s="11">
        <v>7.5499999999999998E-2</v>
      </c>
      <c r="DE57" s="11">
        <v>9.1300000000000006E-2</v>
      </c>
      <c r="DF57" s="11">
        <v>0.11219999999999999</v>
      </c>
      <c r="DG57" s="11">
        <v>0.12039999999999999</v>
      </c>
      <c r="DH57" s="11">
        <v>0.13320000000000001</v>
      </c>
      <c r="DI57" s="11">
        <v>0.13750000000000001</v>
      </c>
      <c r="DJ57" s="11">
        <v>0.1525</v>
      </c>
      <c r="DK57" s="11">
        <v>0.13700000000000001</v>
      </c>
      <c r="DL57" s="10">
        <f t="shared" si="86"/>
        <v>9.2950518791791573E-2</v>
      </c>
      <c r="DN57" s="1">
        <v>157</v>
      </c>
      <c r="DO57" s="1">
        <v>1659</v>
      </c>
      <c r="DP57" s="1">
        <v>993</v>
      </c>
      <c r="DQ57" s="1">
        <v>974</v>
      </c>
      <c r="DR57" s="1">
        <v>380</v>
      </c>
      <c r="DS57" s="1">
        <v>132</v>
      </c>
      <c r="DT57" s="1">
        <v>34</v>
      </c>
      <c r="DU57" s="1">
        <v>3</v>
      </c>
      <c r="DV57" s="1">
        <v>5</v>
      </c>
      <c r="DW57">
        <f t="shared" si="32"/>
        <v>4337</v>
      </c>
      <c r="DX57" s="19">
        <f t="shared" si="33"/>
        <v>119.86644043733128</v>
      </c>
      <c r="DY57">
        <f t="shared" si="66"/>
        <v>1.1674510112665567E-2</v>
      </c>
      <c r="DZ57">
        <f t="shared" si="34"/>
        <v>0.17292135293323141</v>
      </c>
      <c r="EA57">
        <f t="shared" si="35"/>
        <v>0.21818803987031293</v>
      </c>
      <c r="EB57">
        <f t="shared" si="36"/>
        <v>0.34281649070169173</v>
      </c>
      <c r="EC57">
        <f t="shared" si="37"/>
        <v>0.19484410848654202</v>
      </c>
      <c r="ED57">
        <f t="shared" si="38"/>
        <v>5.2605243753028816E-2</v>
      </c>
      <c r="EE57">
        <f t="shared" si="39"/>
        <v>5.9580218125482301E-3</v>
      </c>
      <c r="EF57">
        <f t="shared" si="40"/>
        <v>8.3038741020864345E-4</v>
      </c>
      <c r="EG57">
        <f t="shared" si="41"/>
        <v>1.6184491977073187E-4</v>
      </c>
      <c r="EH57">
        <f t="shared" si="42"/>
        <v>3.6200138344477752E-2</v>
      </c>
      <c r="EI57">
        <f t="shared" si="43"/>
        <v>0.3825224809776343</v>
      </c>
      <c r="EJ57">
        <f t="shared" si="44"/>
        <v>0.2289601106755822</v>
      </c>
      <c r="EK57">
        <f t="shared" si="45"/>
        <v>0.22457920221351163</v>
      </c>
      <c r="EL57">
        <f t="shared" si="46"/>
        <v>8.7618169241411109E-2</v>
      </c>
      <c r="EM57">
        <f t="shared" si="47"/>
        <v>3.0435785104911229E-2</v>
      </c>
      <c r="EN57">
        <f t="shared" si="48"/>
        <v>7.8395204058104677E-3</v>
      </c>
      <c r="EO57">
        <f t="shared" si="49"/>
        <v>6.9172238874798246E-4</v>
      </c>
      <c r="EP57">
        <f t="shared" si="50"/>
        <v>1.152870647913304E-3</v>
      </c>
      <c r="EQ57">
        <f t="shared" si="51"/>
        <v>-1.7078939674638274</v>
      </c>
      <c r="ER57">
        <v>100</v>
      </c>
      <c r="ES57">
        <v>0.85027347116526109</v>
      </c>
    </row>
    <row r="58" spans="2:149" x14ac:dyDescent="0.3">
      <c r="C58">
        <f t="shared" si="13"/>
        <v>3.2267584914149041E-3</v>
      </c>
      <c r="D58">
        <v>56</v>
      </c>
      <c r="E58">
        <v>2006</v>
      </c>
      <c r="F58" s="2">
        <v>4.573804442207793</v>
      </c>
      <c r="G58" s="3">
        <f t="shared" si="67"/>
        <v>96.912105824977047</v>
      </c>
      <c r="H58" s="4">
        <f t="shared" si="52"/>
        <v>33.916482386876801</v>
      </c>
      <c r="I58" s="4">
        <f t="shared" si="53"/>
        <v>24.096554449448302</v>
      </c>
      <c r="J58" s="4">
        <f t="shared" si="54"/>
        <v>5.3798206555722254</v>
      </c>
      <c r="K58" s="4">
        <f t="shared" si="55"/>
        <v>3.2220122840523744</v>
      </c>
      <c r="L58" s="4">
        <f t="shared" si="56"/>
        <v>1.5171570097048133</v>
      </c>
      <c r="M58" s="4">
        <f t="shared" si="57"/>
        <v>0.3186545639867796</v>
      </c>
      <c r="N58" s="4">
        <f t="shared" si="58"/>
        <v>2.5814954197437786E-2</v>
      </c>
      <c r="O58" s="4">
        <f t="shared" si="59"/>
        <v>2.3007114026097285E-3</v>
      </c>
      <c r="P58" s="22">
        <v>1.2168307864271792</v>
      </c>
      <c r="Q58" s="4"/>
      <c r="R58" s="5">
        <f t="shared" si="15"/>
        <v>3.785104650976753</v>
      </c>
      <c r="S58" s="4">
        <f t="shared" si="16"/>
        <v>-0.27502086112888013</v>
      </c>
      <c r="T58" s="5">
        <v>4.2792633018106381</v>
      </c>
      <c r="U58" s="5">
        <f t="shared" si="72"/>
        <v>2.7162387483900643</v>
      </c>
      <c r="V58" s="5">
        <v>2.875</v>
      </c>
      <c r="W58" s="4"/>
      <c r="X58" s="4">
        <f t="shared" si="17"/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f t="shared" si="18"/>
        <v>0</v>
      </c>
      <c r="AI58" s="10">
        <v>6.9177789351806025</v>
      </c>
      <c r="AJ58" s="4">
        <f t="shared" si="73"/>
        <v>6.9177789351806025</v>
      </c>
      <c r="AK58" s="23">
        <f t="shared" si="74"/>
        <v>13.238370415942715</v>
      </c>
      <c r="AL58" s="23">
        <f t="shared" si="75"/>
        <v>32.715513096869927</v>
      </c>
      <c r="AM58" s="23">
        <f t="shared" si="76"/>
        <v>29.443961787182939</v>
      </c>
      <c r="AN58" s="23">
        <f t="shared" si="77"/>
        <v>6.923515562360846</v>
      </c>
      <c r="AO58" s="23">
        <f t="shared" si="78"/>
        <v>4.7171204930370587</v>
      </c>
      <c r="AP58" s="23">
        <f t="shared" si="79"/>
        <v>0.68474329737634732</v>
      </c>
      <c r="AQ58" s="23">
        <f t="shared" si="80"/>
        <v>7.6082588597371922E-2</v>
      </c>
      <c r="AR58" s="23">
        <f t="shared" si="81"/>
        <v>0</v>
      </c>
      <c r="AS58" s="23">
        <f t="shared" si="82"/>
        <v>0</v>
      </c>
      <c r="AT58" s="23">
        <f t="shared" si="21"/>
        <v>3.7851046509767525</v>
      </c>
      <c r="AU58" s="23">
        <f t="shared" si="83"/>
        <v>10.924118907323372</v>
      </c>
      <c r="AV58" s="4">
        <f t="shared" si="87"/>
        <v>0.37106368139083207</v>
      </c>
      <c r="AW58" s="4">
        <f t="shared" si="87"/>
        <v>0.37106368139083207</v>
      </c>
      <c r="AX58" s="4">
        <f t="shared" si="87"/>
        <v>0.37106368139083207</v>
      </c>
      <c r="AY58" s="4">
        <f t="shared" si="89"/>
        <v>0.49515641167153346</v>
      </c>
      <c r="AZ58" s="4">
        <f t="shared" si="89"/>
        <v>0.66074877255687903</v>
      </c>
      <c r="BA58" s="4">
        <f t="shared" si="89"/>
        <v>0.88171925101726745</v>
      </c>
      <c r="BB58" s="4">
        <f t="shared" si="89"/>
        <v>1.1765876380005351</v>
      </c>
      <c r="BC58" s="4">
        <f t="shared" si="89"/>
        <v>1.5700671934955486</v>
      </c>
      <c r="BD58" s="24">
        <f t="shared" si="24"/>
        <v>1.5700671934955486</v>
      </c>
      <c r="BE58" s="4">
        <f t="shared" si="25"/>
        <v>1.3678124431155254</v>
      </c>
      <c r="BF58" s="4">
        <f t="shared" si="84"/>
        <v>0.6</v>
      </c>
      <c r="BG58" s="4">
        <f t="shared" si="85"/>
        <v>0.633257381567224</v>
      </c>
      <c r="BH58" s="4">
        <f t="shared" si="28"/>
        <v>1.4546167003756292</v>
      </c>
      <c r="BI58" s="23"/>
      <c r="BJ58" s="23"/>
      <c r="BK58" s="23"/>
      <c r="BL58" s="23"/>
      <c r="BM58" s="23"/>
      <c r="BN58" s="23"/>
      <c r="BO58" s="23"/>
      <c r="BP58" s="23"/>
      <c r="BQ58" s="23"/>
      <c r="BR58" s="13">
        <v>5.5018113909766999</v>
      </c>
      <c r="BS58" s="13">
        <v>13.596430448965407</v>
      </c>
      <c r="BT58" s="13">
        <v>12.236787404068867</v>
      </c>
      <c r="BU58" s="13">
        <v>2.8773841182694233</v>
      </c>
      <c r="BV58" s="13">
        <v>1.9604155531066403</v>
      </c>
      <c r="BW58" s="13">
        <v>0.28457645125741549</v>
      </c>
      <c r="BX58" s="13">
        <v>3.1619605695268387E-2</v>
      </c>
      <c r="BY58" s="13">
        <v>0</v>
      </c>
      <c r="BZ58" s="13">
        <v>0</v>
      </c>
      <c r="CA58" s="4"/>
      <c r="CB58" s="4"/>
      <c r="CC58" s="4"/>
      <c r="CD58" s="4"/>
      <c r="CE58" s="4"/>
      <c r="CF58" s="4"/>
      <c r="CG58" s="4"/>
      <c r="CH58" s="4"/>
      <c r="CI58" s="4"/>
      <c r="CJ58" s="23"/>
      <c r="CK58" s="23"/>
      <c r="CL58" s="23"/>
      <c r="CM58" s="23"/>
      <c r="CN58" s="23"/>
      <c r="CO58" s="23"/>
      <c r="CP58" s="23"/>
      <c r="CQ58" s="23"/>
      <c r="CR58" s="23"/>
      <c r="CS58" s="31">
        <f t="shared" si="29"/>
        <v>2006</v>
      </c>
      <c r="CT58" s="1">
        <v>2.6197453885975358E-2</v>
      </c>
      <c r="CU58" s="1">
        <v>0.34768661313711668</v>
      </c>
      <c r="CV58" s="1">
        <v>0.8</v>
      </c>
      <c r="CW58" s="1">
        <v>1</v>
      </c>
      <c r="CX58">
        <f t="shared" si="61"/>
        <v>1</v>
      </c>
      <c r="CY58">
        <f t="shared" si="62"/>
        <v>1</v>
      </c>
      <c r="CZ58">
        <f t="shared" si="63"/>
        <v>1</v>
      </c>
      <c r="DA58">
        <f t="shared" si="64"/>
        <v>1</v>
      </c>
      <c r="DB58">
        <f t="shared" si="65"/>
        <v>1</v>
      </c>
      <c r="DC58" s="11">
        <v>5.4800000000000001E-2</v>
      </c>
      <c r="DD58" s="11">
        <v>6.93E-2</v>
      </c>
      <c r="DE58" s="11">
        <v>8.77E-2</v>
      </c>
      <c r="DF58" s="11">
        <v>0.10199999999999999</v>
      </c>
      <c r="DG58" s="11">
        <v>0.1169</v>
      </c>
      <c r="DH58" s="11">
        <v>0.1103</v>
      </c>
      <c r="DI58" s="11">
        <v>0.128</v>
      </c>
      <c r="DJ58" s="11">
        <v>0.16400000000000001</v>
      </c>
      <c r="DK58" s="11">
        <v>0.17199999999999999</v>
      </c>
      <c r="DL58" s="10">
        <f t="shared" si="86"/>
        <v>7.8790814558058919E-2</v>
      </c>
      <c r="DN58" s="1">
        <v>174</v>
      </c>
      <c r="DO58" s="1">
        <v>430</v>
      </c>
      <c r="DP58" s="1">
        <v>387</v>
      </c>
      <c r="DQ58" s="1">
        <v>91</v>
      </c>
      <c r="DR58" s="1">
        <v>62</v>
      </c>
      <c r="DS58" s="1">
        <v>9</v>
      </c>
      <c r="DT58" s="1">
        <v>1</v>
      </c>
      <c r="DU58" s="1">
        <v>0</v>
      </c>
      <c r="DV58" s="1">
        <v>0</v>
      </c>
      <c r="DW58">
        <f t="shared" si="32"/>
        <v>1154</v>
      </c>
      <c r="DX58" s="19">
        <f t="shared" si="33"/>
        <v>44.07416105243535</v>
      </c>
      <c r="DY58">
        <f t="shared" si="66"/>
        <v>5.760405558989793E-2</v>
      </c>
      <c r="DZ58">
        <f t="shared" si="34"/>
        <v>0.26755601488564856</v>
      </c>
      <c r="EA58">
        <f t="shared" si="35"/>
        <v>0.4373819739103908</v>
      </c>
      <c r="EB58">
        <f t="shared" si="36"/>
        <v>0.12206291684535557</v>
      </c>
      <c r="EC58">
        <f t="shared" si="37"/>
        <v>7.3104336126083552E-2</v>
      </c>
      <c r="ED58">
        <f t="shared" si="38"/>
        <v>3.4422822204144519E-2</v>
      </c>
      <c r="EE58">
        <f t="shared" si="39"/>
        <v>7.2299632341878035E-3</v>
      </c>
      <c r="EF58">
        <f t="shared" si="40"/>
        <v>5.8571629229029561E-4</v>
      </c>
      <c r="EG58">
        <f t="shared" si="41"/>
        <v>5.2200912000855906E-5</v>
      </c>
      <c r="EH58">
        <f t="shared" si="42"/>
        <v>0.15077989601386482</v>
      </c>
      <c r="EI58">
        <f t="shared" si="43"/>
        <v>0.37261698440207974</v>
      </c>
      <c r="EJ58">
        <f t="shared" si="44"/>
        <v>0.33535528596187175</v>
      </c>
      <c r="EK58">
        <f t="shared" si="45"/>
        <v>7.8856152512998268E-2</v>
      </c>
      <c r="EL58">
        <f t="shared" si="46"/>
        <v>5.3726169844020795E-2</v>
      </c>
      <c r="EM58">
        <f t="shared" si="47"/>
        <v>7.7989601386481804E-3</v>
      </c>
      <c r="EN58">
        <f t="shared" si="48"/>
        <v>8.6655112651646442E-4</v>
      </c>
      <c r="EO58">
        <f t="shared" si="49"/>
        <v>0</v>
      </c>
      <c r="EP58">
        <f t="shared" si="50"/>
        <v>0</v>
      </c>
      <c r="EQ58">
        <f t="shared" si="51"/>
        <v>-1.535228808771437</v>
      </c>
      <c r="ER58">
        <v>100</v>
      </c>
      <c r="ES58">
        <v>1.5754188886849303</v>
      </c>
    </row>
    <row r="59" spans="2:149" x14ac:dyDescent="0.3">
      <c r="B59"/>
      <c r="C59">
        <f t="shared" si="13"/>
        <v>2.8689438539868776E-2</v>
      </c>
      <c r="D59">
        <v>57</v>
      </c>
      <c r="E59">
        <v>2007</v>
      </c>
      <c r="F59" s="2">
        <v>4.308669296747941</v>
      </c>
      <c r="G59" s="3">
        <f t="shared" si="67"/>
        <v>74.341496618937413</v>
      </c>
      <c r="H59" s="4">
        <f t="shared" si="52"/>
        <v>60.730097384325653</v>
      </c>
      <c r="I59" s="4">
        <f t="shared" si="53"/>
        <v>17.088616131693819</v>
      </c>
      <c r="J59" s="4">
        <f t="shared" si="54"/>
        <v>7.9774649274349203</v>
      </c>
      <c r="K59" s="4">
        <f t="shared" si="55"/>
        <v>1.1780290443017729</v>
      </c>
      <c r="L59" s="4">
        <f t="shared" si="56"/>
        <v>0.57677439635780703</v>
      </c>
      <c r="M59" s="4">
        <f t="shared" si="57"/>
        <v>0.20755567410669976</v>
      </c>
      <c r="N59" s="4">
        <f t="shared" si="58"/>
        <v>3.045069602377273E-2</v>
      </c>
      <c r="O59" s="4">
        <f t="shared" si="59"/>
        <v>1.5283016931097006E-3</v>
      </c>
      <c r="P59" s="22">
        <v>0.9530369135450194</v>
      </c>
      <c r="Q59" s="4"/>
      <c r="R59" s="5">
        <f t="shared" si="15"/>
        <v>3.7074927920544138</v>
      </c>
      <c r="S59" s="4">
        <f t="shared" si="16"/>
        <v>-0.50120499455925682</v>
      </c>
      <c r="T59" s="5">
        <v>4.438202056651968</v>
      </c>
      <c r="U59" s="5">
        <f t="shared" si="72"/>
        <v>2.6605435013682839</v>
      </c>
      <c r="V59" s="5">
        <v>2.246</v>
      </c>
      <c r="W59" s="4"/>
      <c r="X59" s="4">
        <f t="shared" si="17"/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f t="shared" si="18"/>
        <v>0</v>
      </c>
      <c r="AI59" s="10">
        <v>6.7248062345373576</v>
      </c>
      <c r="AJ59" s="4">
        <f t="shared" si="73"/>
        <v>6.7248062345373576</v>
      </c>
      <c r="AK59" s="23">
        <f t="shared" si="74"/>
        <v>0.99948073577833307</v>
      </c>
      <c r="AL59" s="23">
        <f t="shared" si="75"/>
        <v>43.263237562976414</v>
      </c>
      <c r="AM59" s="23">
        <f t="shared" si="76"/>
        <v>30.127205035604039</v>
      </c>
      <c r="AN59" s="23">
        <f t="shared" si="77"/>
        <v>9.4236755087671398</v>
      </c>
      <c r="AO59" s="23">
        <f t="shared" si="78"/>
        <v>1.5706125847945234</v>
      </c>
      <c r="AP59" s="23">
        <f t="shared" si="79"/>
        <v>0.5711318490161903</v>
      </c>
      <c r="AQ59" s="23">
        <f t="shared" si="80"/>
        <v>0</v>
      </c>
      <c r="AR59" s="23">
        <f t="shared" si="81"/>
        <v>0</v>
      </c>
      <c r="AS59" s="23">
        <f t="shared" si="82"/>
        <v>0</v>
      </c>
      <c r="AT59" s="23">
        <f t="shared" si="21"/>
        <v>3.7074927920544138</v>
      </c>
      <c r="AU59" s="23">
        <f t="shared" si="83"/>
        <v>9.8546286962530658</v>
      </c>
      <c r="AV59" s="4">
        <f t="shared" si="87"/>
        <v>0.37106368139083207</v>
      </c>
      <c r="AW59" s="4">
        <f t="shared" si="87"/>
        <v>0.37106368139083207</v>
      </c>
      <c r="AX59" s="4">
        <f t="shared" si="87"/>
        <v>0.37106368139083207</v>
      </c>
      <c r="AY59" s="4">
        <f t="shared" si="89"/>
        <v>0.49515641167153346</v>
      </c>
      <c r="AZ59" s="4">
        <f t="shared" si="89"/>
        <v>0.66074877255687903</v>
      </c>
      <c r="BA59" s="4">
        <f t="shared" si="89"/>
        <v>0.88171925101726745</v>
      </c>
      <c r="BB59" s="4">
        <f t="shared" si="89"/>
        <v>1.1765876380005351</v>
      </c>
      <c r="BC59" s="4">
        <f t="shared" si="89"/>
        <v>1.5700671934955486</v>
      </c>
      <c r="BD59" s="24">
        <f t="shared" si="24"/>
        <v>1.5700671934955486</v>
      </c>
      <c r="BE59" s="4">
        <f t="shared" si="25"/>
        <v>1.2699281175155259</v>
      </c>
      <c r="BF59" s="4">
        <f t="shared" si="84"/>
        <v>0.6</v>
      </c>
      <c r="BG59" s="4">
        <f t="shared" si="85"/>
        <v>0.68240077245064223</v>
      </c>
      <c r="BH59" s="4">
        <f t="shared" si="28"/>
        <v>1.5006023674028623</v>
      </c>
      <c r="BI59" s="23"/>
      <c r="BJ59" s="23"/>
      <c r="BK59" s="23"/>
      <c r="BL59" s="23"/>
      <c r="BM59" s="23"/>
      <c r="BN59" s="23"/>
      <c r="BO59" s="23"/>
      <c r="BP59" s="23"/>
      <c r="BQ59" s="23"/>
      <c r="BR59" s="13">
        <v>0.33381389058157335</v>
      </c>
      <c r="BS59" s="13">
        <v>14.449372692316677</v>
      </c>
      <c r="BT59" s="13">
        <v>10.062104416101713</v>
      </c>
      <c r="BU59" s="13">
        <v>3.1473881111976918</v>
      </c>
      <c r="BV59" s="13">
        <v>0.5245646851996153</v>
      </c>
      <c r="BW59" s="13">
        <v>0.19075079461804192</v>
      </c>
      <c r="BX59" s="13">
        <v>0</v>
      </c>
      <c r="BY59" s="13">
        <v>0</v>
      </c>
      <c r="BZ59" s="13">
        <v>0</v>
      </c>
      <c r="CA59" s="4"/>
      <c r="CB59" s="4"/>
      <c r="CC59" s="4"/>
      <c r="CD59" s="4"/>
      <c r="CE59" s="4"/>
      <c r="CF59" s="4"/>
      <c r="CG59" s="4"/>
      <c r="CH59" s="4"/>
      <c r="CI59" s="4"/>
      <c r="CJ59" s="23"/>
      <c r="CK59" s="23"/>
      <c r="CL59" s="23"/>
      <c r="CM59" s="23"/>
      <c r="CN59" s="23"/>
      <c r="CO59" s="23"/>
      <c r="CP59" s="23"/>
      <c r="CQ59" s="23"/>
      <c r="CR59" s="23"/>
      <c r="CS59" s="31">
        <f t="shared" si="29"/>
        <v>2007</v>
      </c>
      <c r="CT59" s="1">
        <v>2.6197453885975358E-2</v>
      </c>
      <c r="CU59" s="1">
        <v>0.34768661313711668</v>
      </c>
      <c r="CV59" s="1">
        <v>0.8</v>
      </c>
      <c r="CW59" s="1">
        <v>1</v>
      </c>
      <c r="CX59">
        <f t="shared" si="61"/>
        <v>1</v>
      </c>
      <c r="CY59">
        <f t="shared" si="62"/>
        <v>1</v>
      </c>
      <c r="CZ59">
        <f t="shared" si="63"/>
        <v>1</v>
      </c>
      <c r="DA59">
        <f t="shared" si="64"/>
        <v>1</v>
      </c>
      <c r="DB59">
        <f t="shared" si="65"/>
        <v>1</v>
      </c>
      <c r="DC59" s="11">
        <v>5.4600000000000003E-2</v>
      </c>
      <c r="DD59" s="11">
        <v>7.2700000000000001E-2</v>
      </c>
      <c r="DE59" s="11">
        <v>8.0500000000000002E-2</v>
      </c>
      <c r="DF59" s="11">
        <v>9.2399999999999996E-2</v>
      </c>
      <c r="DG59" s="11">
        <v>9.8100000000000007E-2</v>
      </c>
      <c r="DH59" s="11">
        <v>0.13120000000000001</v>
      </c>
      <c r="DI59" s="11">
        <v>0.15359999999999999</v>
      </c>
      <c r="DJ59" s="11">
        <v>0.16719999999999999</v>
      </c>
      <c r="DK59" s="11">
        <v>0.16919999999999999</v>
      </c>
      <c r="DL59" s="10">
        <f t="shared" si="86"/>
        <v>7.8236046511627896E-2</v>
      </c>
      <c r="DN59" s="1">
        <v>7</v>
      </c>
      <c r="DO59" s="1">
        <v>303</v>
      </c>
      <c r="DP59" s="1">
        <v>211</v>
      </c>
      <c r="DQ59" s="1">
        <v>66</v>
      </c>
      <c r="DR59" s="1">
        <v>11</v>
      </c>
      <c r="DS59" s="1">
        <v>4</v>
      </c>
      <c r="DT59" s="1">
        <v>0</v>
      </c>
      <c r="DU59" s="1">
        <v>0</v>
      </c>
      <c r="DV59" s="1">
        <v>0</v>
      </c>
      <c r="DW59">
        <f t="shared" si="32"/>
        <v>602</v>
      </c>
      <c r="DX59" s="19">
        <f t="shared" si="33"/>
        <v>46.705295749805593</v>
      </c>
      <c r="DY59">
        <f t="shared" si="66"/>
        <v>4.169886729594497E-2</v>
      </c>
      <c r="DZ59">
        <f t="shared" si="34"/>
        <v>0.45209095748272499</v>
      </c>
      <c r="EA59">
        <f t="shared" si="35"/>
        <v>0.29270541350574703</v>
      </c>
      <c r="EB59">
        <f t="shared" si="36"/>
        <v>0.17080429102021319</v>
      </c>
      <c r="EC59">
        <f t="shared" si="37"/>
        <v>2.5222601107427446E-2</v>
      </c>
      <c r="ED59">
        <f t="shared" si="38"/>
        <v>1.2349229077737032E-2</v>
      </c>
      <c r="EE59">
        <f t="shared" si="39"/>
        <v>4.4439430427450763E-3</v>
      </c>
      <c r="EF59">
        <f t="shared" si="40"/>
        <v>6.519752318215323E-4</v>
      </c>
      <c r="EG59">
        <f t="shared" si="41"/>
        <v>3.2722235638901013E-5</v>
      </c>
      <c r="EH59">
        <f t="shared" si="42"/>
        <v>1.1627906976744186E-2</v>
      </c>
      <c r="EI59">
        <f t="shared" si="43"/>
        <v>0.50332225913621265</v>
      </c>
      <c r="EJ59">
        <f t="shared" si="44"/>
        <v>0.35049833887043191</v>
      </c>
      <c r="EK59">
        <f t="shared" si="45"/>
        <v>0.10963455149501661</v>
      </c>
      <c r="EL59">
        <f t="shared" si="46"/>
        <v>1.8272425249169437E-2</v>
      </c>
      <c r="EM59">
        <f t="shared" si="47"/>
        <v>6.6445182724252493E-3</v>
      </c>
      <c r="EN59">
        <f t="shared" si="48"/>
        <v>0</v>
      </c>
      <c r="EO59">
        <f t="shared" si="49"/>
        <v>0</v>
      </c>
      <c r="EP59">
        <f t="shared" si="50"/>
        <v>0</v>
      </c>
      <c r="EQ59">
        <f t="shared" si="51"/>
        <v>-1.1568779338400934</v>
      </c>
      <c r="ER59">
        <v>100</v>
      </c>
      <c r="ES59">
        <v>1.6467435073545333</v>
      </c>
    </row>
    <row r="60" spans="2:149" x14ac:dyDescent="0.3">
      <c r="B60"/>
      <c r="C60">
        <f t="shared" si="13"/>
        <v>3.7531122822168431E-2</v>
      </c>
      <c r="D60">
        <v>58</v>
      </c>
      <c r="E60">
        <v>2008</v>
      </c>
      <c r="F60" s="2">
        <v>5.1729288926012638</v>
      </c>
      <c r="G60" s="3">
        <f t="shared" si="67"/>
        <v>176.43082842218021</v>
      </c>
      <c r="H60" s="4">
        <f t="shared" si="52"/>
        <v>51.376896840809806</v>
      </c>
      <c r="I60" s="4">
        <f t="shared" si="53"/>
        <v>33.745097761753513</v>
      </c>
      <c r="J60" s="4">
        <f t="shared" si="54"/>
        <v>6.2391793884719871</v>
      </c>
      <c r="K60" s="4">
        <f t="shared" si="55"/>
        <v>1.9905831033006296</v>
      </c>
      <c r="L60" s="4">
        <f t="shared" si="56"/>
        <v>0.25103423313184464</v>
      </c>
      <c r="M60" s="4">
        <f t="shared" si="57"/>
        <v>9.9568860526692976E-2</v>
      </c>
      <c r="N60" s="4">
        <f t="shared" si="58"/>
        <v>2.7052446091379623E-2</v>
      </c>
      <c r="O60" s="4">
        <f t="shared" si="59"/>
        <v>2.7277746432696347E-3</v>
      </c>
      <c r="P60" s="22">
        <v>0.66531170331047806</v>
      </c>
      <c r="Q60" s="4"/>
      <c r="R60" s="5">
        <f t="shared" si="15"/>
        <v>4.6327369383261754</v>
      </c>
      <c r="S60" s="4">
        <f t="shared" si="16"/>
        <v>-0.52555493455580926</v>
      </c>
      <c r="T60" s="5">
        <v>4.0922396213893277</v>
      </c>
      <c r="U60" s="5">
        <f t="shared" si="72"/>
        <v>3.324510348672205</v>
      </c>
      <c r="V60" s="5">
        <v>2.7389999999999999</v>
      </c>
      <c r="W60" s="4"/>
      <c r="X60" s="4">
        <f t="shared" si="17"/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3">
        <v>0</v>
      </c>
      <c r="AH60" s="23">
        <f t="shared" si="18"/>
        <v>0</v>
      </c>
      <c r="AI60" s="10">
        <v>6.5610718218703603</v>
      </c>
      <c r="AJ60" s="4">
        <f t="shared" si="73"/>
        <v>6.5610718218703603</v>
      </c>
      <c r="AK60" s="23">
        <f t="shared" si="74"/>
        <v>4.1351968680744022</v>
      </c>
      <c r="AL60" s="23">
        <f t="shared" si="75"/>
        <v>19.527318543684675</v>
      </c>
      <c r="AM60" s="23">
        <f t="shared" si="76"/>
        <v>42.806945356547978</v>
      </c>
      <c r="AN60" s="23">
        <f t="shared" si="77"/>
        <v>9.1127486537195157</v>
      </c>
      <c r="AO60" s="23">
        <f t="shared" si="78"/>
        <v>2.4504870329329789</v>
      </c>
      <c r="AP60" s="23">
        <f t="shared" si="79"/>
        <v>0.61262175823324472</v>
      </c>
      <c r="AQ60" s="23">
        <f t="shared" si="80"/>
        <v>0.45946631867493359</v>
      </c>
      <c r="AR60" s="23">
        <f t="shared" si="81"/>
        <v>7.657771977915559E-2</v>
      </c>
      <c r="AS60" s="23">
        <f t="shared" si="82"/>
        <v>7.657771977915559E-2</v>
      </c>
      <c r="AT60" s="23">
        <f t="shared" si="21"/>
        <v>4.6327369383261754</v>
      </c>
      <c r="AU60" s="23">
        <f t="shared" si="83"/>
        <v>10.377894494461334</v>
      </c>
      <c r="AV60" s="4">
        <f t="shared" si="87"/>
        <v>0.37106368139083207</v>
      </c>
      <c r="AW60" s="4">
        <f t="shared" si="87"/>
        <v>0.37106368139083207</v>
      </c>
      <c r="AX60" s="4">
        <f t="shared" si="87"/>
        <v>0.37106368139083207</v>
      </c>
      <c r="AY60" s="4">
        <f t="shared" si="89"/>
        <v>0.49515641167153346</v>
      </c>
      <c r="AZ60" s="4">
        <f t="shared" si="89"/>
        <v>0.66074877255687903</v>
      </c>
      <c r="BA60" s="4">
        <f t="shared" si="89"/>
        <v>0.88171925101726745</v>
      </c>
      <c r="BB60" s="4">
        <f t="shared" si="89"/>
        <v>1.1765876380005351</v>
      </c>
      <c r="BC60" s="4">
        <f t="shared" si="89"/>
        <v>1.5700671934955486</v>
      </c>
      <c r="BD60" s="24">
        <f t="shared" si="24"/>
        <v>1.5700671934955486</v>
      </c>
      <c r="BE60" s="4">
        <f t="shared" si="25"/>
        <v>1.163163741776946</v>
      </c>
      <c r="BF60" s="4">
        <f t="shared" si="84"/>
        <v>0.6</v>
      </c>
      <c r="BG60" s="4">
        <f t="shared" si="85"/>
        <v>0.6322160844256024</v>
      </c>
      <c r="BH60" s="4">
        <f t="shared" si="28"/>
        <v>1.247132709116312</v>
      </c>
      <c r="BI60" s="23"/>
      <c r="BJ60" s="23"/>
      <c r="BK60" s="23"/>
      <c r="BL60" s="23"/>
      <c r="BM60" s="23"/>
      <c r="BN60" s="23"/>
      <c r="BO60" s="23"/>
      <c r="BP60" s="23"/>
      <c r="BQ60" s="23"/>
      <c r="BR60" s="13">
        <v>1.7262887115335681</v>
      </c>
      <c r="BS60" s="13">
        <v>8.1519189155751839</v>
      </c>
      <c r="BT60" s="13">
        <v>17.870284995319714</v>
      </c>
      <c r="BU60" s="13">
        <v>3.8042288272684188</v>
      </c>
      <c r="BV60" s="13">
        <v>1.0229859031310033</v>
      </c>
      <c r="BW60" s="13">
        <v>0.25574647578275084</v>
      </c>
      <c r="BX60" s="13">
        <v>0.19180985683706314</v>
      </c>
      <c r="BY60" s="13">
        <v>3.1968309472843855E-2</v>
      </c>
      <c r="BZ60" s="13">
        <v>3.1968309472843855E-2</v>
      </c>
      <c r="CA60" s="4"/>
      <c r="CB60" s="4"/>
      <c r="CC60" s="4"/>
      <c r="CD60" s="4"/>
      <c r="CE60" s="4"/>
      <c r="CF60" s="4"/>
      <c r="CG60" s="4"/>
      <c r="CH60" s="4"/>
      <c r="CI60" s="4"/>
      <c r="CJ60" s="23"/>
      <c r="CK60" s="23"/>
      <c r="CL60" s="23"/>
      <c r="CM60" s="23"/>
      <c r="CN60" s="23"/>
      <c r="CO60" s="23"/>
      <c r="CP60" s="23"/>
      <c r="CQ60" s="23"/>
      <c r="CR60" s="23"/>
      <c r="CS60" s="31">
        <f t="shared" si="29"/>
        <v>2008</v>
      </c>
      <c r="CT60" s="1">
        <v>2.6197453885975358E-2</v>
      </c>
      <c r="CU60" s="1">
        <v>0.34768661313711668</v>
      </c>
      <c r="CV60" s="1">
        <v>0.8</v>
      </c>
      <c r="CW60" s="1">
        <v>1</v>
      </c>
      <c r="CX60">
        <f t="shared" si="61"/>
        <v>1</v>
      </c>
      <c r="CY60">
        <f t="shared" si="62"/>
        <v>1</v>
      </c>
      <c r="CZ60">
        <f t="shared" si="63"/>
        <v>1</v>
      </c>
      <c r="DA60">
        <f t="shared" si="64"/>
        <v>1</v>
      </c>
      <c r="DB60">
        <f t="shared" si="65"/>
        <v>1</v>
      </c>
      <c r="DC60" s="11">
        <v>5.6500000000000002E-2</v>
      </c>
      <c r="DD60" s="11">
        <v>6.0299999999999999E-2</v>
      </c>
      <c r="DE60" s="11">
        <v>8.77E-2</v>
      </c>
      <c r="DF60" s="11">
        <v>0.10340000000000001</v>
      </c>
      <c r="DG60" s="11">
        <v>0.11559999999999999</v>
      </c>
      <c r="DH60" s="11">
        <v>0.13150000000000001</v>
      </c>
      <c r="DI60" s="11">
        <v>0.14499999999999999</v>
      </c>
      <c r="DJ60" s="11">
        <v>0.13900000000000001</v>
      </c>
      <c r="DK60" s="11">
        <v>0.16200000000000001</v>
      </c>
      <c r="DL60" s="10">
        <f t="shared" si="86"/>
        <v>8.2781256038647347E-2</v>
      </c>
      <c r="DN60" s="1">
        <v>54</v>
      </c>
      <c r="DO60" s="1">
        <v>255</v>
      </c>
      <c r="DP60" s="1">
        <v>559</v>
      </c>
      <c r="DQ60" s="1">
        <v>119</v>
      </c>
      <c r="DR60" s="1">
        <v>32</v>
      </c>
      <c r="DS60" s="1">
        <v>8</v>
      </c>
      <c r="DT60" s="1">
        <v>6</v>
      </c>
      <c r="DU60" s="1">
        <v>1</v>
      </c>
      <c r="DV60" s="1">
        <v>1</v>
      </c>
      <c r="DW60">
        <f t="shared" si="32"/>
        <v>1035</v>
      </c>
      <c r="DX60" s="19">
        <f t="shared" si="33"/>
        <v>58.091321763299312</v>
      </c>
      <c r="DY60">
        <f t="shared" si="66"/>
        <v>7.9565042614929596E-2</v>
      </c>
      <c r="DZ60">
        <f t="shared" si="34"/>
        <v>0.30749961808170867</v>
      </c>
      <c r="EA60">
        <f t="shared" si="35"/>
        <v>0.46471791981945015</v>
      </c>
      <c r="EB60">
        <f t="shared" si="36"/>
        <v>0.10740295106202505</v>
      </c>
      <c r="EC60">
        <f t="shared" si="37"/>
        <v>3.4266445363586681E-2</v>
      </c>
      <c r="ED60">
        <f t="shared" si="38"/>
        <v>4.321372375631535E-3</v>
      </c>
      <c r="EE60">
        <f t="shared" si="39"/>
        <v>1.7140057672021876E-3</v>
      </c>
      <c r="EF60">
        <f t="shared" si="40"/>
        <v>4.6568825205266207E-4</v>
      </c>
      <c r="EG60">
        <f t="shared" si="41"/>
        <v>4.6956663413242848E-5</v>
      </c>
      <c r="EH60">
        <f t="shared" si="42"/>
        <v>5.2173913043478258E-2</v>
      </c>
      <c r="EI60">
        <f t="shared" si="43"/>
        <v>0.24637681159420291</v>
      </c>
      <c r="EJ60">
        <f t="shared" si="44"/>
        <v>0.5400966183574879</v>
      </c>
      <c r="EK60">
        <f t="shared" si="45"/>
        <v>0.11497584541062802</v>
      </c>
      <c r="EL60">
        <f t="shared" si="46"/>
        <v>3.0917874396135265E-2</v>
      </c>
      <c r="EM60">
        <f t="shared" si="47"/>
        <v>7.7294685990338162E-3</v>
      </c>
      <c r="EN60">
        <f t="shared" si="48"/>
        <v>5.7971014492753624E-3</v>
      </c>
      <c r="EO60">
        <f t="shared" si="49"/>
        <v>9.6618357487922703E-4</v>
      </c>
      <c r="EP60">
        <f t="shared" si="50"/>
        <v>9.6618357487922703E-4</v>
      </c>
      <c r="EQ60">
        <f t="shared" si="51"/>
        <v>-1.2911220945913495</v>
      </c>
      <c r="ER60">
        <v>100</v>
      </c>
      <c r="ES60">
        <v>1.4705109149626794</v>
      </c>
    </row>
    <row r="61" spans="2:149" x14ac:dyDescent="0.3">
      <c r="B61"/>
      <c r="C61">
        <f t="shared" si="13"/>
        <v>0.49487526781050811</v>
      </c>
      <c r="D61">
        <v>59</v>
      </c>
      <c r="E61">
        <v>2009</v>
      </c>
      <c r="F61" s="2">
        <v>4.3929093666965997</v>
      </c>
      <c r="G61" s="3">
        <f t="shared" si="67"/>
        <v>80.87537314804473</v>
      </c>
      <c r="H61" s="4">
        <f t="shared" si="52"/>
        <v>135.66824969261427</v>
      </c>
      <c r="I61" s="4">
        <f t="shared" si="53"/>
        <v>31.76448085058724</v>
      </c>
      <c r="J61" s="4">
        <f t="shared" si="54"/>
        <v>13.70876868316337</v>
      </c>
      <c r="K61" s="4">
        <f t="shared" si="55"/>
        <v>1.7952146158615871</v>
      </c>
      <c r="L61" s="4">
        <f t="shared" si="56"/>
        <v>0.51300637311884811</v>
      </c>
      <c r="M61" s="4">
        <f t="shared" si="57"/>
        <v>5.5850610035349399E-2</v>
      </c>
      <c r="N61" s="4">
        <f t="shared" si="58"/>
        <v>1.8206182113763746E-2</v>
      </c>
      <c r="O61" s="4">
        <f t="shared" si="59"/>
        <v>3.8072327733011968E-3</v>
      </c>
      <c r="P61" s="22">
        <v>1.7028489665872244</v>
      </c>
      <c r="Q61" s="4"/>
      <c r="R61" s="5">
        <f t="shared" si="15"/>
        <v>7.3145525997561647</v>
      </c>
      <c r="S61" s="4">
        <f t="shared" si="16"/>
        <v>0.37164828995095106</v>
      </c>
      <c r="T61" s="5">
        <v>6.1978379986758698</v>
      </c>
      <c r="U61" s="5">
        <f t="shared" si="72"/>
        <v>5.2490150288098336</v>
      </c>
      <c r="V61" s="5">
        <v>10.606999999999999</v>
      </c>
      <c r="W61" s="4"/>
      <c r="X61" s="4">
        <f t="shared" si="17"/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f t="shared" si="18"/>
        <v>0</v>
      </c>
      <c r="AI61" s="10">
        <v>7.3095719940623454</v>
      </c>
      <c r="AJ61" s="4">
        <f t="shared" si="73"/>
        <v>7.3095719940623454</v>
      </c>
      <c r="AK61" s="23">
        <f t="shared" si="74"/>
        <v>2.2291072565192809</v>
      </c>
      <c r="AL61" s="23">
        <f t="shared" si="75"/>
        <v>60.996480382936682</v>
      </c>
      <c r="AM61" s="23">
        <f t="shared" si="76"/>
        <v>14.387874110260812</v>
      </c>
      <c r="AN61" s="23">
        <f t="shared" si="77"/>
        <v>11.652151568168968</v>
      </c>
      <c r="AO61" s="23">
        <f t="shared" si="78"/>
        <v>2.0771226708475115</v>
      </c>
      <c r="AP61" s="23">
        <f t="shared" si="79"/>
        <v>0.50661528557256386</v>
      </c>
      <c r="AQ61" s="23">
        <f t="shared" si="80"/>
        <v>0</v>
      </c>
      <c r="AR61" s="23">
        <f t="shared" si="81"/>
        <v>0</v>
      </c>
      <c r="AS61" s="23">
        <f t="shared" si="82"/>
        <v>0</v>
      </c>
      <c r="AT61" s="23">
        <f t="shared" si="21"/>
        <v>7.3145525997561629</v>
      </c>
      <c r="AU61" s="23">
        <f t="shared" si="83"/>
        <v>22.090527849546994</v>
      </c>
      <c r="AV61" s="4">
        <f t="shared" si="87"/>
        <v>0.37106368139083207</v>
      </c>
      <c r="AW61" s="4">
        <f t="shared" si="87"/>
        <v>0.37106368139083207</v>
      </c>
      <c r="AX61" s="4">
        <f t="shared" si="87"/>
        <v>0.37106368139083207</v>
      </c>
      <c r="AY61" s="4">
        <f t="shared" si="89"/>
        <v>0.49515641167153346</v>
      </c>
      <c r="AZ61" s="4">
        <f t="shared" si="89"/>
        <v>0.66074877255687903</v>
      </c>
      <c r="BA61" s="4">
        <f t="shared" si="89"/>
        <v>0.88171925101726745</v>
      </c>
      <c r="BB61" s="4">
        <f t="shared" si="89"/>
        <v>1.1765876380005351</v>
      </c>
      <c r="BC61" s="4">
        <f t="shared" si="89"/>
        <v>1.5700671934955486</v>
      </c>
      <c r="BD61" s="24">
        <f t="shared" si="24"/>
        <v>1.5700671934955486</v>
      </c>
      <c r="BE61" s="4">
        <f t="shared" si="25"/>
        <v>1.5481561382685844</v>
      </c>
      <c r="BF61" s="4">
        <f t="shared" si="84"/>
        <v>0.6</v>
      </c>
      <c r="BG61" s="4">
        <f t="shared" si="85"/>
        <v>0.33089168551543874</v>
      </c>
      <c r="BH61" s="4">
        <f t="shared" si="28"/>
        <v>1.0336747332944127</v>
      </c>
      <c r="BI61" s="23"/>
      <c r="BJ61" s="23"/>
      <c r="BK61" s="23"/>
      <c r="BL61" s="23"/>
      <c r="BM61" s="23"/>
      <c r="BN61" s="23"/>
      <c r="BO61" s="23"/>
      <c r="BP61" s="23"/>
      <c r="BQ61" s="23"/>
      <c r="BR61" s="13">
        <v>3.2346819607367476</v>
      </c>
      <c r="BS61" s="13">
        <v>88.512660925614639</v>
      </c>
      <c r="BT61" s="13">
        <v>20.878401746573555</v>
      </c>
      <c r="BU61" s="13">
        <v>16.908564794760274</v>
      </c>
      <c r="BV61" s="13">
        <v>3.0141354634137874</v>
      </c>
      <c r="BW61" s="13">
        <v>0.73515499107653359</v>
      </c>
      <c r="BX61" s="13">
        <v>0</v>
      </c>
      <c r="BY61" s="13">
        <v>0</v>
      </c>
      <c r="BZ61" s="13">
        <v>0</v>
      </c>
      <c r="CA61" s="4"/>
      <c r="CB61" s="4"/>
      <c r="CC61" s="4"/>
      <c r="CD61" s="4"/>
      <c r="CE61" s="4"/>
      <c r="CF61" s="4"/>
      <c r="CG61" s="4"/>
      <c r="CH61" s="4"/>
      <c r="CI61" s="4"/>
      <c r="CJ61" s="23"/>
      <c r="CK61" s="23"/>
      <c r="CL61" s="23"/>
      <c r="CM61" s="23"/>
      <c r="CN61" s="23"/>
      <c r="CO61" s="23"/>
      <c r="CP61" s="23"/>
      <c r="CQ61" s="23"/>
      <c r="CR61" s="23"/>
      <c r="CS61" s="31">
        <f t="shared" si="29"/>
        <v>2009</v>
      </c>
      <c r="CT61" s="1">
        <v>2.6197453885975358E-2</v>
      </c>
      <c r="CU61" s="1">
        <v>0.34768661313711668</v>
      </c>
      <c r="CV61" s="1">
        <v>0.8</v>
      </c>
      <c r="CW61" s="1">
        <v>1</v>
      </c>
      <c r="CX61">
        <f t="shared" si="61"/>
        <v>1</v>
      </c>
      <c r="CY61">
        <f t="shared" si="62"/>
        <v>1</v>
      </c>
      <c r="CZ61">
        <f t="shared" si="63"/>
        <v>1</v>
      </c>
      <c r="DA61">
        <f t="shared" si="64"/>
        <v>1</v>
      </c>
      <c r="DB61">
        <f t="shared" si="65"/>
        <v>1</v>
      </c>
      <c r="DC61" s="11">
        <v>4.6100000000000002E-2</v>
      </c>
      <c r="DD61" s="11">
        <v>7.5300000000000006E-2</v>
      </c>
      <c r="DE61" s="11">
        <v>7.7700000000000005E-2</v>
      </c>
      <c r="DF61" s="11">
        <v>0.1038</v>
      </c>
      <c r="DG61" s="11">
        <v>0.1101</v>
      </c>
      <c r="DH61" s="11">
        <v>0.1138</v>
      </c>
      <c r="DI61" s="11">
        <v>0.1439</v>
      </c>
      <c r="DJ61" s="11">
        <v>0.15770000000000001</v>
      </c>
      <c r="DK61" s="11">
        <v>0.15340000000000001</v>
      </c>
      <c r="DL61" s="10">
        <f t="shared" si="86"/>
        <v>7.9582184225041389E-2</v>
      </c>
      <c r="DN61" s="1">
        <v>44</v>
      </c>
      <c r="DO61" s="1">
        <v>1204</v>
      </c>
      <c r="DP61" s="1">
        <v>284</v>
      </c>
      <c r="DQ61" s="1">
        <v>230</v>
      </c>
      <c r="DR61" s="1">
        <v>41</v>
      </c>
      <c r="DS61" s="1">
        <v>10</v>
      </c>
      <c r="DT61" s="1">
        <v>0</v>
      </c>
      <c r="DU61" s="1">
        <v>0</v>
      </c>
      <c r="DV61" s="1">
        <v>0</v>
      </c>
      <c r="DW61">
        <f t="shared" si="32"/>
        <v>1813</v>
      </c>
      <c r="DX61" s="19">
        <f t="shared" si="33"/>
        <v>90.795201481958671</v>
      </c>
      <c r="DY61">
        <f t="shared" si="66"/>
        <v>2.3335251466763369E-2</v>
      </c>
      <c r="DZ61">
        <f t="shared" si="34"/>
        <v>0.51952122442548443</v>
      </c>
      <c r="EA61">
        <f t="shared" si="35"/>
        <v>0.27987805815397815</v>
      </c>
      <c r="EB61">
        <f t="shared" si="36"/>
        <v>0.15098560782297896</v>
      </c>
      <c r="EC61">
        <f t="shared" si="37"/>
        <v>1.977213097785022E-2</v>
      </c>
      <c r="ED61">
        <f t="shared" si="38"/>
        <v>5.6501485182648588E-3</v>
      </c>
      <c r="EE61">
        <f t="shared" si="39"/>
        <v>6.1512733188269996E-4</v>
      </c>
      <c r="EF61">
        <f t="shared" si="40"/>
        <v>2.0051921044947932E-4</v>
      </c>
      <c r="EG61">
        <f t="shared" si="41"/>
        <v>4.1932092348048897E-5</v>
      </c>
      <c r="EH61">
        <f t="shared" si="42"/>
        <v>2.4269167126309985E-2</v>
      </c>
      <c r="EI61">
        <f t="shared" si="43"/>
        <v>0.6640926640926641</v>
      </c>
      <c r="EJ61">
        <f t="shared" si="44"/>
        <v>0.15664644236072808</v>
      </c>
      <c r="EK61">
        <f t="shared" si="45"/>
        <v>0.126861555432984</v>
      </c>
      <c r="EL61">
        <f t="shared" si="46"/>
        <v>2.2614451185879757E-2</v>
      </c>
      <c r="EM61">
        <f t="shared" si="47"/>
        <v>5.5157198014340872E-3</v>
      </c>
      <c r="EN61">
        <f t="shared" si="48"/>
        <v>0</v>
      </c>
      <c r="EO61">
        <f t="shared" si="49"/>
        <v>0</v>
      </c>
      <c r="EP61">
        <f t="shared" si="50"/>
        <v>0</v>
      </c>
      <c r="EQ61">
        <f t="shared" si="51"/>
        <v>-1.082087216092757</v>
      </c>
      <c r="ER61">
        <v>100</v>
      </c>
      <c r="ES61">
        <v>0.89182273760683184</v>
      </c>
    </row>
    <row r="62" spans="2:149" x14ac:dyDescent="0.3">
      <c r="B62"/>
      <c r="C62">
        <f t="shared" si="13"/>
        <v>0.39068558145805921</v>
      </c>
      <c r="D62">
        <v>60</v>
      </c>
      <c r="E62">
        <v>2010</v>
      </c>
      <c r="F62" s="2">
        <v>5.7887475819848033</v>
      </c>
      <c r="G62" s="3">
        <f t="shared" si="67"/>
        <v>326.603723734288</v>
      </c>
      <c r="H62" s="4">
        <f t="shared" si="52"/>
        <v>42.317497068451878</v>
      </c>
      <c r="I62" s="4">
        <f t="shared" si="53"/>
        <v>57.075804410904574</v>
      </c>
      <c r="J62" s="4">
        <f t="shared" si="54"/>
        <v>8.7807062011261134</v>
      </c>
      <c r="K62" s="4">
        <f t="shared" si="55"/>
        <v>2.3597799240484743</v>
      </c>
      <c r="L62" s="4">
        <f t="shared" si="56"/>
        <v>0.23309212473094321</v>
      </c>
      <c r="M62" s="4">
        <f t="shared" si="57"/>
        <v>4.5721233638787356E-2</v>
      </c>
      <c r="N62" s="4">
        <f t="shared" si="58"/>
        <v>3.0127059838429694E-3</v>
      </c>
      <c r="O62" s="4">
        <f t="shared" si="59"/>
        <v>5.0252151863859553E-4</v>
      </c>
      <c r="P62" s="22">
        <v>0.77278534152795386</v>
      </c>
      <c r="Q62" s="4"/>
      <c r="R62" s="5">
        <f t="shared" si="15"/>
        <v>6.4151343059849602</v>
      </c>
      <c r="S62" s="4">
        <f t="shared" si="16"/>
        <v>-0.95687388841800203</v>
      </c>
      <c r="T62" s="5">
        <v>5.9399748890927571</v>
      </c>
      <c r="U62" s="5">
        <f t="shared" si="72"/>
        <v>4.6035811383831069</v>
      </c>
      <c r="V62" s="5">
        <v>2.464</v>
      </c>
      <c r="W62" s="4"/>
      <c r="X62" s="4">
        <f t="shared" si="17"/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  <c r="AG62" s="23">
        <v>0</v>
      </c>
      <c r="AH62" s="23">
        <f t="shared" si="18"/>
        <v>0</v>
      </c>
      <c r="AI62" s="10">
        <v>8.2726811999999992</v>
      </c>
      <c r="AJ62" s="4">
        <f t="shared" si="73"/>
        <v>8.2726811999999992</v>
      </c>
      <c r="AK62" s="23">
        <f t="shared" si="74"/>
        <v>19.293037827809574</v>
      </c>
      <c r="AL62" s="23">
        <f t="shared" si="75"/>
        <v>32.353774110118863</v>
      </c>
      <c r="AM62" s="23">
        <f t="shared" si="76"/>
        <v>46.552582848562984</v>
      </c>
      <c r="AN62" s="23">
        <f t="shared" si="77"/>
        <v>5.6903622806741714</v>
      </c>
      <c r="AO62" s="23">
        <f t="shared" si="78"/>
        <v>4.931647309917615</v>
      </c>
      <c r="AP62" s="23">
        <f t="shared" si="79"/>
        <v>0.75871497075655614</v>
      </c>
      <c r="AQ62" s="23">
        <f t="shared" si="80"/>
        <v>0.10838785296522231</v>
      </c>
      <c r="AR62" s="23">
        <f t="shared" si="81"/>
        <v>0</v>
      </c>
      <c r="AS62" s="23">
        <f t="shared" si="82"/>
        <v>0</v>
      </c>
      <c r="AT62" s="23">
        <f t="shared" si="21"/>
        <v>6.4151343059849602</v>
      </c>
      <c r="AU62" s="23">
        <f t="shared" si="83"/>
        <v>11.706288744820794</v>
      </c>
      <c r="AV62" s="4">
        <f t="shared" si="87"/>
        <v>0.37106368139083207</v>
      </c>
      <c r="AW62" s="4">
        <f t="shared" si="87"/>
        <v>0.37106368139083207</v>
      </c>
      <c r="AX62" s="4">
        <f t="shared" si="87"/>
        <v>0.37106368139083207</v>
      </c>
      <c r="AY62" s="4">
        <f t="shared" si="89"/>
        <v>0.49515641167153346</v>
      </c>
      <c r="AZ62" s="4">
        <f t="shared" si="89"/>
        <v>0.66074877255687903</v>
      </c>
      <c r="BA62" s="4">
        <f t="shared" si="89"/>
        <v>0.88171925101726745</v>
      </c>
      <c r="BB62" s="4">
        <f t="shared" si="89"/>
        <v>1.1765876380005351</v>
      </c>
      <c r="BC62" s="4">
        <f t="shared" si="89"/>
        <v>1.5700671934955486</v>
      </c>
      <c r="BD62" s="24">
        <f t="shared" si="24"/>
        <v>1.5700671934955486</v>
      </c>
      <c r="BE62" s="4">
        <f t="shared" si="25"/>
        <v>1.2030433056263889</v>
      </c>
      <c r="BF62" s="4">
        <f t="shared" si="84"/>
        <v>0.6</v>
      </c>
      <c r="BG62" s="4">
        <f t="shared" si="85"/>
        <v>0.70668692532123611</v>
      </c>
      <c r="BH62" s="4">
        <f t="shared" si="28"/>
        <v>1.5132672999103516</v>
      </c>
      <c r="BI62" s="23"/>
      <c r="BJ62" s="23"/>
      <c r="BK62" s="23"/>
      <c r="BL62" s="23"/>
      <c r="BM62" s="23"/>
      <c r="BN62" s="23"/>
      <c r="BO62" s="23"/>
      <c r="BP62" s="23"/>
      <c r="BQ62" s="23"/>
      <c r="BR62" s="13">
        <v>5.7463891159885137</v>
      </c>
      <c r="BS62" s="13">
        <v>9.6365008490032089</v>
      </c>
      <c r="BT62" s="13">
        <v>13.865584973691384</v>
      </c>
      <c r="BU62" s="13">
        <v>1.6948619583673987</v>
      </c>
      <c r="BV62" s="13">
        <v>1.468880363918412</v>
      </c>
      <c r="BW62" s="13">
        <v>0.22598159444898647</v>
      </c>
      <c r="BX62" s="13">
        <v>3.2283084921283782E-2</v>
      </c>
      <c r="BY62" s="13">
        <v>0</v>
      </c>
      <c r="BZ62" s="13">
        <v>0</v>
      </c>
      <c r="CA62" s="4"/>
      <c r="CB62" s="4"/>
      <c r="CC62" s="4"/>
      <c r="CD62" s="4"/>
      <c r="CE62" s="4"/>
      <c r="CF62" s="4"/>
      <c r="CG62" s="4"/>
      <c r="CH62" s="4"/>
      <c r="CI62" s="4"/>
      <c r="CJ62" s="23"/>
      <c r="CK62" s="23"/>
      <c r="CL62" s="23"/>
      <c r="CM62" s="23"/>
      <c r="CN62" s="23"/>
      <c r="CO62" s="23"/>
      <c r="CP62" s="23"/>
      <c r="CQ62" s="23"/>
      <c r="CR62" s="23"/>
      <c r="CS62" s="31">
        <f t="shared" si="29"/>
        <v>2010</v>
      </c>
      <c r="CT62" s="1">
        <v>2.6197453885975358E-2</v>
      </c>
      <c r="CU62" s="1">
        <v>0.34768661313711668</v>
      </c>
      <c r="CV62" s="1">
        <v>0.8</v>
      </c>
      <c r="CW62" s="1">
        <v>1</v>
      </c>
      <c r="CX62">
        <f t="shared" si="61"/>
        <v>1</v>
      </c>
      <c r="CY62">
        <f t="shared" si="62"/>
        <v>1</v>
      </c>
      <c r="CZ62">
        <f t="shared" si="63"/>
        <v>1</v>
      </c>
      <c r="DA62">
        <f t="shared" si="64"/>
        <v>1</v>
      </c>
      <c r="DB62">
        <f t="shared" si="65"/>
        <v>1</v>
      </c>
      <c r="DC62" s="11">
        <v>4.3999999999999997E-2</v>
      </c>
      <c r="DD62" s="11">
        <v>7.0999999999999994E-2</v>
      </c>
      <c r="DE62" s="11">
        <v>8.5400000000000004E-2</v>
      </c>
      <c r="DF62" s="11">
        <v>9.2299999999999993E-2</v>
      </c>
      <c r="DG62" s="11">
        <v>0.1065</v>
      </c>
      <c r="DH62" s="11">
        <v>0.11700000000000001</v>
      </c>
      <c r="DI62" s="11">
        <v>0.1095</v>
      </c>
      <c r="DJ62" s="11">
        <v>0.15609999999999999</v>
      </c>
      <c r="DK62" s="11">
        <v>0.15870000000000001</v>
      </c>
      <c r="DL62" s="10">
        <f t="shared" si="86"/>
        <v>7.5419762845849794E-2</v>
      </c>
      <c r="DN62" s="1">
        <v>356</v>
      </c>
      <c r="DO62" s="1">
        <v>597</v>
      </c>
      <c r="DP62" s="1">
        <v>859</v>
      </c>
      <c r="DQ62" s="1">
        <v>105</v>
      </c>
      <c r="DR62" s="1">
        <v>91</v>
      </c>
      <c r="DS62" s="1">
        <v>14</v>
      </c>
      <c r="DT62" s="1">
        <v>2</v>
      </c>
      <c r="DU62" s="1">
        <v>0</v>
      </c>
      <c r="DV62" s="1">
        <v>0</v>
      </c>
      <c r="DW62">
        <f t="shared" si="32"/>
        <v>2024</v>
      </c>
      <c r="DX62" s="19">
        <f t="shared" si="33"/>
        <v>80.352871463457191</v>
      </c>
      <c r="DY62">
        <f t="shared" si="66"/>
        <v>0.10648264132549413</v>
      </c>
      <c r="DZ62">
        <f t="shared" si="34"/>
        <v>0.18310767199976377</v>
      </c>
      <c r="EA62">
        <f t="shared" si="35"/>
        <v>0.5682515471707712</v>
      </c>
      <c r="EB62">
        <f t="shared" si="36"/>
        <v>0.10927681912549193</v>
      </c>
      <c r="EC62">
        <f t="shared" si="37"/>
        <v>2.936771121019182E-2</v>
      </c>
      <c r="ED62">
        <f t="shared" si="38"/>
        <v>2.9008561920148509E-3</v>
      </c>
      <c r="EE62">
        <f t="shared" si="39"/>
        <v>5.6900559751097909E-4</v>
      </c>
      <c r="EF62">
        <f t="shared" si="40"/>
        <v>3.7493445212011932E-5</v>
      </c>
      <c r="EG62">
        <f t="shared" si="41"/>
        <v>6.253933549433038E-6</v>
      </c>
      <c r="EH62">
        <f t="shared" si="42"/>
        <v>0.17588932806324112</v>
      </c>
      <c r="EI62">
        <f t="shared" si="43"/>
        <v>0.29496047430830041</v>
      </c>
      <c r="EJ62">
        <f t="shared" si="44"/>
        <v>0.42440711462450592</v>
      </c>
      <c r="EK62">
        <f t="shared" si="45"/>
        <v>5.1877470355731224E-2</v>
      </c>
      <c r="EL62">
        <f t="shared" si="46"/>
        <v>4.4960474308300392E-2</v>
      </c>
      <c r="EM62">
        <f t="shared" si="47"/>
        <v>6.91699604743083E-3</v>
      </c>
      <c r="EN62">
        <f t="shared" si="48"/>
        <v>9.8814229249011851E-4</v>
      </c>
      <c r="EO62">
        <f t="shared" si="49"/>
        <v>0</v>
      </c>
      <c r="EP62">
        <f t="shared" si="50"/>
        <v>0</v>
      </c>
      <c r="EQ62">
        <f t="shared" si="51"/>
        <v>-1.4548381499712877</v>
      </c>
      <c r="ER62">
        <v>100</v>
      </c>
      <c r="ES62">
        <v>1.6961039502964119</v>
      </c>
    </row>
    <row r="63" spans="2:149" x14ac:dyDescent="0.3">
      <c r="B63"/>
      <c r="C63">
        <f t="shared" si="13"/>
        <v>0.11848583205880425</v>
      </c>
      <c r="D63">
        <v>61</v>
      </c>
      <c r="E63">
        <v>2011</v>
      </c>
      <c r="F63" s="2">
        <v>4.6040928372996124</v>
      </c>
      <c r="G63" s="3">
        <f t="shared" si="67"/>
        <v>99.892323144326582</v>
      </c>
      <c r="H63" s="4">
        <f t="shared" si="52"/>
        <v>241.326717757887</v>
      </c>
      <c r="I63" s="4">
        <f t="shared" si="53"/>
        <v>25.140527777798294</v>
      </c>
      <c r="J63" s="4">
        <f t="shared" si="54"/>
        <v>22.280263574536725</v>
      </c>
      <c r="K63" s="4">
        <f t="shared" si="55"/>
        <v>2.3955587178358542</v>
      </c>
      <c r="L63" s="4">
        <f t="shared" si="56"/>
        <v>0.56646536691577576</v>
      </c>
      <c r="M63" s="4">
        <f t="shared" si="57"/>
        <v>4.7170246173017294E-2</v>
      </c>
      <c r="N63" s="4">
        <f t="shared" si="58"/>
        <v>7.3670872390100553E-3</v>
      </c>
      <c r="O63" s="4">
        <f t="shared" si="59"/>
        <v>3.5815946049919995E-4</v>
      </c>
      <c r="P63" s="22">
        <v>1.2886284422981311</v>
      </c>
      <c r="Q63" s="4"/>
      <c r="R63" s="5">
        <f t="shared" si="15"/>
        <v>9.5439922606677499</v>
      </c>
      <c r="S63" s="4">
        <f t="shared" si="16"/>
        <v>1.2392285132640792E-2</v>
      </c>
      <c r="T63" s="5">
        <v>8.7563737186452713</v>
      </c>
      <c r="U63" s="5">
        <f t="shared" si="72"/>
        <v>6.848888995994062</v>
      </c>
      <c r="V63" s="5">
        <v>9.6630000000000003</v>
      </c>
      <c r="W63" s="4"/>
      <c r="X63" s="4">
        <f t="shared" si="17"/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  <c r="AG63" s="23">
        <v>0</v>
      </c>
      <c r="AH63" s="23">
        <f t="shared" si="18"/>
        <v>0</v>
      </c>
      <c r="AI63" s="10">
        <v>8.771486392874813</v>
      </c>
      <c r="AJ63" s="4">
        <f t="shared" si="73"/>
        <v>8.771486392874813</v>
      </c>
      <c r="AK63" s="23">
        <f t="shared" si="74"/>
        <v>6.1078452346713554</v>
      </c>
      <c r="AL63" s="23">
        <f t="shared" si="75"/>
        <v>79.401988050727624</v>
      </c>
      <c r="AM63" s="23">
        <f t="shared" si="76"/>
        <v>26.598680860665578</v>
      </c>
      <c r="AN63" s="23">
        <f t="shared" si="77"/>
        <v>12.117176836525431</v>
      </c>
      <c r="AO63" s="23">
        <f t="shared" si="78"/>
        <v>1.1821635938073589</v>
      </c>
      <c r="AP63" s="23">
        <f t="shared" si="79"/>
        <v>0.59108179690367946</v>
      </c>
      <c r="AQ63" s="23">
        <f t="shared" si="80"/>
        <v>0</v>
      </c>
      <c r="AR63" s="23">
        <f t="shared" si="81"/>
        <v>0</v>
      </c>
      <c r="AS63" s="23">
        <f t="shared" si="82"/>
        <v>0</v>
      </c>
      <c r="AT63" s="23">
        <f t="shared" si="21"/>
        <v>9.5439922606677499</v>
      </c>
      <c r="AU63" s="23">
        <f t="shared" si="83"/>
        <v>22.236969227941106</v>
      </c>
      <c r="AV63" s="4">
        <f t="shared" ref="AV63:AX74" si="90">-LN(Su)</f>
        <v>0.37106368139083207</v>
      </c>
      <c r="AW63" s="4">
        <f t="shared" si="90"/>
        <v>0.37106368139083207</v>
      </c>
      <c r="AX63" s="4">
        <f t="shared" si="90"/>
        <v>0.37106368139083207</v>
      </c>
      <c r="AY63" s="4">
        <f t="shared" ref="AY63:BC72" si="91">AX63*EXP(tanasMsl)</f>
        <v>0.49515641167153346</v>
      </c>
      <c r="AZ63" s="4">
        <f t="shared" si="91"/>
        <v>0.66074877255687903</v>
      </c>
      <c r="BA63" s="4">
        <f t="shared" si="91"/>
        <v>0.88171925101726745</v>
      </c>
      <c r="BB63" s="4">
        <f t="shared" si="91"/>
        <v>1.1765876380005351</v>
      </c>
      <c r="BC63" s="4">
        <f t="shared" si="91"/>
        <v>1.5700671934955486</v>
      </c>
      <c r="BD63" s="24">
        <f t="shared" si="24"/>
        <v>1.5700671934955486</v>
      </c>
      <c r="BE63" s="4">
        <f t="shared" si="25"/>
        <v>1.394453945618233</v>
      </c>
      <c r="BF63" s="4">
        <f t="shared" si="84"/>
        <v>0.6</v>
      </c>
      <c r="BG63" s="4">
        <f t="shared" si="85"/>
        <v>0.39445512124257026</v>
      </c>
      <c r="BH63" s="4">
        <f t="shared" si="28"/>
        <v>0.97978981397032872</v>
      </c>
      <c r="BI63" s="23"/>
      <c r="BJ63" s="23"/>
      <c r="BK63" s="23"/>
      <c r="BL63" s="23"/>
      <c r="BM63" s="23"/>
      <c r="BN63" s="23"/>
      <c r="BO63" s="23"/>
      <c r="BP63" s="23"/>
      <c r="BQ63" s="23"/>
      <c r="BR63" s="13">
        <v>6.7286325098300406</v>
      </c>
      <c r="BS63" s="13">
        <v>87.472222627790529</v>
      </c>
      <c r="BT63" s="13">
        <v>29.302109317001793</v>
      </c>
      <c r="BU63" s="13">
        <v>13.34873868885637</v>
      </c>
      <c r="BV63" s="13">
        <v>1.3023159696445241</v>
      </c>
      <c r="BW63" s="13">
        <v>0.65115798482226206</v>
      </c>
      <c r="BX63" s="13">
        <v>0</v>
      </c>
      <c r="BY63" s="13">
        <v>0</v>
      </c>
      <c r="BZ63" s="13">
        <v>0</v>
      </c>
      <c r="CA63" s="4"/>
      <c r="CB63" s="4"/>
      <c r="CC63" s="4"/>
      <c r="CD63" s="4"/>
      <c r="CE63" s="4"/>
      <c r="CF63" s="4"/>
      <c r="CG63" s="4"/>
      <c r="CH63" s="4"/>
      <c r="CI63" s="4"/>
      <c r="CJ63" s="23"/>
      <c r="CK63" s="23"/>
      <c r="CL63" s="23"/>
      <c r="CM63" s="23"/>
      <c r="CN63" s="23"/>
      <c r="CO63" s="23"/>
      <c r="CP63" s="23"/>
      <c r="CQ63" s="23"/>
      <c r="CR63" s="23"/>
      <c r="CS63" s="31">
        <f t="shared" si="29"/>
        <v>2011</v>
      </c>
      <c r="CT63" s="1">
        <v>2.6197453885975358E-2</v>
      </c>
      <c r="CU63" s="1">
        <v>0.34768661313711668</v>
      </c>
      <c r="CV63" s="1">
        <v>0.8</v>
      </c>
      <c r="CW63" s="1">
        <v>1</v>
      </c>
      <c r="CX63">
        <f t="shared" si="61"/>
        <v>1</v>
      </c>
      <c r="CY63">
        <f t="shared" si="62"/>
        <v>1</v>
      </c>
      <c r="CZ63">
        <f t="shared" si="63"/>
        <v>1</v>
      </c>
      <c r="DA63">
        <f t="shared" si="64"/>
        <v>1</v>
      </c>
      <c r="DB63">
        <f t="shared" si="65"/>
        <v>1</v>
      </c>
      <c r="DC63" s="11">
        <v>4.5699999999999998E-2</v>
      </c>
      <c r="DD63" s="11">
        <v>6.5799999999999997E-2</v>
      </c>
      <c r="DE63" s="11">
        <v>7.2099999999999997E-2</v>
      </c>
      <c r="DF63" s="11">
        <v>9.6299999999999997E-2</v>
      </c>
      <c r="DG63" s="11">
        <v>9.8699999999999996E-2</v>
      </c>
      <c r="DH63" s="11">
        <v>0.1123</v>
      </c>
      <c r="DI63" s="11">
        <v>0.13600000000000001</v>
      </c>
      <c r="DJ63" s="11">
        <v>0.15679999999999999</v>
      </c>
      <c r="DK63" s="11">
        <v>0.16309999999999999</v>
      </c>
      <c r="DL63" s="10">
        <f t="shared" si="86"/>
        <v>6.961555903049256E-2</v>
      </c>
      <c r="DN63" s="1">
        <v>62</v>
      </c>
      <c r="DO63" s="1">
        <v>806</v>
      </c>
      <c r="DP63" s="1">
        <v>270</v>
      </c>
      <c r="DQ63" s="1">
        <v>123</v>
      </c>
      <c r="DR63" s="1">
        <v>12</v>
      </c>
      <c r="DS63" s="1">
        <v>6</v>
      </c>
      <c r="DT63" s="1">
        <v>0</v>
      </c>
      <c r="DU63" s="1">
        <v>0</v>
      </c>
      <c r="DV63" s="1">
        <v>0</v>
      </c>
      <c r="DW63">
        <f t="shared" si="32"/>
        <v>1279</v>
      </c>
      <c r="DX63" s="19">
        <f t="shared" si="33"/>
        <v>131.93259906027254</v>
      </c>
      <c r="DY63">
        <f t="shared" si="66"/>
        <v>1.9835313999543962E-2</v>
      </c>
      <c r="DZ63">
        <f t="shared" si="34"/>
        <v>0.63597677719063717</v>
      </c>
      <c r="EA63">
        <f t="shared" si="35"/>
        <v>0.15244467527733921</v>
      </c>
      <c r="EB63">
        <f t="shared" si="36"/>
        <v>0.16887610593010552</v>
      </c>
      <c r="EC63">
        <f t="shared" si="37"/>
        <v>1.8157443534796574E-2</v>
      </c>
      <c r="ED63">
        <f t="shared" si="38"/>
        <v>4.2935966618605744E-3</v>
      </c>
      <c r="EE63">
        <f t="shared" si="39"/>
        <v>3.5753291081204181E-4</v>
      </c>
      <c r="EF63">
        <f t="shared" si="40"/>
        <v>5.583977948955929E-5</v>
      </c>
      <c r="EG63">
        <f t="shared" si="41"/>
        <v>2.7147154156765847E-6</v>
      </c>
      <c r="EH63">
        <f t="shared" si="42"/>
        <v>4.847537138389367E-2</v>
      </c>
      <c r="EI63">
        <f t="shared" si="43"/>
        <v>0.63017982799061767</v>
      </c>
      <c r="EJ63">
        <f t="shared" si="44"/>
        <v>0.21110242376856919</v>
      </c>
      <c r="EK63">
        <f t="shared" si="45"/>
        <v>9.616888193901485E-2</v>
      </c>
      <c r="EL63">
        <f t="shared" si="46"/>
        <v>9.3823299452697427E-3</v>
      </c>
      <c r="EM63">
        <f t="shared" si="47"/>
        <v>4.6911649726348714E-3</v>
      </c>
      <c r="EN63">
        <f t="shared" si="48"/>
        <v>0</v>
      </c>
      <c r="EO63">
        <f t="shared" si="49"/>
        <v>0</v>
      </c>
      <c r="EP63">
        <f t="shared" si="50"/>
        <v>0</v>
      </c>
      <c r="EQ63">
        <f t="shared" si="51"/>
        <v>-1.1058543209967882</v>
      </c>
      <c r="ER63">
        <v>100</v>
      </c>
      <c r="ES63">
        <v>0.89406151726385152</v>
      </c>
    </row>
    <row r="64" spans="2:149" x14ac:dyDescent="0.3">
      <c r="B64"/>
      <c r="C64">
        <f t="shared" si="13"/>
        <v>0.18429308228971827</v>
      </c>
      <c r="D64">
        <v>62</v>
      </c>
      <c r="E64">
        <v>2012</v>
      </c>
      <c r="F64" s="2">
        <v>5.2074357164727703</v>
      </c>
      <c r="G64" s="3">
        <f t="shared" si="67"/>
        <v>182.62515457421364</v>
      </c>
      <c r="H64" s="4">
        <f t="shared" si="52"/>
        <v>60.951977867643471</v>
      </c>
      <c r="I64" s="4">
        <f t="shared" si="53"/>
        <v>118.39442135767709</v>
      </c>
      <c r="J64" s="4">
        <f t="shared" si="54"/>
        <v>8.1042735015893577</v>
      </c>
      <c r="K64" s="4">
        <f t="shared" si="55"/>
        <v>4.7083516458675811</v>
      </c>
      <c r="L64" s="4">
        <f t="shared" si="56"/>
        <v>0.40896164508316635</v>
      </c>
      <c r="M64" s="4">
        <f t="shared" si="57"/>
        <v>7.2741837944449161E-2</v>
      </c>
      <c r="N64" s="4">
        <f t="shared" si="58"/>
        <v>4.1424536819434183E-3</v>
      </c>
      <c r="O64" s="4">
        <f t="shared" si="59"/>
        <v>3.8965187595695771E-4</v>
      </c>
      <c r="P64" s="22">
        <v>0.64499375279027549</v>
      </c>
      <c r="Q64" s="4"/>
      <c r="R64" s="5">
        <f t="shared" si="15"/>
        <v>11.574605730078595</v>
      </c>
      <c r="S64" s="4">
        <f t="shared" si="16"/>
        <v>-0.76111912679606653</v>
      </c>
      <c r="T64" s="5">
        <v>9.661131103860999</v>
      </c>
      <c r="U64" s="5">
        <f t="shared" si="72"/>
        <v>8.3060827851256782</v>
      </c>
      <c r="V64" s="5">
        <v>5.407</v>
      </c>
      <c r="W64" s="4"/>
      <c r="X64" s="4">
        <f t="shared" si="17"/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f t="shared" si="18"/>
        <v>0</v>
      </c>
      <c r="AI64" s="10">
        <v>9.3562521523998008</v>
      </c>
      <c r="AJ64" s="4">
        <f t="shared" si="73"/>
        <v>9.3562521523998008</v>
      </c>
      <c r="AK64" s="23">
        <f t="shared" si="74"/>
        <v>2.2403604222849922</v>
      </c>
      <c r="AL64" s="23">
        <f t="shared" si="75"/>
        <v>19.809502681256774</v>
      </c>
      <c r="AM64" s="23">
        <f t="shared" si="76"/>
        <v>66.149589310625288</v>
      </c>
      <c r="AN64" s="23">
        <f t="shared" si="77"/>
        <v>10.965974698552856</v>
      </c>
      <c r="AO64" s="23">
        <f t="shared" si="78"/>
        <v>6.2494264411107672</v>
      </c>
      <c r="AP64" s="23">
        <f t="shared" si="79"/>
        <v>0.70748223861631321</v>
      </c>
      <c r="AQ64" s="23">
        <f t="shared" si="80"/>
        <v>0.3537411193081566</v>
      </c>
      <c r="AR64" s="23">
        <f t="shared" si="81"/>
        <v>0</v>
      </c>
      <c r="AS64" s="23">
        <f t="shared" si="82"/>
        <v>0</v>
      </c>
      <c r="AT64" s="23">
        <f t="shared" si="21"/>
        <v>11.574605730078595</v>
      </c>
      <c r="AU64" s="23">
        <f t="shared" si="83"/>
        <v>16.890958319139266</v>
      </c>
      <c r="AV64" s="4">
        <f t="shared" si="90"/>
        <v>0.37106368139083207</v>
      </c>
      <c r="AW64" s="4">
        <f t="shared" si="90"/>
        <v>0.37106368139083207</v>
      </c>
      <c r="AX64" s="4">
        <f t="shared" si="90"/>
        <v>0.37106368139083207</v>
      </c>
      <c r="AY64" s="4">
        <f t="shared" si="91"/>
        <v>0.49515641167153346</v>
      </c>
      <c r="AZ64" s="4">
        <f t="shared" si="91"/>
        <v>0.66074877255687903</v>
      </c>
      <c r="BA64" s="4">
        <f t="shared" si="91"/>
        <v>0.88171925101726745</v>
      </c>
      <c r="BB64" s="4">
        <f t="shared" si="91"/>
        <v>1.1765876380005351</v>
      </c>
      <c r="BC64" s="4">
        <f t="shared" si="91"/>
        <v>1.5700671934955486</v>
      </c>
      <c r="BD64" s="24">
        <f t="shared" si="24"/>
        <v>1.5700671934955486</v>
      </c>
      <c r="BE64" s="4">
        <f t="shared" si="25"/>
        <v>1.1556244882586029</v>
      </c>
      <c r="BF64" s="4">
        <f t="shared" si="84"/>
        <v>0.6</v>
      </c>
      <c r="BG64" s="4">
        <f t="shared" si="85"/>
        <v>0.55392074124048751</v>
      </c>
      <c r="BH64" s="4">
        <f t="shared" si="28"/>
        <v>1.0465923889119899</v>
      </c>
      <c r="BI64" s="23"/>
      <c r="BJ64" s="23"/>
      <c r="BK64" s="23"/>
      <c r="BL64" s="23"/>
      <c r="BM64" s="23"/>
      <c r="BN64" s="23"/>
      <c r="BO64" s="23"/>
      <c r="BP64" s="23"/>
      <c r="BQ64" s="23"/>
      <c r="BR64" s="13">
        <v>1.2947095274883016</v>
      </c>
      <c r="BS64" s="13">
        <v>11.447957927264984</v>
      </c>
      <c r="BT64" s="13">
        <v>38.228002364259858</v>
      </c>
      <c r="BU64" s="13">
        <v>6.3372624240216879</v>
      </c>
      <c r="BV64" s="13">
        <v>3.6115581556252625</v>
      </c>
      <c r="BW64" s="13">
        <v>0.40885564025946369</v>
      </c>
      <c r="BX64" s="13">
        <v>0.20442782012973185</v>
      </c>
      <c r="BY64" s="13">
        <v>0</v>
      </c>
      <c r="BZ64" s="13">
        <v>0</v>
      </c>
      <c r="CA64" s="4"/>
      <c r="CB64" s="4"/>
      <c r="CC64" s="4"/>
      <c r="CD64" s="4"/>
      <c r="CE64" s="4"/>
      <c r="CF64" s="4"/>
      <c r="CG64" s="4"/>
      <c r="CH64" s="4"/>
      <c r="CI64" s="4"/>
      <c r="CJ64" s="23"/>
      <c r="CK64" s="23"/>
      <c r="CL64" s="23"/>
      <c r="CM64" s="23"/>
      <c r="CN64" s="23"/>
      <c r="CO64" s="23"/>
      <c r="CP64" s="23"/>
      <c r="CQ64" s="23"/>
      <c r="CR64" s="23"/>
      <c r="CS64" s="31">
        <f t="shared" si="29"/>
        <v>2012</v>
      </c>
      <c r="CT64" s="1">
        <v>2.6197453885975358E-2</v>
      </c>
      <c r="CU64" s="1">
        <v>0.34768661313711668</v>
      </c>
      <c r="CV64" s="1">
        <v>0.8</v>
      </c>
      <c r="CW64" s="1">
        <v>1</v>
      </c>
      <c r="CX64">
        <f t="shared" si="61"/>
        <v>1</v>
      </c>
      <c r="CY64">
        <f t="shared" si="62"/>
        <v>1</v>
      </c>
      <c r="CZ64">
        <f t="shared" si="63"/>
        <v>1</v>
      </c>
      <c r="DA64">
        <f t="shared" si="64"/>
        <v>1</v>
      </c>
      <c r="DB64">
        <f t="shared" si="65"/>
        <v>1</v>
      </c>
      <c r="DC64" s="11">
        <v>5.1799999999999999E-2</v>
      </c>
      <c r="DD64" s="11">
        <v>7.8399999999999997E-2</v>
      </c>
      <c r="DE64" s="11">
        <v>8.7499999999999994E-2</v>
      </c>
      <c r="DF64" s="11">
        <v>9.8900000000000002E-2</v>
      </c>
      <c r="DG64" s="11">
        <v>0.11020000000000001</v>
      </c>
      <c r="DH64" s="11">
        <v>0.1167</v>
      </c>
      <c r="DI64" s="11">
        <v>0.12230000000000001</v>
      </c>
      <c r="DJ64" s="11">
        <v>0.15529999999999999</v>
      </c>
      <c r="DK64" s="11">
        <v>0.1613</v>
      </c>
      <c r="DL64" s="10">
        <f t="shared" si="86"/>
        <v>8.787187153931339E-2</v>
      </c>
      <c r="DN64" s="1">
        <v>19</v>
      </c>
      <c r="DO64" s="1">
        <v>168</v>
      </c>
      <c r="DP64" s="1">
        <v>561</v>
      </c>
      <c r="DQ64" s="1">
        <v>93</v>
      </c>
      <c r="DR64" s="1">
        <v>53</v>
      </c>
      <c r="DS64" s="1">
        <v>6</v>
      </c>
      <c r="DT64" s="1">
        <v>3</v>
      </c>
      <c r="DU64" s="1">
        <v>0</v>
      </c>
      <c r="DV64" s="1">
        <v>0</v>
      </c>
      <c r="DW64">
        <f t="shared" si="32"/>
        <v>903</v>
      </c>
      <c r="DX64" s="19">
        <f t="shared" si="33"/>
        <v>133.99089863637067</v>
      </c>
      <c r="DY64">
        <f t="shared" si="66"/>
        <v>3.570626150034957E-2</v>
      </c>
      <c r="DZ64">
        <f t="shared" si="34"/>
        <v>0.15816138979947866</v>
      </c>
      <c r="EA64">
        <f t="shared" si="35"/>
        <v>0.7068803780709324</v>
      </c>
      <c r="EB64">
        <f t="shared" si="36"/>
        <v>6.048376109173674E-2</v>
      </c>
      <c r="EC64">
        <f t="shared" si="37"/>
        <v>3.5139339266954804E-2</v>
      </c>
      <c r="ED64">
        <f t="shared" si="38"/>
        <v>3.052159879851401E-3</v>
      </c>
      <c r="EE64">
        <f t="shared" si="39"/>
        <v>5.4288641008266229E-4</v>
      </c>
      <c r="EF64">
        <f t="shared" si="40"/>
        <v>3.0915933276821721E-5</v>
      </c>
      <c r="EG64">
        <f t="shared" si="41"/>
        <v>2.9080473369643488E-6</v>
      </c>
      <c r="EH64">
        <f t="shared" si="42"/>
        <v>2.1040974529346623E-2</v>
      </c>
      <c r="EI64">
        <f t="shared" si="43"/>
        <v>0.18604651162790697</v>
      </c>
      <c r="EJ64">
        <f t="shared" si="44"/>
        <v>0.62126245847176076</v>
      </c>
      <c r="EK64">
        <f t="shared" si="45"/>
        <v>0.10299003322259136</v>
      </c>
      <c r="EL64">
        <f t="shared" si="46"/>
        <v>5.8693244739756366E-2</v>
      </c>
      <c r="EM64">
        <f t="shared" si="47"/>
        <v>6.6445182724252493E-3</v>
      </c>
      <c r="EN64">
        <f t="shared" si="48"/>
        <v>3.3222591362126247E-3</v>
      </c>
      <c r="EO64">
        <f t="shared" si="49"/>
        <v>0</v>
      </c>
      <c r="EP64">
        <f t="shared" si="50"/>
        <v>0</v>
      </c>
      <c r="EQ64">
        <f t="shared" si="51"/>
        <v>-1.1762680766705638</v>
      </c>
      <c r="ER64">
        <v>100</v>
      </c>
      <c r="ES64">
        <v>1.1590111686138105</v>
      </c>
    </row>
    <row r="65" spans="2:149" x14ac:dyDescent="0.3">
      <c r="B65"/>
      <c r="C65">
        <f t="shared" si="13"/>
        <v>7.7106172185952032E-2</v>
      </c>
      <c r="D65">
        <v>63</v>
      </c>
      <c r="E65">
        <v>2013</v>
      </c>
      <c r="F65" s="2">
        <v>6.1142676822820006</v>
      </c>
      <c r="G65" s="3">
        <f t="shared" si="67"/>
        <v>452.26472459818353</v>
      </c>
      <c r="H65" s="4">
        <f t="shared" si="52"/>
        <v>141.49418807887025</v>
      </c>
      <c r="I65" s="4">
        <f t="shared" si="53"/>
        <v>37.969593832041596</v>
      </c>
      <c r="J65" s="4">
        <f t="shared" si="54"/>
        <v>48.461098370407427</v>
      </c>
      <c r="K65" s="4">
        <f t="shared" si="55"/>
        <v>2.3554410475775969</v>
      </c>
      <c r="L65" s="4">
        <f t="shared" si="56"/>
        <v>1.2298206126909383</v>
      </c>
      <c r="M65" s="4">
        <f t="shared" si="57"/>
        <v>9.2631312630266027E-2</v>
      </c>
      <c r="N65" s="4">
        <f t="shared" si="58"/>
        <v>1.3622656129513444E-2</v>
      </c>
      <c r="O65" s="4">
        <f t="shared" si="59"/>
        <v>6.0188675013609738E-4</v>
      </c>
      <c r="P65" s="22">
        <v>1.0588809076989607</v>
      </c>
      <c r="Q65" s="4"/>
      <c r="R65" s="5">
        <f t="shared" si="15"/>
        <v>12.940012157304615</v>
      </c>
      <c r="S65" s="4">
        <f t="shared" si="16"/>
        <v>-5.4145443522267467E-2</v>
      </c>
      <c r="T65" s="5">
        <v>7.31405475662892</v>
      </c>
      <c r="U65" s="5">
        <f t="shared" si="72"/>
        <v>9.2859156264647158</v>
      </c>
      <c r="V65" s="5">
        <v>12.257999999999999</v>
      </c>
      <c r="W65" s="4"/>
      <c r="X65" s="4">
        <f t="shared" si="17"/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f t="shared" si="18"/>
        <v>0</v>
      </c>
      <c r="AI65" s="10">
        <v>10.269071503018308</v>
      </c>
      <c r="AJ65" s="4">
        <f t="shared" si="73"/>
        <v>10.269071503018308</v>
      </c>
      <c r="AK65" s="23">
        <f t="shared" si="74"/>
        <v>3.6052744643740606</v>
      </c>
      <c r="AL65" s="23">
        <f t="shared" si="75"/>
        <v>25.477272881576699</v>
      </c>
      <c r="AM65" s="23">
        <f t="shared" si="76"/>
        <v>15.863207643245866</v>
      </c>
      <c r="AN65" s="23">
        <f t="shared" si="77"/>
        <v>50.23349087027858</v>
      </c>
      <c r="AO65" s="23">
        <f t="shared" si="78"/>
        <v>5.2877358810819564</v>
      </c>
      <c r="AP65" s="23">
        <f t="shared" si="79"/>
        <v>4.8070326191654145</v>
      </c>
      <c r="AQ65" s="23">
        <f t="shared" si="80"/>
        <v>0.48070326191654145</v>
      </c>
      <c r="AR65" s="23">
        <f t="shared" si="81"/>
        <v>0</v>
      </c>
      <c r="AS65" s="23">
        <f t="shared" si="82"/>
        <v>0</v>
      </c>
      <c r="AT65" s="23">
        <f t="shared" si="21"/>
        <v>12.940012157304615</v>
      </c>
      <c r="AU65" s="23">
        <f t="shared" si="83"/>
        <v>27.350711634679556</v>
      </c>
      <c r="AV65" s="4">
        <f t="shared" si="90"/>
        <v>0.37106368139083207</v>
      </c>
      <c r="AW65" s="4">
        <f t="shared" si="90"/>
        <v>0.37106368139083207</v>
      </c>
      <c r="AX65" s="4">
        <f t="shared" si="90"/>
        <v>0.37106368139083207</v>
      </c>
      <c r="AY65" s="4">
        <f t="shared" si="91"/>
        <v>0.49515641167153346</v>
      </c>
      <c r="AZ65" s="4">
        <f t="shared" si="91"/>
        <v>0.66074877255687903</v>
      </c>
      <c r="BA65" s="4">
        <f t="shared" si="91"/>
        <v>0.88171925101726745</v>
      </c>
      <c r="BB65" s="4">
        <f t="shared" si="91"/>
        <v>1.1765876380005351</v>
      </c>
      <c r="BC65" s="4">
        <f t="shared" si="91"/>
        <v>1.5700671934955486</v>
      </c>
      <c r="BD65" s="24">
        <f t="shared" si="24"/>
        <v>1.5700671934955486</v>
      </c>
      <c r="BE65" s="4">
        <f t="shared" si="25"/>
        <v>1.3092029796393971</v>
      </c>
      <c r="BF65" s="4">
        <f t="shared" si="84"/>
        <v>0.6</v>
      </c>
      <c r="BG65" s="4">
        <f t="shared" si="85"/>
        <v>0.37545902425432892</v>
      </c>
      <c r="BH65" s="4">
        <f t="shared" si="28"/>
        <v>0.86365058565020969</v>
      </c>
      <c r="BI65" s="23"/>
      <c r="BJ65" s="23"/>
      <c r="BK65" s="23"/>
      <c r="BL65" s="23"/>
      <c r="BM65" s="23"/>
      <c r="BN65" s="23"/>
      <c r="BO65" s="23"/>
      <c r="BP65" s="23"/>
      <c r="BQ65" s="23"/>
      <c r="BR65" s="13">
        <v>4.3035491934502357</v>
      </c>
      <c r="BS65" s="13">
        <v>30.411747633714995</v>
      </c>
      <c r="BT65" s="13">
        <v>18.935616451181033</v>
      </c>
      <c r="BU65" s="13">
        <v>59.962785428739949</v>
      </c>
      <c r="BV65" s="13">
        <v>6.3118721503936781</v>
      </c>
      <c r="BW65" s="13">
        <v>5.7380655912669809</v>
      </c>
      <c r="BX65" s="13">
        <v>0.57380655912669798</v>
      </c>
      <c r="BY65" s="13">
        <v>0</v>
      </c>
      <c r="BZ65" s="13">
        <v>0</v>
      </c>
      <c r="CA65" s="4"/>
      <c r="CB65" s="4"/>
      <c r="CC65" s="4"/>
      <c r="CD65" s="4"/>
      <c r="CE65" s="4"/>
      <c r="CF65" s="4"/>
      <c r="CG65" s="4"/>
      <c r="CH65" s="4"/>
      <c r="CI65" s="4"/>
      <c r="CJ65" s="23"/>
      <c r="CK65" s="23"/>
      <c r="CL65" s="23"/>
      <c r="CM65" s="23"/>
      <c r="CN65" s="23"/>
      <c r="CO65" s="23"/>
      <c r="CP65" s="23"/>
      <c r="CQ65" s="23"/>
      <c r="CR65" s="23"/>
      <c r="CS65" s="31">
        <f t="shared" si="29"/>
        <v>2013</v>
      </c>
      <c r="CT65" s="1">
        <v>2.6197453885975358E-2</v>
      </c>
      <c r="CU65" s="1">
        <v>0.34768661313711668</v>
      </c>
      <c r="CV65" s="1">
        <v>0.8</v>
      </c>
      <c r="CW65" s="1">
        <v>1</v>
      </c>
      <c r="CX65">
        <f t="shared" si="61"/>
        <v>1</v>
      </c>
      <c r="CY65">
        <f t="shared" si="62"/>
        <v>1</v>
      </c>
      <c r="CZ65">
        <f t="shared" si="63"/>
        <v>1</v>
      </c>
      <c r="DA65">
        <f t="shared" si="64"/>
        <v>1</v>
      </c>
      <c r="DB65">
        <f t="shared" si="65"/>
        <v>1</v>
      </c>
      <c r="DC65" s="11">
        <v>5.6399999999999999E-2</v>
      </c>
      <c r="DD65" s="11">
        <v>7.8899999999999998E-2</v>
      </c>
      <c r="DE65" s="11">
        <v>9.3899999999999997E-2</v>
      </c>
      <c r="DF65" s="11">
        <v>0.105</v>
      </c>
      <c r="DG65" s="11">
        <v>0.1207</v>
      </c>
      <c r="DH65" s="11">
        <v>0.1225</v>
      </c>
      <c r="DI65" s="11">
        <v>0.13400000000000001</v>
      </c>
      <c r="DJ65" s="11">
        <v>0.153</v>
      </c>
      <c r="DK65" s="11">
        <v>0.15970000000000001</v>
      </c>
      <c r="DL65" s="10">
        <f t="shared" si="86"/>
        <v>9.7102727272727271E-2</v>
      </c>
      <c r="DN65" s="1">
        <v>15</v>
      </c>
      <c r="DO65" s="1">
        <v>106</v>
      </c>
      <c r="DP65" s="1">
        <v>66</v>
      </c>
      <c r="DQ65" s="1">
        <v>209</v>
      </c>
      <c r="DR65" s="1">
        <v>22</v>
      </c>
      <c r="DS65" s="1">
        <v>20</v>
      </c>
      <c r="DT65" s="1">
        <v>2</v>
      </c>
      <c r="DU65" s="1">
        <v>0</v>
      </c>
      <c r="DV65" s="1">
        <v>0</v>
      </c>
      <c r="DW65">
        <f t="shared" si="32"/>
        <v>440</v>
      </c>
      <c r="DX65" s="19">
        <f t="shared" si="33"/>
        <v>143.57271025046197</v>
      </c>
      <c r="DY65">
        <f t="shared" si="66"/>
        <v>8.2523929834890986E-2</v>
      </c>
      <c r="DZ65">
        <f t="shared" si="34"/>
        <v>0.34265310549551525</v>
      </c>
      <c r="EA65">
        <f t="shared" si="35"/>
        <v>0.21156997741871031</v>
      </c>
      <c r="EB65">
        <f t="shared" si="36"/>
        <v>0.3375369754173147</v>
      </c>
      <c r="EC65">
        <f t="shared" si="37"/>
        <v>1.6405910590310234E-2</v>
      </c>
      <c r="ED65">
        <f t="shared" si="38"/>
        <v>8.5658382470145036E-3</v>
      </c>
      <c r="EE65">
        <f t="shared" si="39"/>
        <v>6.45187462635978E-4</v>
      </c>
      <c r="EF65">
        <f t="shared" si="40"/>
        <v>9.4883325011757314E-5</v>
      </c>
      <c r="EG65">
        <f t="shared" si="41"/>
        <v>4.1922085965091038E-6</v>
      </c>
      <c r="EH65">
        <f t="shared" si="42"/>
        <v>3.4090909090909088E-2</v>
      </c>
      <c r="EI65">
        <f t="shared" si="43"/>
        <v>0.24090909090909091</v>
      </c>
      <c r="EJ65">
        <f t="shared" si="44"/>
        <v>0.15</v>
      </c>
      <c r="EK65">
        <f t="shared" si="45"/>
        <v>0.47499999999999998</v>
      </c>
      <c r="EL65">
        <f t="shared" si="46"/>
        <v>0.05</v>
      </c>
      <c r="EM65">
        <f t="shared" si="47"/>
        <v>4.5454545454545456E-2</v>
      </c>
      <c r="EN65">
        <f t="shared" si="48"/>
        <v>4.5454545454545452E-3</v>
      </c>
      <c r="EO65">
        <f t="shared" si="49"/>
        <v>0</v>
      </c>
      <c r="EP65">
        <f t="shared" si="50"/>
        <v>0</v>
      </c>
      <c r="EQ65">
        <f t="shared" si="51"/>
        <v>-1.545385276073884</v>
      </c>
      <c r="ER65">
        <v>100</v>
      </c>
      <c r="ES65">
        <v>0.88977066137259464</v>
      </c>
    </row>
    <row r="66" spans="2:149" x14ac:dyDescent="0.3">
      <c r="B66"/>
      <c r="C66">
        <f t="shared" si="13"/>
        <v>6.4714500452838757E-3</v>
      </c>
      <c r="D66">
        <v>64</v>
      </c>
      <c r="E66">
        <v>2014</v>
      </c>
      <c r="F66" s="2">
        <v>5.4058299475932632</v>
      </c>
      <c r="G66" s="3">
        <f t="shared" si="67"/>
        <v>222.70097394270761</v>
      </c>
      <c r="H66" s="4">
        <f t="shared" si="52"/>
        <v>300.51934171757011</v>
      </c>
      <c r="I66" s="4">
        <f t="shared" si="53"/>
        <v>75.59419709697687</v>
      </c>
      <c r="J66" s="4">
        <f t="shared" si="54"/>
        <v>13.329064636705223</v>
      </c>
      <c r="K66" s="4">
        <f t="shared" si="55"/>
        <v>11.474864850228403</v>
      </c>
      <c r="L66" s="4">
        <f t="shared" si="56"/>
        <v>0.46803275292191032</v>
      </c>
      <c r="M66" s="4">
        <f t="shared" si="57"/>
        <v>0.19338773856633876</v>
      </c>
      <c r="N66" s="4">
        <f t="shared" si="58"/>
        <v>1.0659700427532247E-2</v>
      </c>
      <c r="O66" s="4">
        <f t="shared" si="59"/>
        <v>1.0334775645588869E-3</v>
      </c>
      <c r="P66" s="22">
        <v>1.1820812491043429</v>
      </c>
      <c r="Q66" s="4"/>
      <c r="R66" s="5">
        <f t="shared" si="15"/>
        <v>17.920176842483805</v>
      </c>
      <c r="S66" s="4">
        <f t="shared" si="16"/>
        <v>-0.25138010180289577</v>
      </c>
      <c r="T66" s="5">
        <v>13.149508407328897</v>
      </c>
      <c r="U66" s="5">
        <f t="shared" si="72"/>
        <v>12.859744500061849</v>
      </c>
      <c r="V66" s="5">
        <v>13.936999999999999</v>
      </c>
      <c r="W66" s="4"/>
      <c r="X66" s="4">
        <f t="shared" si="17"/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f t="shared" si="18"/>
        <v>0</v>
      </c>
      <c r="AI66" s="10">
        <v>10.885215793199405</v>
      </c>
      <c r="AJ66" s="4">
        <f t="shared" si="73"/>
        <v>10.885215793199405</v>
      </c>
      <c r="AK66" s="23">
        <f t="shared" si="74"/>
        <v>3.6319767081628287</v>
      </c>
      <c r="AL66" s="23">
        <f t="shared" si="75"/>
        <v>94.885391500753911</v>
      </c>
      <c r="AM66" s="23">
        <f t="shared" si="76"/>
        <v>18.613880629334499</v>
      </c>
      <c r="AN66" s="23">
        <f t="shared" si="77"/>
        <v>3.6319767081628287</v>
      </c>
      <c r="AO66" s="23">
        <f t="shared" si="78"/>
        <v>4.0859737966831826</v>
      </c>
      <c r="AP66" s="23">
        <f t="shared" si="79"/>
        <v>0.90799417704070717</v>
      </c>
      <c r="AQ66" s="23">
        <f t="shared" si="80"/>
        <v>0</v>
      </c>
      <c r="AR66" s="23">
        <f t="shared" si="81"/>
        <v>0.45399708852035359</v>
      </c>
      <c r="AS66" s="23">
        <f t="shared" si="82"/>
        <v>0</v>
      </c>
      <c r="AT66" s="23">
        <f t="shared" si="21"/>
        <v>17.920176842483805</v>
      </c>
      <c r="AU66" s="23">
        <f t="shared" si="83"/>
        <v>30.30655846859203</v>
      </c>
      <c r="AV66" s="4">
        <f t="shared" si="90"/>
        <v>0.37106368139083207</v>
      </c>
      <c r="AW66" s="4">
        <f t="shared" si="90"/>
        <v>0.37106368139083207</v>
      </c>
      <c r="AX66" s="4">
        <f t="shared" si="90"/>
        <v>0.37106368139083207</v>
      </c>
      <c r="AY66" s="4">
        <f t="shared" si="91"/>
        <v>0.49515641167153346</v>
      </c>
      <c r="AZ66" s="4">
        <f t="shared" si="91"/>
        <v>0.66074877255687903</v>
      </c>
      <c r="BA66" s="4">
        <f t="shared" si="91"/>
        <v>0.88171925101726745</v>
      </c>
      <c r="BB66" s="4">
        <f t="shared" si="91"/>
        <v>1.1765876380005351</v>
      </c>
      <c r="BC66" s="4">
        <f t="shared" si="91"/>
        <v>1.5700671934955486</v>
      </c>
      <c r="BD66" s="24">
        <f t="shared" si="24"/>
        <v>1.5700671934955486</v>
      </c>
      <c r="BE66" s="4">
        <f t="shared" si="25"/>
        <v>1.3549181518698856</v>
      </c>
      <c r="BF66" s="4">
        <f t="shared" si="84"/>
        <v>0.6</v>
      </c>
      <c r="BG66" s="4">
        <f t="shared" si="85"/>
        <v>0.35917030316986387</v>
      </c>
      <c r="BH66" s="4">
        <f t="shared" si="28"/>
        <v>0.88361896092966119</v>
      </c>
      <c r="BI66" s="23"/>
      <c r="BJ66" s="23"/>
      <c r="BK66" s="23"/>
      <c r="BL66" s="23"/>
      <c r="BM66" s="23"/>
      <c r="BN66" s="23"/>
      <c r="BO66" s="23"/>
      <c r="BP66" s="23"/>
      <c r="BQ66" s="23"/>
      <c r="BR66" s="13">
        <v>4.6502394020787108</v>
      </c>
      <c r="BS66" s="13">
        <v>121.48750437930632</v>
      </c>
      <c r="BT66" s="13">
        <v>23.832476935653396</v>
      </c>
      <c r="BU66" s="13">
        <v>4.6502394020787108</v>
      </c>
      <c r="BV66" s="13">
        <v>5.2315193273385496</v>
      </c>
      <c r="BW66" s="13">
        <v>1.1625598505196777</v>
      </c>
      <c r="BX66" s="13">
        <v>0</v>
      </c>
      <c r="BY66" s="13">
        <v>0.58127992525983885</v>
      </c>
      <c r="BZ66" s="13">
        <v>0</v>
      </c>
      <c r="CA66" s="4"/>
      <c r="CB66" s="4"/>
      <c r="CC66" s="4"/>
      <c r="CD66" s="4"/>
      <c r="CE66" s="4"/>
      <c r="CF66" s="4"/>
      <c r="CG66" s="4"/>
      <c r="CH66" s="4"/>
      <c r="CI66" s="4"/>
      <c r="CJ66" s="23"/>
      <c r="CK66" s="23"/>
      <c r="CL66" s="23"/>
      <c r="CM66" s="23"/>
      <c r="CN66" s="23"/>
      <c r="CO66" s="23"/>
      <c r="CP66" s="23"/>
      <c r="CQ66" s="23"/>
      <c r="CR66" s="23"/>
      <c r="CS66" s="31">
        <f t="shared" si="29"/>
        <v>2014</v>
      </c>
      <c r="CT66" s="1">
        <v>2.6197453885975358E-2</v>
      </c>
      <c r="CU66" s="1">
        <v>0.34768661313711668</v>
      </c>
      <c r="CV66" s="1">
        <v>0.8</v>
      </c>
      <c r="CW66" s="1">
        <v>1</v>
      </c>
      <c r="CX66">
        <f t="shared" si="61"/>
        <v>1</v>
      </c>
      <c r="CY66">
        <f t="shared" si="62"/>
        <v>1</v>
      </c>
      <c r="CZ66">
        <f t="shared" si="63"/>
        <v>1</v>
      </c>
      <c r="DA66">
        <f t="shared" si="64"/>
        <v>1</v>
      </c>
      <c r="DB66">
        <f t="shared" si="65"/>
        <v>1</v>
      </c>
      <c r="DC66" s="11">
        <v>5.8700000000000002E-2</v>
      </c>
      <c r="DD66" s="11">
        <v>8.0699999999999994E-2</v>
      </c>
      <c r="DE66" s="11">
        <v>9.5600000000000004E-2</v>
      </c>
      <c r="DF66" s="11">
        <v>0.1245</v>
      </c>
      <c r="DG66" s="11">
        <v>0.1401</v>
      </c>
      <c r="DH66" s="11">
        <v>0.15</v>
      </c>
      <c r="DI66" s="11">
        <v>0.12920000000000001</v>
      </c>
      <c r="DJ66" s="11">
        <v>0.16400000000000001</v>
      </c>
      <c r="DK66" s="11">
        <v>0.15920000000000001</v>
      </c>
      <c r="DL66" s="10">
        <f t="shared" si="86"/>
        <v>8.624604316546762E-2</v>
      </c>
      <c r="DN66" s="1">
        <v>8</v>
      </c>
      <c r="DO66" s="1">
        <v>209</v>
      </c>
      <c r="DP66" s="1">
        <v>41</v>
      </c>
      <c r="DQ66" s="1">
        <v>8</v>
      </c>
      <c r="DR66" s="1">
        <v>9</v>
      </c>
      <c r="DS66" s="1">
        <v>2</v>
      </c>
      <c r="DT66" s="1">
        <v>0</v>
      </c>
      <c r="DU66" s="1">
        <v>1</v>
      </c>
      <c r="DV66" s="1">
        <v>0</v>
      </c>
      <c r="DW66">
        <f t="shared" si="32"/>
        <v>278</v>
      </c>
      <c r="DX66" s="19">
        <f t="shared" si="33"/>
        <v>196.27315143319916</v>
      </c>
      <c r="DY66">
        <f t="shared" si="66"/>
        <v>2.9724893357161639E-2</v>
      </c>
      <c r="DZ66">
        <f t="shared" si="34"/>
        <v>0.53235275095452561</v>
      </c>
      <c r="EA66">
        <f t="shared" si="35"/>
        <v>0.30811834036385799</v>
      </c>
      <c r="EB66">
        <f t="shared" si="36"/>
        <v>6.791078932281637E-2</v>
      </c>
      <c r="EC66">
        <f t="shared" si="37"/>
        <v>5.8463752002952021E-2</v>
      </c>
      <c r="ED66">
        <f t="shared" si="38"/>
        <v>2.3845989607050432E-3</v>
      </c>
      <c r="EE66">
        <f t="shared" si="39"/>
        <v>9.8529899354144498E-4</v>
      </c>
      <c r="EF66">
        <f t="shared" si="40"/>
        <v>5.4310537889132717E-5</v>
      </c>
      <c r="EG66">
        <f t="shared" si="41"/>
        <v>5.2655065505005008E-6</v>
      </c>
      <c r="EH66">
        <f t="shared" si="42"/>
        <v>2.8776978417266189E-2</v>
      </c>
      <c r="EI66">
        <f t="shared" si="43"/>
        <v>0.75179856115107913</v>
      </c>
      <c r="EJ66">
        <f t="shared" si="44"/>
        <v>0.14748201438848921</v>
      </c>
      <c r="EK66">
        <f t="shared" si="45"/>
        <v>2.8776978417266189E-2</v>
      </c>
      <c r="EL66">
        <f t="shared" si="46"/>
        <v>3.237410071942446E-2</v>
      </c>
      <c r="EM66">
        <f t="shared" si="47"/>
        <v>7.1942446043165471E-3</v>
      </c>
      <c r="EN66">
        <f t="shared" si="48"/>
        <v>0</v>
      </c>
      <c r="EO66">
        <f t="shared" si="49"/>
        <v>3.5971223021582736E-3</v>
      </c>
      <c r="EP66">
        <f t="shared" si="50"/>
        <v>0</v>
      </c>
      <c r="EQ66">
        <f t="shared" si="51"/>
        <v>-0.99242441053733077</v>
      </c>
      <c r="ER66">
        <v>100</v>
      </c>
      <c r="ES66">
        <v>0.89954749165546066</v>
      </c>
    </row>
    <row r="67" spans="2:149" x14ac:dyDescent="0.3">
      <c r="B67"/>
      <c r="C67">
        <f t="shared" si="13"/>
        <v>2.712082306968007E-2</v>
      </c>
      <c r="D67">
        <v>65</v>
      </c>
      <c r="E67">
        <v>2015</v>
      </c>
      <c r="F67" s="2">
        <v>6.7033743778768899</v>
      </c>
      <c r="G67" s="3">
        <f t="shared" si="67"/>
        <v>815.1518198172547</v>
      </c>
      <c r="H67" s="4">
        <f t="shared" si="52"/>
        <v>141.36698082459864</v>
      </c>
      <c r="I67" s="4">
        <f t="shared" si="53"/>
        <v>153.37989602744213</v>
      </c>
      <c r="J67" s="4">
        <f t="shared" si="54"/>
        <v>25.351189065158401</v>
      </c>
      <c r="K67" s="4">
        <f t="shared" si="55"/>
        <v>2.9693442003030941</v>
      </c>
      <c r="L67" s="4">
        <f t="shared" si="56"/>
        <v>2.1018323498675504</v>
      </c>
      <c r="M67" s="4">
        <f t="shared" si="57"/>
        <v>6.6021718288170619E-2</v>
      </c>
      <c r="N67" s="4">
        <f t="shared" si="58"/>
        <v>1.9251409233321044E-2</v>
      </c>
      <c r="O67" s="4">
        <f t="shared" si="59"/>
        <v>6.6646516567742651E-4</v>
      </c>
      <c r="P67" s="22">
        <v>0.92846369669137696</v>
      </c>
      <c r="Q67" s="4"/>
      <c r="R67" s="5">
        <f t="shared" si="15"/>
        <v>18.603421031277204</v>
      </c>
      <c r="S67" s="4">
        <f t="shared" si="16"/>
        <v>-0.49650943488761701</v>
      </c>
      <c r="T67" s="5">
        <v>15.587793000111549</v>
      </c>
      <c r="U67" s="5">
        <f t="shared" ref="U67:U74" si="92">R67*qfree</f>
        <v>13.350049131331176</v>
      </c>
      <c r="V67" s="5">
        <v>11.323</v>
      </c>
      <c r="W67" s="4"/>
      <c r="X67" s="4">
        <f t="shared" si="17"/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f t="shared" si="18"/>
        <v>0</v>
      </c>
      <c r="AI67" s="10">
        <v>11.538328740791371</v>
      </c>
      <c r="AJ67" s="4">
        <f t="shared" ref="AJ67:AJ74" si="93">AI67*SSLQmult</f>
        <v>11.538328740791371</v>
      </c>
      <c r="AK67" s="23">
        <f t="shared" ref="AK67:AK74" si="94">$AJ67/$DL67*DN67/$DW67</f>
        <v>19.76697377252054</v>
      </c>
      <c r="AL67" s="23">
        <f t="shared" ref="AL67:AL74" si="95">$AJ67/$DL67*DO67/$DW67</f>
        <v>33.521872572753729</v>
      </c>
      <c r="AM67" s="23">
        <f t="shared" ref="AM67:AM74" si="96">$AJ67/$DL67*DP67/$DW67</f>
        <v>71.142887172067006</v>
      </c>
      <c r="AN67" s="23">
        <f t="shared" ref="AN67:AN74" si="97">$AJ67/$DL67*DQ67/$DW67</f>
        <v>9.5646647286389701</v>
      </c>
      <c r="AO67" s="23">
        <f t="shared" ref="AO67:AO74" si="98">$AJ67/$DL67*DR67/$DW67</f>
        <v>2.4594852159357354</v>
      </c>
      <c r="AP67" s="23">
        <f t="shared" ref="AP67:AP74" si="99">$AJ67/$DL67*DS67/$DW67</f>
        <v>3.9169579364902445</v>
      </c>
      <c r="AQ67" s="23">
        <f t="shared" ref="AQ67:AQ74" si="100">$AJ67/$DL67*DT67/$DW67</f>
        <v>0.54655227020794117</v>
      </c>
      <c r="AR67" s="23">
        <f t="shared" ref="AR67:AR74" si="101">$AJ67/$DL67*DU67/$DW67</f>
        <v>0</v>
      </c>
      <c r="AS67" s="23">
        <f t="shared" ref="AS67:AS74" si="102">$AJ67/$DL67*DV67/$DW67</f>
        <v>9.1092045034656857E-2</v>
      </c>
      <c r="AT67" s="23">
        <f t="shared" si="21"/>
        <v>18.603421031277204</v>
      </c>
      <c r="AU67" s="23">
        <f t="shared" ref="AU67:AU74" si="103">AJ67+AH67+V67/qfree</f>
        <v>27.317037438034014</v>
      </c>
      <c r="AV67" s="4">
        <f t="shared" si="90"/>
        <v>0.37106368139083207</v>
      </c>
      <c r="AW67" s="4">
        <f t="shared" si="90"/>
        <v>0.37106368139083207</v>
      </c>
      <c r="AX67" s="4">
        <f t="shared" si="90"/>
        <v>0.37106368139083207</v>
      </c>
      <c r="AY67" s="4">
        <f t="shared" si="91"/>
        <v>0.49515641167153346</v>
      </c>
      <c r="AZ67" s="4">
        <f t="shared" si="91"/>
        <v>0.66074877255687903</v>
      </c>
      <c r="BA67" s="4">
        <f t="shared" si="91"/>
        <v>0.88171925101726745</v>
      </c>
      <c r="BB67" s="4">
        <f t="shared" si="91"/>
        <v>1.1765876380005351</v>
      </c>
      <c r="BC67" s="4">
        <f t="shared" si="91"/>
        <v>1.5700671934955486</v>
      </c>
      <c r="BD67" s="24">
        <f t="shared" si="24"/>
        <v>1.5700671934955486</v>
      </c>
      <c r="BE67" s="4">
        <f t="shared" si="25"/>
        <v>1.2608098892061983</v>
      </c>
      <c r="BF67" s="4">
        <f t="shared" ref="BF67:BF74" si="104">MIN(Maxussl,AJ67/AT67)</f>
        <v>0.6</v>
      </c>
      <c r="BG67" s="4">
        <f t="shared" ref="BG67:BG74" si="105">AJ67/(AJ67+AH67+V67/qfree)</f>
        <v>0.4223858010578535</v>
      </c>
      <c r="BH67" s="4">
        <f t="shared" si="28"/>
        <v>0.89336826638164157</v>
      </c>
      <c r="BI67" s="23"/>
      <c r="BJ67" s="23"/>
      <c r="BK67" s="23"/>
      <c r="BL67" s="23"/>
      <c r="BM67" s="23"/>
      <c r="BN67" s="23"/>
      <c r="BO67" s="23"/>
      <c r="BP67" s="23"/>
      <c r="BQ67" s="23"/>
      <c r="BR67" s="13">
        <v>19.398081737346914</v>
      </c>
      <c r="BS67" s="13">
        <v>32.896286079924721</v>
      </c>
      <c r="BT67" s="13">
        <v>69.815215838101096</v>
      </c>
      <c r="BU67" s="13">
        <v>9.3861685825872154</v>
      </c>
      <c r="BV67" s="13">
        <v>2.4135862069509981</v>
      </c>
      <c r="BW67" s="13">
        <v>3.8438595147738122</v>
      </c>
      <c r="BX67" s="13">
        <v>0.53635249043355526</v>
      </c>
      <c r="BY67" s="13">
        <v>0</v>
      </c>
      <c r="BZ67" s="13">
        <v>8.9392081738925863E-2</v>
      </c>
      <c r="CA67" s="4"/>
      <c r="CB67" s="4"/>
      <c r="CC67" s="4"/>
      <c r="CD67" s="4"/>
      <c r="CE67" s="4"/>
      <c r="CF67" s="4"/>
      <c r="CG67" s="4"/>
      <c r="CH67" s="4"/>
      <c r="CI67" s="4"/>
      <c r="CJ67" s="23"/>
      <c r="CK67" s="23"/>
      <c r="CL67" s="23"/>
      <c r="CM67" s="23"/>
      <c r="CN67" s="23"/>
      <c r="CO67" s="23"/>
      <c r="CP67" s="23"/>
      <c r="CQ67" s="23"/>
      <c r="CR67" s="23"/>
      <c r="CS67" s="31">
        <f t="shared" si="29"/>
        <v>2015</v>
      </c>
      <c r="CT67" s="1">
        <v>2.6197453885975358E-2</v>
      </c>
      <c r="CU67" s="1">
        <v>0.34768661313711668</v>
      </c>
      <c r="CV67" s="1">
        <v>0.8</v>
      </c>
      <c r="CW67" s="1">
        <v>1</v>
      </c>
      <c r="CX67">
        <f t="shared" si="61"/>
        <v>1</v>
      </c>
      <c r="CY67">
        <f t="shared" si="62"/>
        <v>1</v>
      </c>
      <c r="CZ67">
        <f t="shared" si="63"/>
        <v>1</v>
      </c>
      <c r="DA67">
        <f t="shared" si="64"/>
        <v>1</v>
      </c>
      <c r="DB67">
        <f t="shared" si="65"/>
        <v>1</v>
      </c>
      <c r="DC67" s="11">
        <v>5.9799999999999999E-2</v>
      </c>
      <c r="DD67" s="11">
        <v>7.5399999999999995E-2</v>
      </c>
      <c r="DE67" s="11">
        <v>8.6400000000000005E-2</v>
      </c>
      <c r="DF67" s="11">
        <v>9.7699999999999995E-2</v>
      </c>
      <c r="DG67" s="11">
        <v>0.1022</v>
      </c>
      <c r="DH67" s="11">
        <v>0.1086</v>
      </c>
      <c r="DI67" s="11">
        <v>0.10780000000000001</v>
      </c>
      <c r="DJ67" s="11">
        <v>0.157</v>
      </c>
      <c r="DK67" s="11">
        <v>0.13</v>
      </c>
      <c r="DL67" s="10">
        <f t="shared" ref="DL67:DL74" si="106">SUMPRODUCT(DC67:DK67,DN67:DV67)/DW67</f>
        <v>8.1826033591731268E-2</v>
      </c>
      <c r="DN67" s="1">
        <v>217</v>
      </c>
      <c r="DO67" s="1">
        <v>368</v>
      </c>
      <c r="DP67" s="1">
        <v>781</v>
      </c>
      <c r="DQ67" s="1">
        <v>105</v>
      </c>
      <c r="DR67" s="1">
        <v>27</v>
      </c>
      <c r="DS67" s="1">
        <v>43</v>
      </c>
      <c r="DT67" s="1">
        <v>6</v>
      </c>
      <c r="DU67" s="1">
        <v>0</v>
      </c>
      <c r="DV67" s="1">
        <v>1</v>
      </c>
      <c r="DW67">
        <f t="shared" si="32"/>
        <v>1548</v>
      </c>
      <c r="DX67" s="19">
        <f t="shared" si="33"/>
        <v>223.71853101202575</v>
      </c>
      <c r="DY67">
        <f t="shared" si="66"/>
        <v>9.5454328763599453E-2</v>
      </c>
      <c r="DZ67">
        <f t="shared" si="34"/>
        <v>0.2197019913816721</v>
      </c>
      <c r="EA67">
        <f t="shared" si="35"/>
        <v>0.54847453300754012</v>
      </c>
      <c r="EB67">
        <f t="shared" si="36"/>
        <v>0.11331734099306988</v>
      </c>
      <c r="EC67">
        <f t="shared" si="37"/>
        <v>1.3272678784680024E-2</v>
      </c>
      <c r="ED67">
        <f t="shared" si="38"/>
        <v>9.3949854773298543E-3</v>
      </c>
      <c r="EE67">
        <f t="shared" si="39"/>
        <v>2.9511063741349927E-4</v>
      </c>
      <c r="EF67">
        <f t="shared" si="40"/>
        <v>8.6051920447690608E-5</v>
      </c>
      <c r="EG67">
        <f t="shared" si="41"/>
        <v>2.9790342474651837E-6</v>
      </c>
      <c r="EH67">
        <f t="shared" si="42"/>
        <v>0.14018087855297157</v>
      </c>
      <c r="EI67">
        <f t="shared" si="43"/>
        <v>0.23772609819121446</v>
      </c>
      <c r="EJ67">
        <f t="shared" si="44"/>
        <v>0.50452196382428938</v>
      </c>
      <c r="EK67">
        <f t="shared" si="45"/>
        <v>6.7829457364341081E-2</v>
      </c>
      <c r="EL67">
        <f t="shared" si="46"/>
        <v>1.7441860465116279E-2</v>
      </c>
      <c r="EM67">
        <f t="shared" si="47"/>
        <v>2.7777777777777776E-2</v>
      </c>
      <c r="EN67">
        <f t="shared" si="48"/>
        <v>3.875968992248062E-3</v>
      </c>
      <c r="EO67">
        <f t="shared" si="49"/>
        <v>0</v>
      </c>
      <c r="EP67">
        <f t="shared" si="50"/>
        <v>6.459948320413437E-4</v>
      </c>
      <c r="EQ67">
        <f t="shared" si="51"/>
        <v>-1.3808079813752776</v>
      </c>
      <c r="ER67">
        <v>100</v>
      </c>
      <c r="ES67">
        <v>1.0315733230348942</v>
      </c>
    </row>
    <row r="68" spans="2:149" x14ac:dyDescent="0.3">
      <c r="B68"/>
      <c r="C68">
        <f t="shared" ref="C68:C74" si="107">(LN(V68)-LN(U68))^2</f>
        <v>5.3879206790500784E-3</v>
      </c>
      <c r="D68">
        <v>66</v>
      </c>
      <c r="E68">
        <v>2016</v>
      </c>
      <c r="F68" s="2">
        <v>4.8015736711432142</v>
      </c>
      <c r="G68" s="3">
        <f t="shared" si="67"/>
        <v>121.70178549202005</v>
      </c>
      <c r="H68" s="4">
        <f t="shared" si="52"/>
        <v>568.50602036621876</v>
      </c>
      <c r="I68" s="4">
        <f t="shared" si="53"/>
        <v>79.271064869305576</v>
      </c>
      <c r="J68" s="4">
        <f t="shared" si="54"/>
        <v>56.51308474359665</v>
      </c>
      <c r="K68" s="4">
        <f t="shared" si="55"/>
        <v>6.4032146323412613</v>
      </c>
      <c r="L68" s="4">
        <f t="shared" si="56"/>
        <v>0.64311555450625046</v>
      </c>
      <c r="M68" s="4">
        <f t="shared" si="57"/>
        <v>0.37078773043465812</v>
      </c>
      <c r="N68" s="4">
        <f t="shared" si="58"/>
        <v>8.8575846371624061E-3</v>
      </c>
      <c r="O68" s="4">
        <f t="shared" si="59"/>
        <v>1.7923778436519956E-3</v>
      </c>
      <c r="P68" s="22">
        <v>1.0469219273117292</v>
      </c>
      <c r="Q68" s="4"/>
      <c r="R68" s="5">
        <f t="shared" ref="R68:R74" si="108">SUMPRODUCT(G68:O68,CT68:DB68,DC68:DK68)</f>
        <v>26.581427990861261</v>
      </c>
      <c r="S68" s="4">
        <f t="shared" ref="S68:S74" si="109">LN((V68)/R68)</f>
        <v>-0.25842296822986827</v>
      </c>
      <c r="T68" s="5">
        <v>25.303609061117449</v>
      </c>
      <c r="U68" s="5">
        <f t="shared" si="92"/>
        <v>19.075167361009658</v>
      </c>
      <c r="V68" s="5">
        <v>20.527999999999999</v>
      </c>
      <c r="W68" s="4"/>
      <c r="X68" s="4">
        <f t="shared" ref="X68:X75" si="110">MIN(0.99,AH68/(AT68*(1-BF68)))</f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f t="shared" ref="AH68:AH75" si="111">SUMPRODUCT(Y68:AG68,DC68:DK68)</f>
        <v>0</v>
      </c>
      <c r="AI68" s="10">
        <v>12.230628465238853</v>
      </c>
      <c r="AJ68" s="4">
        <f t="shared" si="93"/>
        <v>12.230628465238853</v>
      </c>
      <c r="AK68" s="23">
        <f t="shared" si="94"/>
        <v>6.0505535792553733</v>
      </c>
      <c r="AL68" s="23">
        <f t="shared" si="95"/>
        <v>99.176465190403292</v>
      </c>
      <c r="AM68" s="23">
        <f t="shared" si="96"/>
        <v>25.649085825104301</v>
      </c>
      <c r="AN68" s="23">
        <f t="shared" si="97"/>
        <v>18.940863378538559</v>
      </c>
      <c r="AO68" s="23">
        <f t="shared" si="98"/>
        <v>2.1045403753931735</v>
      </c>
      <c r="AP68" s="23">
        <f t="shared" si="99"/>
        <v>0.39460132038621998</v>
      </c>
      <c r="AQ68" s="23">
        <f t="shared" si="100"/>
        <v>0.65766886731036667</v>
      </c>
      <c r="AR68" s="23">
        <f t="shared" si="101"/>
        <v>0.13153377346207334</v>
      </c>
      <c r="AS68" s="23">
        <f t="shared" si="102"/>
        <v>0</v>
      </c>
      <c r="AT68" s="23">
        <f t="shared" ref="AT68:AT74" si="112">SUMPRODUCT(G68:O68,DC68:DK68,CT68:DB68)</f>
        <v>26.581427990861258</v>
      </c>
      <c r="AU68" s="23">
        <f t="shared" si="103"/>
        <v>40.836592621115997</v>
      </c>
      <c r="AV68" s="4">
        <f t="shared" si="90"/>
        <v>0.37106368139083207</v>
      </c>
      <c r="AW68" s="4">
        <f t="shared" si="90"/>
        <v>0.37106368139083207</v>
      </c>
      <c r="AX68" s="4">
        <f t="shared" si="90"/>
        <v>0.37106368139083207</v>
      </c>
      <c r="AY68" s="4">
        <f t="shared" si="91"/>
        <v>0.49515641167153346</v>
      </c>
      <c r="AZ68" s="4">
        <f t="shared" si="91"/>
        <v>0.66074877255687903</v>
      </c>
      <c r="BA68" s="4">
        <f t="shared" si="91"/>
        <v>0.88171925101726745</v>
      </c>
      <c r="BB68" s="4">
        <f t="shared" si="91"/>
        <v>1.1765876380005351</v>
      </c>
      <c r="BC68" s="4">
        <f t="shared" si="91"/>
        <v>1.5700671934955486</v>
      </c>
      <c r="BD68" s="24">
        <f t="shared" ref="BD68:BD74" si="113">BC68</f>
        <v>1.5700671934955486</v>
      </c>
      <c r="BE68" s="4">
        <f t="shared" ref="BE68:BE74" si="114">AX68*P68-LN(1-BF68)</f>
        <v>1.0048818238554289</v>
      </c>
      <c r="BF68" s="4">
        <f t="shared" si="104"/>
        <v>0.46011931599174299</v>
      </c>
      <c r="BG68" s="4">
        <f t="shared" si="105"/>
        <v>0.29950168905411018</v>
      </c>
      <c r="BH68" s="4">
        <f t="shared" ref="BH68:BH74" si="115">AX68*P68-LN(1-BG68)</f>
        <v>0.74443802889720645</v>
      </c>
      <c r="BI68" s="23"/>
      <c r="BJ68" s="23"/>
      <c r="BK68" s="23"/>
      <c r="BL68" s="23"/>
      <c r="BM68" s="23"/>
      <c r="BN68" s="23"/>
      <c r="BO68" s="23"/>
      <c r="BP68" s="23"/>
      <c r="BQ68" s="23"/>
      <c r="BR68" s="13">
        <v>10.155305120089645</v>
      </c>
      <c r="BS68" s="13">
        <v>166.45869696842593</v>
      </c>
      <c r="BT68" s="13">
        <v>43.049663009075672</v>
      </c>
      <c r="BU68" s="13">
        <v>31.790520375932804</v>
      </c>
      <c r="BV68" s="13">
        <v>3.5322800417703113</v>
      </c>
      <c r="BW68" s="13">
        <v>0.66230250783193334</v>
      </c>
      <c r="BX68" s="13">
        <v>1.1038375130532223</v>
      </c>
      <c r="BY68" s="13">
        <v>0.22076750261064446</v>
      </c>
      <c r="BZ68" s="13">
        <v>0</v>
      </c>
      <c r="CA68" s="4"/>
      <c r="CB68" s="4"/>
      <c r="CC68" s="4"/>
      <c r="CD68" s="4"/>
      <c r="CE68" s="4"/>
      <c r="CF68" s="4"/>
      <c r="CG68" s="4"/>
      <c r="CH68" s="4"/>
      <c r="CI68" s="4"/>
      <c r="CJ68" s="23"/>
      <c r="CK68" s="23"/>
      <c r="CL68" s="23"/>
      <c r="CM68" s="23"/>
      <c r="CN68" s="23"/>
      <c r="CO68" s="23"/>
      <c r="CP68" s="23"/>
      <c r="CQ68" s="23"/>
      <c r="CR68" s="23"/>
      <c r="CS68" s="31">
        <f t="shared" ref="CS68:CS75" si="116">E68</f>
        <v>2016</v>
      </c>
      <c r="CT68" s="1">
        <v>2.6197453885975358E-2</v>
      </c>
      <c r="CU68" s="1">
        <v>0.34768661313711668</v>
      </c>
      <c r="CV68" s="1">
        <v>0.8</v>
      </c>
      <c r="CW68" s="1">
        <v>1</v>
      </c>
      <c r="CX68">
        <f t="shared" si="61"/>
        <v>1</v>
      </c>
      <c r="CY68">
        <f t="shared" si="62"/>
        <v>1</v>
      </c>
      <c r="CZ68">
        <f t="shared" si="63"/>
        <v>1</v>
      </c>
      <c r="DA68">
        <f t="shared" si="64"/>
        <v>1</v>
      </c>
      <c r="DB68">
        <f t="shared" si="65"/>
        <v>1</v>
      </c>
      <c r="DC68" s="11">
        <v>6.3299999999999995E-2</v>
      </c>
      <c r="DD68" s="11">
        <v>7.6999999999999999E-2</v>
      </c>
      <c r="DE68" s="11">
        <v>8.2400000000000001E-2</v>
      </c>
      <c r="DF68" s="11">
        <v>9.1999999999999998E-2</v>
      </c>
      <c r="DG68" s="11">
        <v>9.4500000000000001E-2</v>
      </c>
      <c r="DH68" s="11">
        <v>0.12130000000000001</v>
      </c>
      <c r="DI68" s="11">
        <v>0.13539999999999999</v>
      </c>
      <c r="DJ68" s="11">
        <v>0.14599999999999999</v>
      </c>
      <c r="DK68" s="11">
        <v>0.1547</v>
      </c>
      <c r="DL68" s="10">
        <f t="shared" si="106"/>
        <v>7.9883762886597959E-2</v>
      </c>
      <c r="DN68" s="1">
        <v>46</v>
      </c>
      <c r="DO68" s="1">
        <v>754</v>
      </c>
      <c r="DP68" s="1">
        <v>195</v>
      </c>
      <c r="DQ68" s="1">
        <v>144</v>
      </c>
      <c r="DR68" s="1">
        <v>16</v>
      </c>
      <c r="DS68" s="1">
        <v>3</v>
      </c>
      <c r="DT68" s="1">
        <v>5</v>
      </c>
      <c r="DU68" s="1">
        <v>1</v>
      </c>
      <c r="DV68" s="1">
        <v>0</v>
      </c>
      <c r="DW68">
        <f t="shared" ref="DW68:DW74" si="117">SUM(DN68:DV68)</f>
        <v>1164</v>
      </c>
      <c r="DX68" s="19">
        <f t="shared" ref="DX68:DX74" si="118">SUMPRODUCT(G68:O68,CT68:DB68)</f>
        <v>328.20791420126341</v>
      </c>
      <c r="DY68">
        <f t="shared" ref="DY68:DY74" si="119">CT68*G68/$DX68</f>
        <v>9.7141987603411271E-3</v>
      </c>
      <c r="DZ68">
        <f t="shared" ref="DZ68:DZ74" si="120">CU68*H68/$DX68</f>
        <v>0.60224608919083278</v>
      </c>
      <c r="EA68">
        <f t="shared" ref="EA68:EA74" si="121">CV68*I68/$DX68</f>
        <v>0.19322158044170754</v>
      </c>
      <c r="EB68">
        <f t="shared" ref="EB68:EB74" si="122">CW68*J68/$DX68</f>
        <v>0.17218684345601046</v>
      </c>
      <c r="EC68">
        <f t="shared" ref="EC68:EC74" si="123">CX68*K68/$DX68</f>
        <v>1.9509628973829945E-2</v>
      </c>
      <c r="ED68">
        <f t="shared" ref="ED68:ED74" si="124">CY68*L68/$DX68</f>
        <v>1.9594760719629681E-3</v>
      </c>
      <c r="EE68">
        <f t="shared" ref="EE68:EE74" si="125">CZ68*M68/$DX68</f>
        <v>1.1297342763260851E-3</v>
      </c>
      <c r="EF68">
        <f t="shared" ref="EF68:EF74" si="126">DA68*N68/$DX68</f>
        <v>2.6987724103845848E-5</v>
      </c>
      <c r="EG68">
        <f t="shared" ref="EG68:EG74" si="127">DB68*O68/$DX68</f>
        <v>5.4611048853406842E-6</v>
      </c>
      <c r="EH68">
        <f t="shared" ref="EH68:EH74" si="128">DN68/$DW68</f>
        <v>3.951890034364261E-2</v>
      </c>
      <c r="EI68">
        <f t="shared" ref="EI68:EI74" si="129">DO68/$DW68</f>
        <v>0.64776632302405501</v>
      </c>
      <c r="EJ68">
        <f t="shared" ref="EJ68:EJ74" si="130">DP68/$DW68</f>
        <v>0.16752577319587628</v>
      </c>
      <c r="EK68">
        <f t="shared" ref="EK68:EK74" si="131">DQ68/$DW68</f>
        <v>0.12371134020618557</v>
      </c>
      <c r="EL68">
        <f t="shared" ref="EL68:EL74" si="132">DR68/$DW68</f>
        <v>1.3745704467353952E-2</v>
      </c>
      <c r="EM68">
        <f t="shared" ref="EM68:EM74" si="133">DS68/$DW68</f>
        <v>2.5773195876288659E-3</v>
      </c>
      <c r="EN68">
        <f t="shared" ref="EN68:EN74" si="134">DT68/$DW68</f>
        <v>4.2955326460481103E-3</v>
      </c>
      <c r="EO68">
        <f t="shared" ref="EO68:EO74" si="135">DU68/$DW68</f>
        <v>8.5910652920962198E-4</v>
      </c>
      <c r="EP68">
        <f t="shared" ref="EP68:EP74" si="136">DV68/$DW68</f>
        <v>0</v>
      </c>
      <c r="EQ68">
        <f t="shared" ref="EQ68:EQ74" si="137">SUMPRODUCT(EH68:EP68,LN(DY68:EG68+0.0001))</f>
        <v>-1.1104476794700431</v>
      </c>
      <c r="ER68">
        <v>100</v>
      </c>
      <c r="ES68">
        <v>0.77446823204510906</v>
      </c>
    </row>
    <row r="69" spans="2:149" x14ac:dyDescent="0.3">
      <c r="B69"/>
      <c r="C69">
        <f t="shared" si="107"/>
        <v>0.12517129326806123</v>
      </c>
      <c r="D69">
        <v>67</v>
      </c>
      <c r="E69">
        <v>2017</v>
      </c>
      <c r="F69" s="2">
        <v>4.8011700224344942</v>
      </c>
      <c r="G69" s="3">
        <f t="shared" si="67"/>
        <v>121.6526706366981</v>
      </c>
      <c r="H69" s="4">
        <f t="shared" ref="H69:H74" si="138">MAX((G68*(1-CT68*$BF68)*(1-CT68*$X68)*EXP(-AV68*$P68)),0.000001)</f>
        <v>81.530058977564551</v>
      </c>
      <c r="I69" s="4">
        <f t="shared" ref="I69:I74" si="139">MAX((H68*(1-CU68*$BF68)*(1-CU68*$X68)*EXP(-AW68*$P68)),0.000001)</f>
        <v>323.82744708026053</v>
      </c>
      <c r="J69" s="4">
        <f t="shared" ref="J69:J74" si="140">MAX((I68*(1-CV68*$BF68)*(1-CV68*$X68)*EXP(-AX68*$P68)),0.000001)</f>
        <v>33.966731034405868</v>
      </c>
      <c r="K69" s="4">
        <f t="shared" ref="K69:K74" si="141">MAX((J68*(1-CW68*$BF68)*(1-CW68*$X68)*EXP(-AY68*$P68)),0.000001)</f>
        <v>18.168239287083292</v>
      </c>
      <c r="L69" s="4">
        <f t="shared" ref="L69:L74" si="142">MAX((K68*(1-CX68*$BF68)*(1-CX68*$X68)*EXP(-AZ68*$P68)),0.000001)</f>
        <v>1.7308985257978255</v>
      </c>
      <c r="M69" s="4">
        <f t="shared" ref="M69:M74" si="143">MAX((L68*(1-CY68*$BF68)*(1-CY68*$X68)*EXP(-BA68*$P68)),0.000001)</f>
        <v>0.13794100346271365</v>
      </c>
      <c r="N69" s="4">
        <f t="shared" ref="N69:N74" si="144">MAX((M68*(1-CZ68*$BF68)*(1-CZ68*$X68)*EXP(-BB68*$P68)),0.000001)</f>
        <v>5.8406502434735025E-2</v>
      </c>
      <c r="O69" s="4">
        <f t="shared" ref="O69:O74" si="145">MAX((N68*(1-DA68*$BF68)*(1-DA68*$X68)*EXP(-BC68*$P68)),0.000001)</f>
        <v>9.2415933801643594E-4</v>
      </c>
      <c r="P69" s="22">
        <v>0.65825304775715288</v>
      </c>
      <c r="Q69" s="4"/>
      <c r="R69" s="5">
        <f t="shared" si="108"/>
        <v>32.704927500098229</v>
      </c>
      <c r="S69" s="4">
        <f t="shared" si="109"/>
        <v>-0.68562097805346423</v>
      </c>
      <c r="T69" s="5">
        <v>28.610969494820793</v>
      </c>
      <c r="U69" s="5">
        <f t="shared" si="92"/>
        <v>23.469467697843108</v>
      </c>
      <c r="V69" s="5">
        <v>16.475999999999999</v>
      </c>
      <c r="W69" s="4"/>
      <c r="X69" s="4">
        <f t="shared" si="110"/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f t="shared" si="111"/>
        <v>0</v>
      </c>
      <c r="AI69" s="10">
        <v>12.964466173153186</v>
      </c>
      <c r="AJ69" s="4">
        <f t="shared" si="93"/>
        <v>12.964466173153186</v>
      </c>
      <c r="AK69" s="23">
        <f t="shared" si="94"/>
        <v>3.4586188339989845</v>
      </c>
      <c r="AL69" s="23">
        <f t="shared" si="95"/>
        <v>10.375856501996955</v>
      </c>
      <c r="AM69" s="23">
        <f t="shared" si="96"/>
        <v>90.052186677825418</v>
      </c>
      <c r="AN69" s="23">
        <f t="shared" si="97"/>
        <v>17.933579139253997</v>
      </c>
      <c r="AO69" s="23">
        <f t="shared" si="98"/>
        <v>11.144438465107839</v>
      </c>
      <c r="AP69" s="23">
        <f t="shared" si="99"/>
        <v>2.1776488954808424</v>
      </c>
      <c r="AQ69" s="23">
        <f t="shared" si="100"/>
        <v>0.2561939877036285</v>
      </c>
      <c r="AR69" s="23">
        <f t="shared" si="101"/>
        <v>0.2561939877036285</v>
      </c>
      <c r="AS69" s="23">
        <f t="shared" si="102"/>
        <v>0</v>
      </c>
      <c r="AT69" s="23">
        <f t="shared" si="112"/>
        <v>32.704927500098229</v>
      </c>
      <c r="AU69" s="23">
        <f t="shared" si="103"/>
        <v>35.923929610031202</v>
      </c>
      <c r="AV69" s="4">
        <f t="shared" si="90"/>
        <v>0.37106368139083207</v>
      </c>
      <c r="AW69" s="4">
        <f t="shared" si="90"/>
        <v>0.37106368139083207</v>
      </c>
      <c r="AX69" s="4">
        <f t="shared" si="90"/>
        <v>0.37106368139083207</v>
      </c>
      <c r="AY69" s="4">
        <f t="shared" si="91"/>
        <v>0.49515641167153346</v>
      </c>
      <c r="AZ69" s="4">
        <f t="shared" si="91"/>
        <v>0.66074877255687903</v>
      </c>
      <c r="BA69" s="4">
        <f t="shared" si="91"/>
        <v>0.88171925101726745</v>
      </c>
      <c r="BB69" s="4">
        <f t="shared" si="91"/>
        <v>1.1765876380005351</v>
      </c>
      <c r="BC69" s="4">
        <f t="shared" si="91"/>
        <v>1.5700671934955486</v>
      </c>
      <c r="BD69" s="24">
        <f t="shared" si="113"/>
        <v>1.5700671934955486</v>
      </c>
      <c r="BE69" s="4">
        <f t="shared" si="114"/>
        <v>0.74910914992322186</v>
      </c>
      <c r="BF69" s="4">
        <f t="shared" si="104"/>
        <v>0.39640712162148189</v>
      </c>
      <c r="BG69" s="4">
        <f t="shared" si="105"/>
        <v>0.36088663778956576</v>
      </c>
      <c r="BH69" s="4">
        <f t="shared" si="115"/>
        <v>0.69192723387649613</v>
      </c>
      <c r="BI69" s="23"/>
      <c r="BJ69" s="23"/>
      <c r="BK69" s="23"/>
      <c r="BL69" s="23"/>
      <c r="BM69" s="23"/>
      <c r="BN69" s="23"/>
      <c r="BO69" s="23"/>
      <c r="BP69" s="23"/>
      <c r="BQ69" s="23"/>
      <c r="BR69" s="13">
        <v>4.3954146007932167</v>
      </c>
      <c r="BS69" s="13">
        <v>13.186243802379648</v>
      </c>
      <c r="BT69" s="13">
        <v>114.44357275398633</v>
      </c>
      <c r="BU69" s="13">
        <v>22.791038670779642</v>
      </c>
      <c r="BV69" s="13">
        <v>14.163002602555919</v>
      </c>
      <c r="BW69" s="13">
        <v>2.7674832671660989</v>
      </c>
      <c r="BX69" s="13">
        <v>0.32558626672542346</v>
      </c>
      <c r="BY69" s="13">
        <v>0.32558626672542346</v>
      </c>
      <c r="BZ69" s="13">
        <v>0</v>
      </c>
      <c r="CA69" s="4"/>
      <c r="CB69" s="4"/>
      <c r="CC69" s="4"/>
      <c r="CD69" s="4"/>
      <c r="CE69" s="4"/>
      <c r="CF69" s="4"/>
      <c r="CG69" s="4"/>
      <c r="CH69" s="4"/>
      <c r="CI69" s="4"/>
      <c r="CJ69" s="23"/>
      <c r="CK69" s="23"/>
      <c r="CL69" s="23"/>
      <c r="CM69" s="23"/>
      <c r="CN69" s="23"/>
      <c r="CO69" s="23"/>
      <c r="CP69" s="23"/>
      <c r="CQ69" s="23"/>
      <c r="CR69" s="23"/>
      <c r="CS69" s="31">
        <f t="shared" si="116"/>
        <v>2017</v>
      </c>
      <c r="CT69" s="1">
        <v>2.6197453885975358E-2</v>
      </c>
      <c r="CU69" s="1">
        <v>0.34768661313711668</v>
      </c>
      <c r="CV69" s="1">
        <v>0.8</v>
      </c>
      <c r="CW69" s="1">
        <v>1</v>
      </c>
      <c r="CX69">
        <f t="shared" ref="CX69:CX74" si="146">CX68</f>
        <v>1</v>
      </c>
      <c r="CY69">
        <f t="shared" ref="CY69:CY74" si="147">CY68</f>
        <v>1</v>
      </c>
      <c r="CZ69">
        <f t="shared" ref="CZ69:CZ74" si="148">CZ68</f>
        <v>1</v>
      </c>
      <c r="DA69">
        <f t="shared" ref="DA69:DA74" si="149">DA68</f>
        <v>1</v>
      </c>
      <c r="DB69">
        <f t="shared" ref="DB69:DB74" si="150">DB68</f>
        <v>1</v>
      </c>
      <c r="DC69" s="11">
        <v>6.54E-2</v>
      </c>
      <c r="DD69" s="11">
        <v>8.1000000000000003E-2</v>
      </c>
      <c r="DE69" s="11">
        <v>9.4600000000000004E-2</v>
      </c>
      <c r="DF69" s="11">
        <v>0.10199999999999999</v>
      </c>
      <c r="DG69" s="11">
        <v>0.1099</v>
      </c>
      <c r="DH69" s="11">
        <v>0.11890000000000001</v>
      </c>
      <c r="DI69" s="11">
        <v>0.13650000000000001</v>
      </c>
      <c r="DJ69" s="11">
        <v>0.121</v>
      </c>
      <c r="DK69" s="11">
        <v>0.153</v>
      </c>
      <c r="DL69" s="10">
        <f t="shared" si="106"/>
        <v>9.5569593956562796E-2</v>
      </c>
      <c r="DN69" s="1">
        <v>27</v>
      </c>
      <c r="DO69" s="1">
        <v>81</v>
      </c>
      <c r="DP69" s="1">
        <v>703</v>
      </c>
      <c r="DQ69" s="1">
        <v>140</v>
      </c>
      <c r="DR69" s="1">
        <v>87</v>
      </c>
      <c r="DS69" s="1">
        <v>17</v>
      </c>
      <c r="DT69" s="1">
        <v>2</v>
      </c>
      <c r="DU69" s="1">
        <v>2</v>
      </c>
      <c r="DV69" s="1">
        <v>0</v>
      </c>
      <c r="DW69">
        <f t="shared" si="117"/>
        <v>1059</v>
      </c>
      <c r="DX69" s="19">
        <f t="shared" si="118"/>
        <v>344.65899848062026</v>
      </c>
      <c r="DY69">
        <f t="shared" si="119"/>
        <v>9.2467924619987762E-3</v>
      </c>
      <c r="DZ69">
        <f t="shared" si="120"/>
        <v>8.2246249770764959E-2</v>
      </c>
      <c r="EA69">
        <f t="shared" si="121"/>
        <v>0.75164716083504535</v>
      </c>
      <c r="EB69">
        <f t="shared" si="122"/>
        <v>9.8551702361300092E-2</v>
      </c>
      <c r="EC69">
        <f t="shared" si="123"/>
        <v>5.2713665876055374E-2</v>
      </c>
      <c r="ED69">
        <f t="shared" si="124"/>
        <v>5.0220610325807345E-3</v>
      </c>
      <c r="EE69">
        <f t="shared" si="125"/>
        <v>4.0022458160328547E-4</v>
      </c>
      <c r="EF69">
        <f t="shared" si="126"/>
        <v>1.6946170763627733E-4</v>
      </c>
      <c r="EG69">
        <f t="shared" si="127"/>
        <v>2.6813730153295279E-6</v>
      </c>
      <c r="EH69">
        <f t="shared" si="128"/>
        <v>2.5495750708215296E-2</v>
      </c>
      <c r="EI69">
        <f t="shared" si="129"/>
        <v>7.6487252124645896E-2</v>
      </c>
      <c r="EJ69">
        <f t="shared" si="130"/>
        <v>0.66383380547686499</v>
      </c>
      <c r="EK69">
        <f t="shared" si="131"/>
        <v>0.13220018885741266</v>
      </c>
      <c r="EL69">
        <f t="shared" si="132"/>
        <v>8.2152974504249299E-2</v>
      </c>
      <c r="EM69">
        <f t="shared" si="133"/>
        <v>1.6052880075542966E-2</v>
      </c>
      <c r="EN69">
        <f t="shared" si="134"/>
        <v>1.8885741265344666E-3</v>
      </c>
      <c r="EO69">
        <f t="shared" si="135"/>
        <v>1.8885741265344666E-3</v>
      </c>
      <c r="EP69">
        <f t="shared" si="136"/>
        <v>0</v>
      </c>
      <c r="EQ69" cm="1">
        <f t="array" ref="EQ69">SUMPRODUCT(EH69:EP69,LN(DY69:EG69+0.0001))</f>
        <v>-1.161887984312109</v>
      </c>
      <c r="ER69">
        <v>100</v>
      </c>
      <c r="ES69">
        <v>0.79565784527858674</v>
      </c>
    </row>
    <row r="70" spans="2:149" x14ac:dyDescent="0.3">
      <c r="B70"/>
      <c r="C70">
        <f t="shared" si="107"/>
        <v>5.441368433814496E-2</v>
      </c>
      <c r="D70">
        <v>68</v>
      </c>
      <c r="E70">
        <v>2018</v>
      </c>
      <c r="F70" s="2">
        <v>6.1544650489609483</v>
      </c>
      <c r="G70" s="3">
        <f t="shared" ref="G70:G73" si="151">EXP(F70)</f>
        <v>470.81491215518776</v>
      </c>
      <c r="H70" s="4">
        <f t="shared" si="138"/>
        <v>94.299611243123735</v>
      </c>
      <c r="I70" s="4">
        <f t="shared" si="139"/>
        <v>55.059831575728758</v>
      </c>
      <c r="J70" s="4">
        <f t="shared" si="140"/>
        <v>173.21135094453027</v>
      </c>
      <c r="K70" s="4">
        <f t="shared" si="141"/>
        <v>14.799419821481692</v>
      </c>
      <c r="L70" s="4">
        <f t="shared" si="142"/>
        <v>7.0984732906757753</v>
      </c>
      <c r="M70" s="4">
        <f t="shared" si="143"/>
        <v>0.58472765788179559</v>
      </c>
      <c r="N70" s="4">
        <f t="shared" si="144"/>
        <v>3.8377767984890378E-2</v>
      </c>
      <c r="O70" s="4">
        <f t="shared" si="145"/>
        <v>1.2541841326367617E-2</v>
      </c>
      <c r="P70" s="22">
        <v>1.0102404720396969</v>
      </c>
      <c r="Q70" s="4"/>
      <c r="R70" s="5">
        <f t="shared" si="108"/>
        <v>31.018278856898739</v>
      </c>
      <c r="S70" s="4">
        <f t="shared" si="109"/>
        <v>-9.8558015623424186E-2</v>
      </c>
      <c r="T70" s="5">
        <v>23.205615215944494</v>
      </c>
      <c r="U70" s="5">
        <f t="shared" si="92"/>
        <v>22.259107398189105</v>
      </c>
      <c r="V70" s="5">
        <v>28.106999999999999</v>
      </c>
      <c r="W70" s="4"/>
      <c r="X70" s="4">
        <f t="shared" si="110"/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f t="shared" si="111"/>
        <v>0</v>
      </c>
      <c r="AI70" s="10">
        <v>13.742334143542378</v>
      </c>
      <c r="AJ70" s="4">
        <f t="shared" si="93"/>
        <v>13.742334143542378</v>
      </c>
      <c r="AK70" s="23">
        <f t="shared" si="94"/>
        <v>6.7334812168077791</v>
      </c>
      <c r="AL70" s="23">
        <f t="shared" si="95"/>
        <v>16.787583307657748</v>
      </c>
      <c r="AM70" s="23">
        <f t="shared" si="96"/>
        <v>13.743680839785739</v>
      </c>
      <c r="AN70" s="23">
        <f t="shared" si="97"/>
        <v>71.485588260630522</v>
      </c>
      <c r="AO70" s="23">
        <f t="shared" si="98"/>
        <v>12.175609871488039</v>
      </c>
      <c r="AP70" s="23">
        <f t="shared" si="99"/>
        <v>4.4274944987229228</v>
      </c>
      <c r="AQ70" s="23">
        <f t="shared" si="100"/>
        <v>0.64567628106375952</v>
      </c>
      <c r="AR70" s="23">
        <f t="shared" si="101"/>
        <v>0.27671840617018267</v>
      </c>
      <c r="AS70" s="23">
        <f t="shared" si="102"/>
        <v>0</v>
      </c>
      <c r="AT70" s="23">
        <f t="shared" si="112"/>
        <v>31.018278856898739</v>
      </c>
      <c r="AU70" s="23">
        <f t="shared" si="103"/>
        <v>52.909707220765632</v>
      </c>
      <c r="AV70" s="4">
        <f t="shared" si="90"/>
        <v>0.37106368139083207</v>
      </c>
      <c r="AW70" s="4">
        <f t="shared" si="90"/>
        <v>0.37106368139083207</v>
      </c>
      <c r="AX70" s="4">
        <f t="shared" si="90"/>
        <v>0.37106368139083207</v>
      </c>
      <c r="AY70" s="4">
        <f t="shared" si="91"/>
        <v>0.49515641167153346</v>
      </c>
      <c r="AZ70" s="4">
        <f t="shared" si="91"/>
        <v>0.66074877255687903</v>
      </c>
      <c r="BA70" s="4">
        <f t="shared" si="91"/>
        <v>0.88171925101726745</v>
      </c>
      <c r="BB70" s="4">
        <f t="shared" si="91"/>
        <v>1.1765876380005351</v>
      </c>
      <c r="BC70" s="4">
        <f t="shared" si="91"/>
        <v>1.5700671934955486</v>
      </c>
      <c r="BD70" s="24">
        <f t="shared" si="113"/>
        <v>1.5700671934955486</v>
      </c>
      <c r="BE70" s="4">
        <f t="shared" si="114"/>
        <v>0.96012516501164358</v>
      </c>
      <c r="BF70" s="4">
        <f t="shared" si="104"/>
        <v>0.44303986713582472</v>
      </c>
      <c r="BG70" s="4">
        <f t="shared" si="105"/>
        <v>0.25973181227789677</v>
      </c>
      <c r="BH70" s="4">
        <f t="shared" si="115"/>
        <v>0.67560629124506133</v>
      </c>
      <c r="BI70" s="23"/>
      <c r="BJ70" s="23"/>
      <c r="BK70" s="23"/>
      <c r="BL70" s="23"/>
      <c r="BM70" s="23"/>
      <c r="BN70" s="23"/>
      <c r="BO70" s="23"/>
      <c r="BP70" s="23"/>
      <c r="BQ70" s="23"/>
      <c r="BR70" s="13">
        <v>13.771893084825763</v>
      </c>
      <c r="BS70" s="13">
        <v>34.335404677236831</v>
      </c>
      <c r="BT70" s="13">
        <v>28.109754378616966</v>
      </c>
      <c r="BU70" s="13">
        <v>146.20845398273926</v>
      </c>
      <c r="BV70" s="13">
        <v>24.902601194479459</v>
      </c>
      <c r="BW70" s="13">
        <v>9.055491343447077</v>
      </c>
      <c r="BX70" s="13">
        <v>1.320592487586032</v>
      </c>
      <c r="BY70" s="13">
        <v>0.56596820896544231</v>
      </c>
      <c r="BZ70" s="13">
        <v>0</v>
      </c>
      <c r="CA70" s="4"/>
      <c r="CB70" s="4"/>
      <c r="CC70" s="4"/>
      <c r="CD70" s="4"/>
      <c r="CE70" s="4"/>
      <c r="CF70" s="4"/>
      <c r="CG70" s="4"/>
      <c r="CH70" s="4"/>
      <c r="CI70" s="4"/>
      <c r="CJ70" s="23"/>
      <c r="CK70" s="23"/>
      <c r="CL70" s="23"/>
      <c r="CM70" s="23"/>
      <c r="CN70" s="23"/>
      <c r="CO70" s="23"/>
      <c r="CP70" s="23"/>
      <c r="CQ70" s="23"/>
      <c r="CR70" s="23"/>
      <c r="CS70" s="31">
        <f t="shared" si="116"/>
        <v>2018</v>
      </c>
      <c r="CT70" s="1">
        <v>2.6197453885975358E-2</v>
      </c>
      <c r="CU70" s="1">
        <v>0.34768661313711668</v>
      </c>
      <c r="CV70" s="1">
        <v>0.8</v>
      </c>
      <c r="CW70" s="1">
        <v>1</v>
      </c>
      <c r="CX70">
        <f t="shared" si="146"/>
        <v>1</v>
      </c>
      <c r="CY70">
        <f t="shared" si="147"/>
        <v>1</v>
      </c>
      <c r="CZ70">
        <f t="shared" si="148"/>
        <v>1</v>
      </c>
      <c r="DA70">
        <f t="shared" si="149"/>
        <v>1</v>
      </c>
      <c r="DB70">
        <f t="shared" si="150"/>
        <v>1</v>
      </c>
      <c r="DC70" s="11">
        <v>6.3E-2</v>
      </c>
      <c r="DD70" s="11">
        <v>8.6900000000000005E-2</v>
      </c>
      <c r="DE70" s="11">
        <v>0.1028</v>
      </c>
      <c r="DF70" s="11">
        <v>0.11600000000000001</v>
      </c>
      <c r="DG70" s="11">
        <v>0.1198</v>
      </c>
      <c r="DH70" s="11">
        <v>0.12859999999999999</v>
      </c>
      <c r="DI70" s="11">
        <v>0.13370000000000001</v>
      </c>
      <c r="DJ70" s="11">
        <v>0.14369999999999999</v>
      </c>
      <c r="DK70" s="11">
        <v>0.15129999999999999</v>
      </c>
      <c r="DL70" s="10">
        <f t="shared" si="106"/>
        <v>0.10882790357925493</v>
      </c>
      <c r="DN70" s="1">
        <v>73</v>
      </c>
      <c r="DO70" s="1">
        <v>182</v>
      </c>
      <c r="DP70" s="1">
        <v>149</v>
      </c>
      <c r="DQ70" s="1">
        <v>775</v>
      </c>
      <c r="DR70" s="1">
        <v>132</v>
      </c>
      <c r="DS70" s="1">
        <v>48</v>
      </c>
      <c r="DT70" s="1">
        <v>7</v>
      </c>
      <c r="DU70" s="1">
        <v>3</v>
      </c>
      <c r="DV70" s="1">
        <v>0</v>
      </c>
      <c r="DW70">
        <f t="shared" si="117"/>
        <v>1369</v>
      </c>
      <c r="DX70" s="19">
        <f t="shared" si="118"/>
        <v>284.91362098774738</v>
      </c>
      <c r="DY70">
        <f t="shared" si="119"/>
        <v>4.3290846914424974E-2</v>
      </c>
      <c r="DZ70">
        <f t="shared" si="120"/>
        <v>0.11507597404294843</v>
      </c>
      <c r="EA70">
        <f t="shared" si="121"/>
        <v>0.15460077025407387</v>
      </c>
      <c r="EB70">
        <f t="shared" si="122"/>
        <v>0.60794338418793659</v>
      </c>
      <c r="EC70">
        <f t="shared" si="123"/>
        <v>5.194353211396003E-2</v>
      </c>
      <c r="ED70">
        <f t="shared" si="124"/>
        <v>2.4914475011993346E-2</v>
      </c>
      <c r="EE70">
        <f t="shared" si="125"/>
        <v>2.0522980117786004E-3</v>
      </c>
      <c r="EF70">
        <f t="shared" si="126"/>
        <v>1.346996603807187E-4</v>
      </c>
      <c r="EG70">
        <f t="shared" si="127"/>
        <v>4.4019802503254048E-5</v>
      </c>
      <c r="EH70">
        <f t="shared" si="128"/>
        <v>5.3323593864134405E-2</v>
      </c>
      <c r="EI70">
        <f t="shared" si="129"/>
        <v>0.13294375456537619</v>
      </c>
      <c r="EJ70">
        <f t="shared" si="130"/>
        <v>0.10883856829802775</v>
      </c>
      <c r="EK70">
        <f t="shared" si="131"/>
        <v>0.5661066471877283</v>
      </c>
      <c r="EL70">
        <f t="shared" si="132"/>
        <v>9.6420745069393715E-2</v>
      </c>
      <c r="EM70">
        <f t="shared" si="133"/>
        <v>3.5062089116143169E-2</v>
      </c>
      <c r="EN70">
        <f t="shared" si="134"/>
        <v>5.1132213294375461E-3</v>
      </c>
      <c r="EO70">
        <f t="shared" si="135"/>
        <v>2.1913805697589481E-3</v>
      </c>
      <c r="EP70">
        <f t="shared" si="136"/>
        <v>0</v>
      </c>
      <c r="EQ70">
        <f t="shared" si="137"/>
        <v>-1.403421324287031</v>
      </c>
      <c r="ER70">
        <v>100</v>
      </c>
      <c r="ES70">
        <v>0.65526794206310734</v>
      </c>
    </row>
    <row r="71" spans="2:149" x14ac:dyDescent="0.3">
      <c r="B71"/>
      <c r="C71">
        <f t="shared" si="107"/>
        <v>3.1779922705110998E-3</v>
      </c>
      <c r="D71">
        <v>69</v>
      </c>
      <c r="E71">
        <v>2019</v>
      </c>
      <c r="F71" s="2">
        <v>5.7169540114215733</v>
      </c>
      <c r="G71" s="3">
        <f t="shared" si="151"/>
        <v>303.9775990700391</v>
      </c>
      <c r="H71" s="4">
        <f t="shared" si="138"/>
        <v>319.87397895396242</v>
      </c>
      <c r="I71" s="4">
        <f t="shared" si="139"/>
        <v>54.835152769223825</v>
      </c>
      <c r="J71" s="4">
        <f t="shared" si="140"/>
        <v>24.432942574543034</v>
      </c>
      <c r="K71" s="4">
        <f t="shared" si="141"/>
        <v>58.499831107655922</v>
      </c>
      <c r="L71" s="4">
        <f t="shared" si="142"/>
        <v>4.2283473127051501</v>
      </c>
      <c r="M71" s="4">
        <f t="shared" si="143"/>
        <v>1.6223401480218713</v>
      </c>
      <c r="N71" s="4">
        <f t="shared" si="144"/>
        <v>9.9210924037609061E-2</v>
      </c>
      <c r="O71" s="4">
        <f t="shared" si="145"/>
        <v>4.3757209471256787E-3</v>
      </c>
      <c r="P71" s="22">
        <v>0.95682485170652365</v>
      </c>
      <c r="Q71" s="4"/>
      <c r="R71" s="5">
        <f t="shared" si="108"/>
        <v>25.107725911316059</v>
      </c>
      <c r="S71" s="4">
        <f t="shared" si="109"/>
        <v>-0.38819910933254514</v>
      </c>
      <c r="T71" s="5">
        <v>18.119968232361362</v>
      </c>
      <c r="U71" s="5">
        <f t="shared" si="92"/>
        <v>18.017620196227639</v>
      </c>
      <c r="V71" s="5">
        <v>17.03</v>
      </c>
      <c r="W71" s="4"/>
      <c r="X71" s="4">
        <f t="shared" si="110"/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f t="shared" si="111"/>
        <v>0</v>
      </c>
      <c r="AI71" s="10">
        <v>14.15460416784865</v>
      </c>
      <c r="AJ71" s="4">
        <f t="shared" si="93"/>
        <v>14.15460416784865</v>
      </c>
      <c r="AK71" s="23">
        <f t="shared" si="94"/>
        <v>7.9464196609531266</v>
      </c>
      <c r="AL71" s="23">
        <f t="shared" si="95"/>
        <v>72.52684611187378</v>
      </c>
      <c r="AM71" s="23">
        <f t="shared" si="96"/>
        <v>14.000834640726939</v>
      </c>
      <c r="AN71" s="23">
        <f t="shared" si="97"/>
        <v>7.0634841430694468</v>
      </c>
      <c r="AO71" s="23">
        <f t="shared" si="98"/>
        <v>33.425416034167917</v>
      </c>
      <c r="AP71" s="23">
        <f t="shared" si="99"/>
        <v>5.8021476889499031</v>
      </c>
      <c r="AQ71" s="23">
        <f t="shared" si="100"/>
        <v>2.6488065536510423</v>
      </c>
      <c r="AR71" s="23">
        <f t="shared" si="101"/>
        <v>0.37840093623586324</v>
      </c>
      <c r="AS71" s="23">
        <f t="shared" si="102"/>
        <v>0</v>
      </c>
      <c r="AT71" s="23">
        <f t="shared" si="112"/>
        <v>25.107725911316059</v>
      </c>
      <c r="AU71" s="23">
        <f t="shared" si="103"/>
        <v>37.886071898489135</v>
      </c>
      <c r="AV71" s="4">
        <f t="shared" si="90"/>
        <v>0.37106368139083207</v>
      </c>
      <c r="AW71" s="4">
        <f t="shared" si="90"/>
        <v>0.37106368139083207</v>
      </c>
      <c r="AX71" s="4">
        <f t="shared" si="90"/>
        <v>0.37106368139083207</v>
      </c>
      <c r="AY71" s="4">
        <f t="shared" si="91"/>
        <v>0.49515641167153346</v>
      </c>
      <c r="AZ71" s="4">
        <f t="shared" si="91"/>
        <v>0.66074877255687903</v>
      </c>
      <c r="BA71" s="4">
        <f t="shared" si="91"/>
        <v>0.88171925101726745</v>
      </c>
      <c r="BB71" s="4">
        <f t="shared" si="91"/>
        <v>1.1765876380005351</v>
      </c>
      <c r="BC71" s="4">
        <f t="shared" si="91"/>
        <v>1.5700671934955486</v>
      </c>
      <c r="BD71" s="24">
        <f t="shared" si="113"/>
        <v>1.5700671934955486</v>
      </c>
      <c r="BE71" s="4">
        <f t="shared" si="114"/>
        <v>1.184594049568114</v>
      </c>
      <c r="BF71" s="4">
        <f t="shared" si="104"/>
        <v>0.56375492618665102</v>
      </c>
      <c r="BG71" s="4">
        <f t="shared" si="105"/>
        <v>0.37360970558716389</v>
      </c>
      <c r="BH71" s="4">
        <f t="shared" si="115"/>
        <v>0.82282458057842189</v>
      </c>
      <c r="BI71" s="23"/>
      <c r="BJ71" s="23"/>
      <c r="BK71" s="23"/>
      <c r="BL71" s="23"/>
      <c r="BM71" s="23"/>
      <c r="BN71" s="23"/>
      <c r="BO71" s="23"/>
      <c r="BP71" s="23"/>
      <c r="BQ71" s="23"/>
      <c r="BR71" s="13">
        <v>9.5606719355261287</v>
      </c>
      <c r="BS71" s="13">
        <v>87.26010099884958</v>
      </c>
      <c r="BT71" s="13">
        <v>16.844993410212702</v>
      </c>
      <c r="BU71" s="13">
        <v>8.4983750538010039</v>
      </c>
      <c r="BV71" s="13">
        <v>40.215524808165462</v>
      </c>
      <c r="BW71" s="13">
        <v>6.9808080799079661</v>
      </c>
      <c r="BX71" s="13">
        <v>3.1868906451753762</v>
      </c>
      <c r="BY71" s="13">
        <v>0.45527009216791092</v>
      </c>
      <c r="BZ71" s="13">
        <v>0</v>
      </c>
      <c r="CA71" s="4"/>
      <c r="CB71" s="4"/>
      <c r="CC71" s="4"/>
      <c r="CD71" s="4"/>
      <c r="CE71" s="4"/>
      <c r="CF71" s="4"/>
      <c r="CG71" s="4"/>
      <c r="CH71" s="4"/>
      <c r="CI71" s="4"/>
      <c r="CJ71" s="23"/>
      <c r="CK71" s="23"/>
      <c r="CL71" s="23"/>
      <c r="CM71" s="23"/>
      <c r="CN71" s="23"/>
      <c r="CO71" s="23"/>
      <c r="CP71" s="23"/>
      <c r="CQ71" s="23"/>
      <c r="CR71" s="23"/>
      <c r="CS71" s="31">
        <f t="shared" si="116"/>
        <v>2019</v>
      </c>
      <c r="CT71" s="1">
        <v>2.6197453885975358E-2</v>
      </c>
      <c r="CU71" s="1">
        <v>0.34768661313711668</v>
      </c>
      <c r="CV71" s="1">
        <v>0.8</v>
      </c>
      <c r="CW71" s="1">
        <v>1</v>
      </c>
      <c r="CX71">
        <f t="shared" si="146"/>
        <v>1</v>
      </c>
      <c r="CY71">
        <f t="shared" si="147"/>
        <v>1</v>
      </c>
      <c r="CZ71">
        <f t="shared" si="148"/>
        <v>1</v>
      </c>
      <c r="DA71">
        <f t="shared" si="149"/>
        <v>1</v>
      </c>
      <c r="DB71">
        <f t="shared" si="150"/>
        <v>1</v>
      </c>
      <c r="DC71" s="11">
        <v>6.1499999999999999E-2</v>
      </c>
      <c r="DD71" s="11">
        <v>8.1199999999999994E-2</v>
      </c>
      <c r="DE71" s="11">
        <v>9.7299999999999998E-2</v>
      </c>
      <c r="DF71" s="11">
        <v>0.1154</v>
      </c>
      <c r="DG71" s="11">
        <v>0.13139999999999999</v>
      </c>
      <c r="DH71" s="11">
        <v>0.13500000000000001</v>
      </c>
      <c r="DI71" s="11">
        <v>0.1399</v>
      </c>
      <c r="DJ71" s="11">
        <v>0.14099999999999999</v>
      </c>
      <c r="DK71" s="11">
        <v>0.14960000000000001</v>
      </c>
      <c r="DL71" s="10">
        <f t="shared" si="106"/>
        <v>9.8437807017543844E-2</v>
      </c>
      <c r="DN71" s="1">
        <v>63</v>
      </c>
      <c r="DO71" s="1">
        <v>575</v>
      </c>
      <c r="DP71" s="1">
        <v>111</v>
      </c>
      <c r="DQ71" s="1">
        <v>56</v>
      </c>
      <c r="DR71" s="1">
        <v>265</v>
      </c>
      <c r="DS71" s="1">
        <v>46</v>
      </c>
      <c r="DT71" s="1">
        <v>21</v>
      </c>
      <c r="DU71" s="1">
        <v>3</v>
      </c>
      <c r="DV71" s="1">
        <v>0</v>
      </c>
      <c r="DW71">
        <f t="shared" si="117"/>
        <v>1140</v>
      </c>
      <c r="DX71" s="19">
        <f t="shared" si="118"/>
        <v>251.93450951049317</v>
      </c>
      <c r="DY71">
        <f t="shared" si="119"/>
        <v>3.160916362541899E-2</v>
      </c>
      <c r="DZ71">
        <f t="shared" si="120"/>
        <v>0.44144766268538671</v>
      </c>
      <c r="EA71">
        <f t="shared" si="121"/>
        <v>0.17412510219665614</v>
      </c>
      <c r="EB71">
        <f t="shared" si="122"/>
        <v>9.6981325115070793E-2</v>
      </c>
      <c r="EC71">
        <f t="shared" si="123"/>
        <v>0.2322025324014588</v>
      </c>
      <c r="ED71">
        <f t="shared" si="124"/>
        <v>1.6783517751977672E-2</v>
      </c>
      <c r="EE71">
        <f t="shared" si="125"/>
        <v>6.4395312542694762E-3</v>
      </c>
      <c r="EF71">
        <f t="shared" si="126"/>
        <v>3.9379648397663001E-4</v>
      </c>
      <c r="EG71">
        <f t="shared" si="127"/>
        <v>1.7368485784768711E-5</v>
      </c>
      <c r="EH71">
        <f t="shared" si="128"/>
        <v>5.526315789473684E-2</v>
      </c>
      <c r="EI71">
        <f t="shared" si="129"/>
        <v>0.50438596491228072</v>
      </c>
      <c r="EJ71">
        <f t="shared" si="130"/>
        <v>9.7368421052631576E-2</v>
      </c>
      <c r="EK71">
        <f t="shared" si="131"/>
        <v>4.912280701754386E-2</v>
      </c>
      <c r="EL71">
        <f t="shared" si="132"/>
        <v>0.23245614035087719</v>
      </c>
      <c r="EM71">
        <f t="shared" si="133"/>
        <v>4.0350877192982457E-2</v>
      </c>
      <c r="EN71">
        <f t="shared" si="134"/>
        <v>1.8421052631578946E-2</v>
      </c>
      <c r="EO71">
        <f t="shared" si="135"/>
        <v>2.631578947368421E-3</v>
      </c>
      <c r="EP71">
        <f t="shared" si="136"/>
        <v>0</v>
      </c>
      <c r="EQ71">
        <f t="shared" si="137"/>
        <v>-1.50444778012278</v>
      </c>
      <c r="ER71">
        <v>100</v>
      </c>
      <c r="ES71">
        <v>0.83636349217050832</v>
      </c>
    </row>
    <row r="72" spans="2:149" x14ac:dyDescent="0.3">
      <c r="B72"/>
      <c r="C72">
        <f t="shared" si="107"/>
        <v>1.1293456122811031E-3</v>
      </c>
      <c r="D72">
        <v>70</v>
      </c>
      <c r="E72">
        <v>2020</v>
      </c>
      <c r="F72" s="2">
        <v>6.6291170074208736</v>
      </c>
      <c r="G72" s="3">
        <f t="shared" si="151"/>
        <v>756.81361471471143</v>
      </c>
      <c r="H72" s="4">
        <f t="shared" si="138"/>
        <v>209.984132665077</v>
      </c>
      <c r="I72" s="4">
        <f t="shared" si="139"/>
        <v>180.31686275737687</v>
      </c>
      <c r="J72" s="4">
        <f t="shared" si="140"/>
        <v>21.107416980019121</v>
      </c>
      <c r="K72" s="4">
        <f t="shared" si="141"/>
        <v>6.6366231303786956</v>
      </c>
      <c r="L72" s="4">
        <f t="shared" si="142"/>
        <v>13.561730918467578</v>
      </c>
      <c r="M72" s="4">
        <f t="shared" si="143"/>
        <v>0.7934293501140488</v>
      </c>
      <c r="N72" s="4">
        <f t="shared" si="144"/>
        <v>0.229587801070297</v>
      </c>
      <c r="O72" s="4">
        <f t="shared" si="145"/>
        <v>9.6351485774235582E-3</v>
      </c>
      <c r="P72" s="22">
        <v>0.97699780098817224</v>
      </c>
      <c r="Q72" s="4"/>
      <c r="R72" s="5">
        <f t="shared" si="108"/>
        <v>27.037138205545748</v>
      </c>
      <c r="S72" s="4">
        <f t="shared" si="109"/>
        <v>-0.36543116291858557</v>
      </c>
      <c r="T72" s="5">
        <v>17.411527424287694</v>
      </c>
      <c r="U72" s="5">
        <f t="shared" si="92"/>
        <v>19.402190748023209</v>
      </c>
      <c r="V72" s="5">
        <v>18.760999999999999</v>
      </c>
      <c r="W72" s="4"/>
      <c r="X72" s="4">
        <f t="shared" si="110"/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3">
        <v>0</v>
      </c>
      <c r="AH72" s="23">
        <f t="shared" si="111"/>
        <v>0</v>
      </c>
      <c r="AI72" s="10">
        <v>14.579242292884109</v>
      </c>
      <c r="AJ72" s="4">
        <f t="shared" si="93"/>
        <v>14.579242292884109</v>
      </c>
      <c r="AK72" s="23">
        <f t="shared" si="94"/>
        <v>27.98998949873948</v>
      </c>
      <c r="AL72" s="23">
        <f t="shared" si="95"/>
        <v>42.696594150619546</v>
      </c>
      <c r="AM72" s="23">
        <f t="shared" si="96"/>
        <v>53.766081523002384</v>
      </c>
      <c r="AN72" s="23">
        <f t="shared" si="97"/>
        <v>7.2742345589944417</v>
      </c>
      <c r="AO72" s="23">
        <f t="shared" si="98"/>
        <v>3.7952528133884038</v>
      </c>
      <c r="AP72" s="23">
        <f t="shared" si="99"/>
        <v>15.497282321335984</v>
      </c>
      <c r="AQ72" s="23">
        <f t="shared" si="100"/>
        <v>3.478981745606037</v>
      </c>
      <c r="AR72" s="23">
        <f t="shared" si="101"/>
        <v>0.63254213556473404</v>
      </c>
      <c r="AS72" s="23">
        <f t="shared" si="102"/>
        <v>0</v>
      </c>
      <c r="AT72" s="23">
        <f t="shared" si="112"/>
        <v>27.037138205545748</v>
      </c>
      <c r="AU72" s="23">
        <f t="shared" si="103"/>
        <v>40.722875064143423</v>
      </c>
      <c r="AV72" s="4">
        <f t="shared" si="90"/>
        <v>0.37106368139083207</v>
      </c>
      <c r="AW72" s="4">
        <f t="shared" si="90"/>
        <v>0.37106368139083207</v>
      </c>
      <c r="AX72" s="4">
        <f t="shared" si="90"/>
        <v>0.37106368139083207</v>
      </c>
      <c r="AY72" s="4">
        <f t="shared" si="91"/>
        <v>0.49515641167153346</v>
      </c>
      <c r="AZ72" s="4">
        <f t="shared" si="91"/>
        <v>0.66074877255687903</v>
      </c>
      <c r="BA72" s="4">
        <f t="shared" si="91"/>
        <v>0.88171925101726745</v>
      </c>
      <c r="BB72" s="4">
        <f t="shared" si="91"/>
        <v>1.1765876380005351</v>
      </c>
      <c r="BC72" s="4">
        <f t="shared" si="91"/>
        <v>1.5700671934955486</v>
      </c>
      <c r="BD72" s="24">
        <f t="shared" si="113"/>
        <v>1.5700671934955486</v>
      </c>
      <c r="BE72" s="4">
        <f t="shared" si="114"/>
        <v>1.1373851789884988</v>
      </c>
      <c r="BF72" s="4">
        <f t="shared" si="104"/>
        <v>0.53923023147078764</v>
      </c>
      <c r="BG72" s="4">
        <f t="shared" si="105"/>
        <v>0.35801112445818351</v>
      </c>
      <c r="BH72" s="4">
        <f t="shared" si="115"/>
        <v>0.80571270400420814</v>
      </c>
      <c r="BI72" s="23"/>
      <c r="BJ72" s="23"/>
      <c r="BK72" s="23"/>
      <c r="BL72" s="23"/>
      <c r="BM72" s="23"/>
      <c r="BN72" s="23"/>
      <c r="BO72" s="23"/>
      <c r="BP72" s="23"/>
      <c r="BQ72" s="23"/>
      <c r="BR72" s="13">
        <v>36.018345976879331</v>
      </c>
      <c r="BS72" s="13">
        <v>54.943239625748134</v>
      </c>
      <c r="BT72" s="13">
        <v>69.187783232423584</v>
      </c>
      <c r="BU72" s="13">
        <v>9.3607000843867194</v>
      </c>
      <c r="BV72" s="13">
        <v>4.8838435222887231</v>
      </c>
      <c r="BW72" s="13">
        <v>19.942361049345617</v>
      </c>
      <c r="BX72" s="13">
        <v>4.4768565620979954</v>
      </c>
      <c r="BY72" s="13">
        <v>0.81397392038145389</v>
      </c>
      <c r="BZ72" s="13">
        <v>0</v>
      </c>
      <c r="CA72" s="4"/>
      <c r="CB72" s="4"/>
      <c r="CC72" s="4"/>
      <c r="CD72" s="4"/>
      <c r="CE72" s="4"/>
      <c r="CF72" s="4"/>
      <c r="CG72" s="4"/>
      <c r="CH72" s="4"/>
      <c r="CI72" s="4"/>
      <c r="CJ72" s="23"/>
      <c r="CK72" s="23"/>
      <c r="CL72" s="23"/>
      <c r="CM72" s="23"/>
      <c r="CN72" s="23"/>
      <c r="CO72" s="23"/>
      <c r="CP72" s="23"/>
      <c r="CQ72" s="23"/>
      <c r="CR72" s="23"/>
      <c r="CS72" s="31">
        <f t="shared" si="116"/>
        <v>2020</v>
      </c>
      <c r="CT72" s="1">
        <v>2.6197453885975358E-2</v>
      </c>
      <c r="CU72" s="1">
        <v>0.34768661313711668</v>
      </c>
      <c r="CV72" s="1">
        <v>0.8</v>
      </c>
      <c r="CW72" s="1">
        <v>1</v>
      </c>
      <c r="CX72">
        <f t="shared" si="146"/>
        <v>1</v>
      </c>
      <c r="CY72">
        <f t="shared" si="147"/>
        <v>1</v>
      </c>
      <c r="CZ72">
        <f t="shared" si="148"/>
        <v>1</v>
      </c>
      <c r="DA72">
        <f t="shared" si="149"/>
        <v>1</v>
      </c>
      <c r="DB72">
        <f t="shared" si="150"/>
        <v>1</v>
      </c>
      <c r="DC72" s="11">
        <v>5.8799999999999998E-2</v>
      </c>
      <c r="DD72" s="11">
        <v>7.6799999999999993E-2</v>
      </c>
      <c r="DE72" s="11">
        <v>0.1033</v>
      </c>
      <c r="DF72" s="11">
        <v>0.11459999999999999</v>
      </c>
      <c r="DG72" s="11">
        <v>0.1358</v>
      </c>
      <c r="DH72" s="11">
        <v>0.13980000000000001</v>
      </c>
      <c r="DI72" s="11">
        <v>0.14249999999999999</v>
      </c>
      <c r="DJ72" s="11">
        <v>0.14069999999999999</v>
      </c>
      <c r="DK72" s="11">
        <v>0.1477</v>
      </c>
      <c r="DL72" s="10">
        <f t="shared" si="106"/>
        <v>9.3980224260958214E-2</v>
      </c>
      <c r="DN72" s="1">
        <v>177</v>
      </c>
      <c r="DO72" s="1">
        <v>270</v>
      </c>
      <c r="DP72" s="1">
        <v>340</v>
      </c>
      <c r="DQ72" s="1">
        <v>46</v>
      </c>
      <c r="DR72" s="1">
        <v>24</v>
      </c>
      <c r="DS72" s="1">
        <v>98</v>
      </c>
      <c r="DT72" s="1">
        <v>22</v>
      </c>
      <c r="DU72" s="1">
        <v>4</v>
      </c>
      <c r="DV72" s="1">
        <v>0</v>
      </c>
      <c r="DW72">
        <f t="shared" si="117"/>
        <v>981</v>
      </c>
      <c r="DX72" s="19">
        <f t="shared" si="118"/>
        <v>279.42717520515129</v>
      </c>
      <c r="DY72">
        <f t="shared" si="119"/>
        <v>7.0954407914014042E-2</v>
      </c>
      <c r="DZ72">
        <f t="shared" si="120"/>
        <v>0.26127978370483734</v>
      </c>
      <c r="EA72">
        <f t="shared" si="121"/>
        <v>0.51624717638859829</v>
      </c>
      <c r="EB72">
        <f t="shared" si="122"/>
        <v>7.5538168270578437E-2</v>
      </c>
      <c r="EC72">
        <f t="shared" si="123"/>
        <v>2.3750814950286012E-2</v>
      </c>
      <c r="ED72">
        <f t="shared" si="124"/>
        <v>4.853404436598107E-2</v>
      </c>
      <c r="EE72">
        <f t="shared" si="125"/>
        <v>2.839485277448497E-3</v>
      </c>
      <c r="EF72">
        <f t="shared" si="126"/>
        <v>8.2163734039732194E-4</v>
      </c>
      <c r="EG72">
        <f t="shared" si="127"/>
        <v>3.4481787858856514E-5</v>
      </c>
      <c r="EH72">
        <f t="shared" si="128"/>
        <v>0.18042813455657492</v>
      </c>
      <c r="EI72">
        <f t="shared" si="129"/>
        <v>0.27522935779816515</v>
      </c>
      <c r="EJ72">
        <f t="shared" si="130"/>
        <v>0.34658511722731905</v>
      </c>
      <c r="EK72">
        <f t="shared" si="131"/>
        <v>4.6890927624872576E-2</v>
      </c>
      <c r="EL72">
        <f t="shared" si="132"/>
        <v>2.4464831804281346E-2</v>
      </c>
      <c r="EM72">
        <f t="shared" si="133"/>
        <v>9.9898063200815498E-2</v>
      </c>
      <c r="EN72">
        <f t="shared" si="134"/>
        <v>2.2426095820591234E-2</v>
      </c>
      <c r="EO72">
        <f t="shared" si="135"/>
        <v>4.0774719673802246E-3</v>
      </c>
      <c r="EP72">
        <f t="shared" si="136"/>
        <v>0</v>
      </c>
      <c r="EQ72">
        <f t="shared" si="137"/>
        <v>-1.7492187503831711</v>
      </c>
      <c r="ER72">
        <v>100</v>
      </c>
      <c r="ES72">
        <v>0.84393379852405337</v>
      </c>
    </row>
    <row r="73" spans="2:149" x14ac:dyDescent="0.3">
      <c r="B73"/>
      <c r="C73">
        <f t="shared" si="107"/>
        <v>5.5961620218232554E-2</v>
      </c>
      <c r="D73">
        <v>71</v>
      </c>
      <c r="E73">
        <v>2021</v>
      </c>
      <c r="F73" s="2">
        <v>6.2757135558573456</v>
      </c>
      <c r="G73" s="3">
        <f t="shared" si="151"/>
        <v>531.50550534555714</v>
      </c>
      <c r="H73" s="4">
        <f t="shared" si="138"/>
        <v>519.23751562807035</v>
      </c>
      <c r="I73" s="4">
        <f t="shared" si="139"/>
        <v>118.73391284000027</v>
      </c>
      <c r="J73" s="4">
        <f t="shared" si="140"/>
        <v>71.352828423042524</v>
      </c>
      <c r="K73" s="4">
        <f t="shared" si="141"/>
        <v>5.9954508546495076</v>
      </c>
      <c r="L73" s="4">
        <f t="shared" si="142"/>
        <v>1.6035122720102317</v>
      </c>
      <c r="M73" s="4">
        <f t="shared" si="143"/>
        <v>2.6404711724448249</v>
      </c>
      <c r="N73" s="4">
        <f t="shared" si="144"/>
        <v>0.115813853038902</v>
      </c>
      <c r="O73" s="4">
        <f t="shared" si="145"/>
        <v>2.2816331151161794E-2</v>
      </c>
      <c r="P73" s="22">
        <v>1.2832737164269343</v>
      </c>
      <c r="Q73" s="4"/>
      <c r="R73" s="5">
        <f t="shared" si="108"/>
        <v>32.271388372469147</v>
      </c>
      <c r="S73" s="4">
        <f t="shared" si="109"/>
        <v>-9.5263339795108135E-2</v>
      </c>
      <c r="T73" s="5">
        <v>20.758955523633816</v>
      </c>
      <c r="U73" s="5">
        <f t="shared" si="92"/>
        <v>23.158354562013308</v>
      </c>
      <c r="V73" s="5">
        <v>29.338999999999999</v>
      </c>
      <c r="W73" s="4"/>
      <c r="X73" s="4">
        <f t="shared" si="110"/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f t="shared" si="111"/>
        <v>0</v>
      </c>
      <c r="AI73" s="10">
        <v>15.016619561670632</v>
      </c>
      <c r="AJ73" s="4">
        <f t="shared" si="93"/>
        <v>15.016619561670632</v>
      </c>
      <c r="AK73" s="23">
        <f t="shared" si="94"/>
        <v>32.798505184766519</v>
      </c>
      <c r="AL73" s="23">
        <f t="shared" si="95"/>
        <v>100.98974760281217</v>
      </c>
      <c r="AM73" s="23">
        <f t="shared" si="96"/>
        <v>25.757018195946593</v>
      </c>
      <c r="AN73" s="23">
        <f t="shared" si="97"/>
        <v>22.421576990716098</v>
      </c>
      <c r="AO73" s="23">
        <f t="shared" si="98"/>
        <v>2.5942320485126067</v>
      </c>
      <c r="AP73" s="23">
        <f t="shared" si="99"/>
        <v>1.6677206026152469</v>
      </c>
      <c r="AQ73" s="23">
        <f t="shared" si="100"/>
        <v>2.4089297593331347</v>
      </c>
      <c r="AR73" s="23">
        <f t="shared" si="101"/>
        <v>0.55590686753841567</v>
      </c>
      <c r="AS73" s="23">
        <f t="shared" si="102"/>
        <v>0.37060457835894378</v>
      </c>
      <c r="AT73" s="23">
        <f t="shared" si="112"/>
        <v>32.271388372469147</v>
      </c>
      <c r="AU73" s="23">
        <f t="shared" si="103"/>
        <v>55.900796411304285</v>
      </c>
      <c r="AV73" s="4">
        <f t="shared" si="90"/>
        <v>0.37106368139083207</v>
      </c>
      <c r="AW73" s="4">
        <f t="shared" si="90"/>
        <v>0.37106368139083207</v>
      </c>
      <c r="AX73" s="4">
        <f t="shared" si="90"/>
        <v>0.37106368139083207</v>
      </c>
      <c r="AY73" s="4">
        <f t="shared" ref="AY73:BC74" si="152">AX73*EXP(tanasMsl)</f>
        <v>0.49515641167153346</v>
      </c>
      <c r="AZ73" s="4">
        <f t="shared" si="152"/>
        <v>0.66074877255687903</v>
      </c>
      <c r="BA73" s="4">
        <f t="shared" si="152"/>
        <v>0.88171925101726745</v>
      </c>
      <c r="BB73" s="4">
        <f t="shared" si="152"/>
        <v>1.1765876380005351</v>
      </c>
      <c r="BC73" s="4">
        <f t="shared" si="152"/>
        <v>1.5700671934955486</v>
      </c>
      <c r="BD73" s="24">
        <f t="shared" si="113"/>
        <v>1.5700671934955486</v>
      </c>
      <c r="BE73" s="4">
        <f t="shared" si="114"/>
        <v>1.1022687401444062</v>
      </c>
      <c r="BF73" s="4">
        <f t="shared" si="104"/>
        <v>0.46532300960690526</v>
      </c>
      <c r="BG73" s="4">
        <f t="shared" si="105"/>
        <v>0.26862979645552892</v>
      </c>
      <c r="BH73" s="4">
        <f t="shared" si="115"/>
        <v>0.78901178247908998</v>
      </c>
      <c r="BI73" s="23"/>
      <c r="BJ73" s="23"/>
      <c r="BK73" s="23"/>
      <c r="BL73" s="23"/>
      <c r="BM73" s="23"/>
      <c r="BN73" s="23"/>
      <c r="BO73" s="23"/>
      <c r="BP73" s="23"/>
      <c r="BQ73" s="23"/>
      <c r="BR73" s="13">
        <v>64.080690042387275</v>
      </c>
      <c r="BS73" s="13">
        <v>197.31059928305683</v>
      </c>
      <c r="BT73" s="13">
        <v>50.323253762100734</v>
      </c>
      <c r="BU73" s="13">
        <v>43.806573418807112</v>
      </c>
      <c r="BV73" s="13">
        <v>5.0685291558950381</v>
      </c>
      <c r="BW73" s="13">
        <v>3.2583401716468101</v>
      </c>
      <c r="BX73" s="13">
        <v>4.7064913590453923</v>
      </c>
      <c r="BY73" s="13">
        <v>1.0861133905489366</v>
      </c>
      <c r="BZ73" s="13">
        <v>0.72407559369929109</v>
      </c>
      <c r="CA73" s="4"/>
      <c r="CB73" s="4"/>
      <c r="CC73" s="4"/>
      <c r="CD73" s="4"/>
      <c r="CE73" s="4"/>
      <c r="CF73" s="4"/>
      <c r="CG73" s="4"/>
      <c r="CH73" s="4"/>
      <c r="CI73" s="4"/>
      <c r="CJ73" s="23"/>
      <c r="CK73" s="23"/>
      <c r="CL73" s="23"/>
      <c r="CM73" s="23"/>
      <c r="CN73" s="23"/>
      <c r="CO73" s="23"/>
      <c r="CP73" s="23"/>
      <c r="CQ73" s="23"/>
      <c r="CR73" s="23"/>
      <c r="CS73" s="31">
        <f t="shared" si="116"/>
        <v>2021</v>
      </c>
      <c r="CT73" s="1">
        <v>2.6197453885975358E-2</v>
      </c>
      <c r="CU73" s="1">
        <v>0.34768661313711668</v>
      </c>
      <c r="CV73" s="1">
        <v>0.8</v>
      </c>
      <c r="CW73" s="1">
        <v>1</v>
      </c>
      <c r="CX73">
        <f t="shared" si="146"/>
        <v>1</v>
      </c>
      <c r="CY73">
        <f t="shared" si="147"/>
        <v>1</v>
      </c>
      <c r="CZ73">
        <f t="shared" si="148"/>
        <v>1</v>
      </c>
      <c r="DA73">
        <f t="shared" si="149"/>
        <v>1</v>
      </c>
      <c r="DB73">
        <f t="shared" si="150"/>
        <v>1</v>
      </c>
      <c r="DC73" s="11">
        <v>4.4499999999999998E-2</v>
      </c>
      <c r="DD73" s="11">
        <v>7.6600000000000001E-2</v>
      </c>
      <c r="DE73" s="11">
        <v>9.0300000000000005E-2</v>
      </c>
      <c r="DF73" s="11">
        <v>0.1111</v>
      </c>
      <c r="DG73" s="11">
        <v>0.1149</v>
      </c>
      <c r="DH73" s="11">
        <v>0.1419</v>
      </c>
      <c r="DI73" s="11">
        <v>0.14549999999999999</v>
      </c>
      <c r="DJ73" s="11">
        <v>0.128</v>
      </c>
      <c r="DK73" s="11">
        <v>0.1295</v>
      </c>
      <c r="DL73" s="10">
        <f t="shared" si="106"/>
        <v>7.921652003910068E-2</v>
      </c>
      <c r="DN73" s="1">
        <v>177</v>
      </c>
      <c r="DO73" s="1">
        <v>545</v>
      </c>
      <c r="DP73" s="1">
        <v>139</v>
      </c>
      <c r="DQ73" s="1">
        <v>121</v>
      </c>
      <c r="DR73" s="1">
        <v>14</v>
      </c>
      <c r="DS73" s="1">
        <v>9</v>
      </c>
      <c r="DT73" s="1">
        <v>13</v>
      </c>
      <c r="DU73" s="1">
        <v>3</v>
      </c>
      <c r="DV73" s="1">
        <v>2</v>
      </c>
      <c r="DW73">
        <f t="shared" si="117"/>
        <v>1023</v>
      </c>
      <c r="DX73" s="19">
        <f t="shared" si="118"/>
        <v>371.17404736722409</v>
      </c>
      <c r="DY73">
        <f t="shared" si="119"/>
        <v>3.7513643707574061E-2</v>
      </c>
      <c r="DZ73">
        <f t="shared" si="120"/>
        <v>0.48638080841854692</v>
      </c>
      <c r="EA73">
        <f t="shared" si="121"/>
        <v>0.25590994560571723</v>
      </c>
      <c r="EB73">
        <f t="shared" si="122"/>
        <v>0.19223549956996056</v>
      </c>
      <c r="EC73">
        <f t="shared" si="123"/>
        <v>1.6152667184507807E-2</v>
      </c>
      <c r="ED73">
        <f t="shared" si="124"/>
        <v>4.3201088098268458E-3</v>
      </c>
      <c r="EE73">
        <f t="shared" si="125"/>
        <v>7.1138356551972313E-3</v>
      </c>
      <c r="EF73">
        <f t="shared" si="126"/>
        <v>3.1202034156316055E-4</v>
      </c>
      <c r="EG73">
        <f t="shared" si="127"/>
        <v>6.1470707106276397E-5</v>
      </c>
      <c r="EH73">
        <f t="shared" si="128"/>
        <v>0.17302052785923755</v>
      </c>
      <c r="EI73">
        <f t="shared" si="129"/>
        <v>0.53274682306940369</v>
      </c>
      <c r="EJ73">
        <f t="shared" si="130"/>
        <v>0.13587487781036167</v>
      </c>
      <c r="EK73">
        <f t="shared" si="131"/>
        <v>0.11827956989247312</v>
      </c>
      <c r="EL73">
        <f t="shared" si="132"/>
        <v>1.3685239491691105E-2</v>
      </c>
      <c r="EM73">
        <f t="shared" si="133"/>
        <v>8.7976539589442824E-3</v>
      </c>
      <c r="EN73">
        <f t="shared" si="134"/>
        <v>1.2707722385141741E-2</v>
      </c>
      <c r="EO73">
        <f t="shared" si="135"/>
        <v>2.9325513196480938E-3</v>
      </c>
      <c r="EP73">
        <f t="shared" si="136"/>
        <v>1.9550342130987292E-3</v>
      </c>
      <c r="EQ73">
        <f t="shared" si="137"/>
        <v>-1.5382421061387537</v>
      </c>
      <c r="ER73">
        <v>100</v>
      </c>
      <c r="ES73">
        <v>0.73271590526286734</v>
      </c>
    </row>
    <row r="74" spans="2:149" x14ac:dyDescent="0.3">
      <c r="B74"/>
      <c r="C74">
        <f t="shared" si="107"/>
        <v>3.5994525999269882E-2</v>
      </c>
      <c r="D74">
        <v>72</v>
      </c>
      <c r="E74">
        <v>2022</v>
      </c>
      <c r="F74" s="2">
        <v>6.6518400638389537</v>
      </c>
      <c r="G74" s="3">
        <f>EXP(F74)</f>
        <v>774.20760709075569</v>
      </c>
      <c r="H74" s="4">
        <f t="shared" si="138"/>
        <v>326.1221803396478</v>
      </c>
      <c r="I74" s="4">
        <f t="shared" si="139"/>
        <v>270.34599872052684</v>
      </c>
      <c r="J74" s="4">
        <f t="shared" si="140"/>
        <v>46.2972247674141</v>
      </c>
      <c r="K74" s="4">
        <f t="shared" si="141"/>
        <v>20.208904120971571</v>
      </c>
      <c r="L74" s="4">
        <f t="shared" si="142"/>
        <v>1.3729847052768944</v>
      </c>
      <c r="M74" s="4">
        <f t="shared" si="143"/>
        <v>0.27654458662408943</v>
      </c>
      <c r="N74" s="4">
        <f t="shared" si="144"/>
        <v>0.31191670874308008</v>
      </c>
      <c r="O74" s="4">
        <f t="shared" si="145"/>
        <v>8.2570365655673158E-3</v>
      </c>
      <c r="P74" s="22">
        <v>0.99999899403873183</v>
      </c>
      <c r="Q74" s="4"/>
      <c r="R74" s="5">
        <f t="shared" si="108"/>
        <v>39.937591456062442</v>
      </c>
      <c r="S74" s="4">
        <f t="shared" si="109"/>
        <v>-0.52154765893369059</v>
      </c>
      <c r="T74" s="5"/>
      <c r="U74" s="5">
        <f t="shared" si="92"/>
        <v>28.659718404968093</v>
      </c>
      <c r="V74" s="5">
        <v>23.707000000000001</v>
      </c>
      <c r="W74" s="4"/>
      <c r="X74" s="4">
        <f t="shared" si="110"/>
        <v>0</v>
      </c>
      <c r="Y74" s="23"/>
      <c r="Z74" s="23">
        <v>0</v>
      </c>
      <c r="AA74" s="23">
        <v>0</v>
      </c>
      <c r="AB74" s="23">
        <v>0</v>
      </c>
      <c r="AC74" s="23">
        <v>0</v>
      </c>
      <c r="AD74" s="23">
        <v>0</v>
      </c>
      <c r="AE74" s="23">
        <v>0</v>
      </c>
      <c r="AF74" s="23">
        <v>0</v>
      </c>
      <c r="AG74" s="23">
        <v>0</v>
      </c>
      <c r="AH74" s="23">
        <f t="shared" si="111"/>
        <v>0</v>
      </c>
      <c r="AI74" s="10">
        <v>15.467118148520752</v>
      </c>
      <c r="AJ74" s="4">
        <f t="shared" si="93"/>
        <v>15.467118148520752</v>
      </c>
      <c r="AK74" s="23">
        <f t="shared" si="94"/>
        <v>11.853679823728488</v>
      </c>
      <c r="AL74" s="23">
        <f t="shared" si="95"/>
        <v>47.206759999760827</v>
      </c>
      <c r="AM74" s="23">
        <f t="shared" si="96"/>
        <v>70.49820105691154</v>
      </c>
      <c r="AN74" s="23">
        <f t="shared" si="97"/>
        <v>14.349191365566064</v>
      </c>
      <c r="AO74" s="23">
        <f t="shared" si="98"/>
        <v>15.596947136484856</v>
      </c>
      <c r="AP74" s="23">
        <f t="shared" si="99"/>
        <v>0.83183718061252554</v>
      </c>
      <c r="AQ74" s="23">
        <f t="shared" si="100"/>
        <v>0.20795929515313138</v>
      </c>
      <c r="AR74" s="23">
        <f t="shared" si="101"/>
        <v>0.83183718061252554</v>
      </c>
      <c r="AS74" s="23">
        <f t="shared" si="102"/>
        <v>0.20795929515313138</v>
      </c>
      <c r="AT74" s="23">
        <f t="shared" si="112"/>
        <v>39.937591456062449</v>
      </c>
      <c r="AU74" s="23">
        <f t="shared" si="103"/>
        <v>48.503049181421162</v>
      </c>
      <c r="AV74" s="4">
        <f t="shared" si="90"/>
        <v>0.37106368139083207</v>
      </c>
      <c r="AW74" s="4">
        <f t="shared" si="90"/>
        <v>0.37106368139083207</v>
      </c>
      <c r="AX74" s="4">
        <f t="shared" si="90"/>
        <v>0.37106368139083207</v>
      </c>
      <c r="AY74" s="4">
        <f t="shared" si="152"/>
        <v>0.49515641167153346</v>
      </c>
      <c r="AZ74" s="4">
        <f t="shared" si="152"/>
        <v>0.66074877255687903</v>
      </c>
      <c r="BA74" s="4">
        <f t="shared" si="152"/>
        <v>0.88171925101726745</v>
      </c>
      <c r="BB74" s="4">
        <f t="shared" si="152"/>
        <v>1.1765876380005351</v>
      </c>
      <c r="BC74" s="4">
        <f t="shared" si="152"/>
        <v>1.5700671934955486</v>
      </c>
      <c r="BD74" s="24">
        <f t="shared" si="113"/>
        <v>1.5700671934955486</v>
      </c>
      <c r="BE74" s="4">
        <f t="shared" si="114"/>
        <v>0.86091411060271383</v>
      </c>
      <c r="BF74" s="4">
        <f t="shared" si="104"/>
        <v>0.38728219666268515</v>
      </c>
      <c r="BG74" s="4">
        <f t="shared" si="105"/>
        <v>0.3188896040466947</v>
      </c>
      <c r="BH74" s="4">
        <f t="shared" si="115"/>
        <v>0.75509418549078156</v>
      </c>
      <c r="BI74" s="23"/>
      <c r="BJ74" s="23"/>
      <c r="BK74" s="23"/>
      <c r="BL74" s="23"/>
      <c r="BM74" s="23"/>
      <c r="BN74" s="23"/>
      <c r="BO74" s="23"/>
      <c r="BP74" s="23"/>
      <c r="BQ74" s="23"/>
      <c r="BR74" s="13">
        <v>18.168555052254973</v>
      </c>
      <c r="BS74" s="13">
        <v>72.355473629155767</v>
      </c>
      <c r="BT74" s="13">
        <v>108.05509057393748</v>
      </c>
      <c r="BU74" s="13">
        <v>21.993514010624445</v>
      </c>
      <c r="BV74" s="13">
        <v>23.905993489809177</v>
      </c>
      <c r="BW74" s="13">
        <v>1.2749863194564894</v>
      </c>
      <c r="BX74" s="13">
        <v>0.31874657986412236</v>
      </c>
      <c r="BY74" s="13">
        <v>1.2749863194564894</v>
      </c>
      <c r="BZ74" s="13">
        <v>0.31874657986412236</v>
      </c>
      <c r="CA74" s="4"/>
      <c r="CB74" s="4"/>
      <c r="CC74" s="4"/>
      <c r="CD74" s="4"/>
      <c r="CE74" s="4"/>
      <c r="CF74" s="4"/>
      <c r="CG74" s="4"/>
      <c r="CH74" s="4"/>
      <c r="CI74" s="4"/>
      <c r="CJ74" s="23"/>
      <c r="CK74" s="23"/>
      <c r="CL74" s="23"/>
      <c r="CM74" s="23"/>
      <c r="CN74" s="23"/>
      <c r="CO74" s="23"/>
      <c r="CP74" s="23"/>
      <c r="CQ74" s="23"/>
      <c r="CR74" s="23"/>
      <c r="CS74" s="31">
        <f t="shared" si="116"/>
        <v>2022</v>
      </c>
      <c r="CT74" s="1">
        <v>2.6197453885975358E-2</v>
      </c>
      <c r="CU74" s="1">
        <v>0.34768661313711668</v>
      </c>
      <c r="CV74" s="1">
        <v>0.8</v>
      </c>
      <c r="CW74" s="1">
        <v>1</v>
      </c>
      <c r="CX74">
        <f t="shared" si="146"/>
        <v>1</v>
      </c>
      <c r="CY74">
        <f t="shared" si="147"/>
        <v>1</v>
      </c>
      <c r="CZ74">
        <f t="shared" si="148"/>
        <v>1</v>
      </c>
      <c r="DA74">
        <f t="shared" si="149"/>
        <v>1</v>
      </c>
      <c r="DB74">
        <f t="shared" si="150"/>
        <v>1</v>
      </c>
      <c r="DC74" s="11">
        <v>5.9799999999999999E-2</v>
      </c>
      <c r="DD74" s="11">
        <v>7.9600000000000004E-2</v>
      </c>
      <c r="DE74" s="11">
        <v>9.9699999999999997E-2</v>
      </c>
      <c r="DF74" s="11">
        <v>0.1129</v>
      </c>
      <c r="DG74" s="11">
        <v>0.12870000000000001</v>
      </c>
      <c r="DH74" s="11">
        <v>0.1525</v>
      </c>
      <c r="DI74" s="11">
        <v>0.16</v>
      </c>
      <c r="DJ74" s="11">
        <v>0.17</v>
      </c>
      <c r="DK74" s="11">
        <v>0.20699999999999999</v>
      </c>
      <c r="DL74" s="10">
        <f t="shared" si="106"/>
        <v>9.5721621621621608E-2</v>
      </c>
      <c r="DN74" s="1">
        <v>57</v>
      </c>
      <c r="DO74" s="1">
        <v>227</v>
      </c>
      <c r="DP74" s="1">
        <v>339</v>
      </c>
      <c r="DQ74" s="1">
        <v>69</v>
      </c>
      <c r="DR74" s="1">
        <v>75</v>
      </c>
      <c r="DS74" s="1">
        <v>4</v>
      </c>
      <c r="DT74" s="1">
        <v>1</v>
      </c>
      <c r="DU74" s="1">
        <v>4</v>
      </c>
      <c r="DV74" s="1">
        <v>1</v>
      </c>
      <c r="DW74">
        <f t="shared" si="117"/>
        <v>777</v>
      </c>
      <c r="DX74" s="19">
        <f t="shared" si="118"/>
        <v>418.42321533813225</v>
      </c>
      <c r="DY74">
        <f t="shared" si="119"/>
        <v>4.8473094564174896E-2</v>
      </c>
      <c r="DZ74">
        <f t="shared" si="120"/>
        <v>0.2709895440661767</v>
      </c>
      <c r="EA74">
        <f t="shared" si="121"/>
        <v>0.51688527559744957</v>
      </c>
      <c r="EB74">
        <f t="shared" si="122"/>
        <v>0.11064688351481841</v>
      </c>
      <c r="EC74">
        <f t="shared" si="123"/>
        <v>4.829776021065308E-2</v>
      </c>
      <c r="ED74">
        <f t="shared" si="124"/>
        <v>3.2813301340542753E-3</v>
      </c>
      <c r="EE74">
        <f t="shared" si="125"/>
        <v>6.6092075316760517E-4</v>
      </c>
      <c r="EF74">
        <f t="shared" si="126"/>
        <v>7.4545746342257054E-4</v>
      </c>
      <c r="EG74">
        <f t="shared" si="127"/>
        <v>1.973369608303095E-5</v>
      </c>
      <c r="EH74">
        <f t="shared" si="128"/>
        <v>7.3359073359073365E-2</v>
      </c>
      <c r="EI74">
        <f t="shared" si="129"/>
        <v>0.29214929214929214</v>
      </c>
      <c r="EJ74">
        <f t="shared" si="130"/>
        <v>0.43629343629343631</v>
      </c>
      <c r="EK74">
        <f t="shared" si="131"/>
        <v>8.8803088803088806E-2</v>
      </c>
      <c r="EL74">
        <f t="shared" si="132"/>
        <v>9.6525096525096526E-2</v>
      </c>
      <c r="EM74">
        <f t="shared" si="133"/>
        <v>5.1480051480051478E-3</v>
      </c>
      <c r="EN74">
        <f t="shared" si="134"/>
        <v>1.287001287001287E-3</v>
      </c>
      <c r="EO74">
        <f t="shared" si="135"/>
        <v>5.1480051480051478E-3</v>
      </c>
      <c r="EP74">
        <f t="shared" si="136"/>
        <v>1.287001287001287E-3</v>
      </c>
      <c r="EQ74">
        <f t="shared" si="137"/>
        <v>-1.4653707820075967</v>
      </c>
      <c r="ER74">
        <v>100</v>
      </c>
      <c r="ES74">
        <v>0.8543591090407805</v>
      </c>
    </row>
    <row r="75" spans="2:149" x14ac:dyDescent="0.3">
      <c r="B75"/>
      <c r="C75"/>
      <c r="F75" s="2"/>
      <c r="S75" s="4"/>
      <c r="U75" s="5"/>
      <c r="X75" s="4" t="e">
        <f t="shared" si="110"/>
        <v>#DIV/0!</v>
      </c>
      <c r="AH75" s="23">
        <f t="shared" si="111"/>
        <v>0</v>
      </c>
      <c r="AJ75" s="10"/>
      <c r="AT75" s="23"/>
      <c r="AU75" s="23"/>
      <c r="BE75" s="4"/>
      <c r="BF75" s="4"/>
      <c r="BG75" s="4"/>
      <c r="BH75" s="4"/>
      <c r="BI75" s="6"/>
      <c r="BJ75" s="6"/>
      <c r="BK75" s="6"/>
      <c r="BL75" s="6"/>
      <c r="BM75" s="6"/>
      <c r="BN75" s="6"/>
      <c r="BO75" s="6"/>
      <c r="BP75" s="6"/>
      <c r="BQ75" s="6"/>
      <c r="CS75" s="31">
        <f t="shared" si="116"/>
        <v>0</v>
      </c>
    </row>
    <row r="76" spans="2:149" x14ac:dyDescent="0.3">
      <c r="B76"/>
    </row>
    <row r="77" spans="2:149" x14ac:dyDescent="0.3">
      <c r="B77"/>
    </row>
    <row r="78" spans="2:149" x14ac:dyDescent="0.3">
      <c r="B78"/>
    </row>
    <row r="79" spans="2:149" x14ac:dyDescent="0.3">
      <c r="B79"/>
    </row>
    <row r="80" spans="2:149" x14ac:dyDescent="0.3">
      <c r="B80"/>
      <c r="H80">
        <f>33554432/1024</f>
        <v>32768</v>
      </c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6" x14ac:dyDescent="0.3">
      <c r="B97"/>
    </row>
    <row r="98" spans="2:6" x14ac:dyDescent="0.3">
      <c r="B98"/>
    </row>
    <row r="99" spans="2:6" x14ac:dyDescent="0.3">
      <c r="B99"/>
    </row>
    <row r="100" spans="2:6" x14ac:dyDescent="0.3">
      <c r="B100"/>
      <c r="F100" s="7"/>
    </row>
    <row r="101" spans="2:6" x14ac:dyDescent="0.3">
      <c r="B101"/>
      <c r="F101" s="7"/>
    </row>
    <row r="102" spans="2:6" x14ac:dyDescent="0.3">
      <c r="B102"/>
      <c r="F102" s="7"/>
    </row>
    <row r="103" spans="2:6" x14ac:dyDescent="0.3">
      <c r="F103" s="7"/>
    </row>
    <row r="104" spans="2:6" x14ac:dyDescent="0.3">
      <c r="F104" s="7"/>
    </row>
    <row r="105" spans="2:6" x14ac:dyDescent="0.3">
      <c r="F105" s="7"/>
    </row>
    <row r="106" spans="2:6" x14ac:dyDescent="0.3">
      <c r="F106" s="7"/>
    </row>
    <row r="107" spans="2:6" x14ac:dyDescent="0.3">
      <c r="F107" s="7"/>
    </row>
    <row r="108" spans="2:6" x14ac:dyDescent="0.3">
      <c r="F108" s="7"/>
    </row>
    <row r="109" spans="2:6" x14ac:dyDescent="0.3">
      <c r="F109" s="7"/>
    </row>
    <row r="110" spans="2:6" x14ac:dyDescent="0.3">
      <c r="F110" s="7"/>
    </row>
    <row r="111" spans="2:6" x14ac:dyDescent="0.3">
      <c r="F111" s="7"/>
    </row>
    <row r="112" spans="2:6" x14ac:dyDescent="0.3">
      <c r="F112" s="7"/>
    </row>
    <row r="113" spans="6:6" x14ac:dyDescent="0.3">
      <c r="F113" s="7"/>
    </row>
    <row r="114" spans="6:6" x14ac:dyDescent="0.3">
      <c r="F114" s="7"/>
    </row>
    <row r="115" spans="6:6" x14ac:dyDescent="0.3">
      <c r="F115" s="7"/>
    </row>
    <row r="116" spans="6:6" x14ac:dyDescent="0.3">
      <c r="F116" s="7"/>
    </row>
    <row r="117" spans="6:6" x14ac:dyDescent="0.3">
      <c r="F117" s="7"/>
    </row>
    <row r="118" spans="6:6" x14ac:dyDescent="0.3">
      <c r="F118" s="7"/>
    </row>
    <row r="119" spans="6:6" x14ac:dyDescent="0.3">
      <c r="F119" s="7"/>
    </row>
    <row r="120" spans="6:6" x14ac:dyDescent="0.3">
      <c r="F120" s="7"/>
    </row>
    <row r="121" spans="6:6" x14ac:dyDescent="0.3">
      <c r="F121" s="7"/>
    </row>
    <row r="122" spans="6:6" x14ac:dyDescent="0.3">
      <c r="F122" s="7"/>
    </row>
    <row r="123" spans="6:6" x14ac:dyDescent="0.3">
      <c r="F123" s="7"/>
    </row>
    <row r="124" spans="6:6" x14ac:dyDescent="0.3">
      <c r="F124" s="7"/>
    </row>
    <row r="125" spans="6:6" x14ac:dyDescent="0.3">
      <c r="F125" s="7"/>
    </row>
    <row r="126" spans="6:6" x14ac:dyDescent="0.3">
      <c r="F126" s="7"/>
    </row>
    <row r="127" spans="6:6" x14ac:dyDescent="0.3">
      <c r="F127" s="7"/>
    </row>
    <row r="128" spans="6:6" x14ac:dyDescent="0.3">
      <c r="F128" s="7"/>
    </row>
    <row r="129" spans="6:6" x14ac:dyDescent="0.3">
      <c r="F129" s="7"/>
    </row>
    <row r="130" spans="6:6" x14ac:dyDescent="0.3">
      <c r="F130" s="7"/>
    </row>
    <row r="131" spans="6:6" x14ac:dyDescent="0.3">
      <c r="F131" s="7"/>
    </row>
    <row r="132" spans="6:6" x14ac:dyDescent="0.3">
      <c r="F132" s="7"/>
    </row>
    <row r="133" spans="6:6" x14ac:dyDescent="0.3">
      <c r="F133" s="7"/>
    </row>
    <row r="134" spans="6:6" x14ac:dyDescent="0.3">
      <c r="F134" s="7"/>
    </row>
    <row r="135" spans="6:6" x14ac:dyDescent="0.3">
      <c r="F135" s="7"/>
    </row>
    <row r="136" spans="6:6" x14ac:dyDescent="0.3">
      <c r="F136" s="7"/>
    </row>
    <row r="137" spans="6:6" x14ac:dyDescent="0.3">
      <c r="F137" s="7"/>
    </row>
    <row r="138" spans="6:6" x14ac:dyDescent="0.3">
      <c r="F138" s="7"/>
    </row>
    <row r="139" spans="6:6" x14ac:dyDescent="0.3">
      <c r="F139" s="7"/>
    </row>
    <row r="140" spans="6:6" x14ac:dyDescent="0.3">
      <c r="F140" s="7"/>
    </row>
    <row r="141" spans="6:6" x14ac:dyDescent="0.3">
      <c r="F141" s="7"/>
    </row>
    <row r="142" spans="6:6" x14ac:dyDescent="0.3">
      <c r="F142" s="7"/>
    </row>
    <row r="143" spans="6:6" x14ac:dyDescent="0.3">
      <c r="F143" s="7"/>
    </row>
    <row r="144" spans="6:6" x14ac:dyDescent="0.3">
      <c r="F144" s="7"/>
    </row>
    <row r="153" spans="1:1" x14ac:dyDescent="0.3">
      <c r="A153" s="8"/>
    </row>
    <row r="154" spans="1:1" x14ac:dyDescent="0.3">
      <c r="A154" s="8"/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workbookViewId="0">
      <selection activeCell="X19" sqref="X19"/>
    </sheetView>
  </sheetViews>
  <sheetFormatPr defaultRowHeight="14.4" x14ac:dyDescent="0.3"/>
  <sheetData>
    <row r="1" spans="1:9" x14ac:dyDescent="0.3">
      <c r="A1" s="23">
        <v>27.983444807821687</v>
      </c>
      <c r="B1" s="23">
        <v>83.674906817088868</v>
      </c>
      <c r="C1" s="23">
        <v>91.77247844454908</v>
      </c>
      <c r="D1" s="23">
        <v>14.983261786865157</v>
      </c>
      <c r="E1" s="23">
        <v>3.1949602339638932</v>
      </c>
      <c r="F1" s="23">
        <v>0.66102625530287451</v>
      </c>
      <c r="G1" s="23">
        <v>5.5085521275239545E-2</v>
      </c>
      <c r="H1" s="23">
        <v>5.5085521275239545E-2</v>
      </c>
      <c r="I1" s="23">
        <v>0</v>
      </c>
    </row>
    <row r="2" spans="1:9" x14ac:dyDescent="0.3">
      <c r="A2" s="23">
        <v>4.509351766569111</v>
      </c>
      <c r="B2" s="23">
        <v>66.710513247697662</v>
      </c>
      <c r="C2" s="23">
        <v>57.180439926597991</v>
      </c>
      <c r="D2" s="23">
        <v>84.794408476516068</v>
      </c>
      <c r="E2" s="23">
        <v>11.389599822777651</v>
      </c>
      <c r="F2" s="23">
        <v>3.3471477030203705</v>
      </c>
      <c r="G2" s="23">
        <v>0.74381060067119342</v>
      </c>
      <c r="H2" s="23">
        <v>9.2976325083899178E-2</v>
      </c>
      <c r="I2" s="23">
        <v>0</v>
      </c>
    </row>
    <row r="3" spans="1:9" x14ac:dyDescent="0.3">
      <c r="A3" s="23">
        <v>3.5184209575834111E-2</v>
      </c>
      <c r="B3" s="23">
        <v>0.13824592081124204</v>
      </c>
      <c r="C3" s="23">
        <v>6.762840991036434E-2</v>
      </c>
      <c r="D3" s="23">
        <v>4.0477409246534833E-3</v>
      </c>
      <c r="E3" s="23">
        <v>1.1831858087448643E-3</v>
      </c>
      <c r="F3" s="23">
        <v>1.2454587460472254E-4</v>
      </c>
      <c r="G3" s="23">
        <v>0</v>
      </c>
      <c r="H3" s="23">
        <v>0</v>
      </c>
      <c r="I3" s="23">
        <v>0</v>
      </c>
    </row>
    <row r="4" spans="1:9" x14ac:dyDescent="0.3">
      <c r="A4" s="23">
        <v>9.5531028051501767</v>
      </c>
      <c r="B4" s="23">
        <v>225.75798776342626</v>
      </c>
      <c r="C4" s="23">
        <v>98.520035677653055</v>
      </c>
      <c r="D4" s="23">
        <v>19.809501522335953</v>
      </c>
      <c r="E4" s="23">
        <v>2.4615356921245857</v>
      </c>
      <c r="F4" s="23">
        <v>0.5274719340266969</v>
      </c>
      <c r="G4" s="23">
        <v>0.29303996334816496</v>
      </c>
      <c r="H4" s="23">
        <v>5.8607992669632993E-2</v>
      </c>
      <c r="I4" s="23">
        <v>5.8607992669632993E-2</v>
      </c>
    </row>
    <row r="5" spans="1:9" x14ac:dyDescent="0.3">
      <c r="A5" s="23">
        <v>12.034444728032147</v>
      </c>
      <c r="B5" s="23">
        <v>42.491285888075588</v>
      </c>
      <c r="C5" s="23">
        <v>14.087714918596875</v>
      </c>
      <c r="D5" s="23">
        <v>2.4525171720634233</v>
      </c>
      <c r="E5" s="23">
        <v>0.45628226456993926</v>
      </c>
      <c r="F5" s="23">
        <v>2.8517641535621203E-2</v>
      </c>
      <c r="G5" s="23">
        <v>0</v>
      </c>
      <c r="H5" s="23">
        <v>0</v>
      </c>
      <c r="I5" s="23">
        <v>0</v>
      </c>
    </row>
    <row r="6" spans="1:9" x14ac:dyDescent="0.3">
      <c r="A6" s="23">
        <v>23.870454887029098</v>
      </c>
      <c r="B6" s="23">
        <v>124.12636541255129</v>
      </c>
      <c r="C6" s="23">
        <v>30.844779097500204</v>
      </c>
      <c r="D6" s="23">
        <v>11.706901353290792</v>
      </c>
      <c r="E6" s="23">
        <v>2.1587193984791533</v>
      </c>
      <c r="F6" s="23">
        <v>0.29059684210296294</v>
      </c>
      <c r="G6" s="23">
        <v>8.3027669172275123E-2</v>
      </c>
      <c r="H6" s="23">
        <v>8.3027669172275123E-2</v>
      </c>
      <c r="I6" s="23">
        <v>0</v>
      </c>
    </row>
    <row r="7" spans="1:9" x14ac:dyDescent="0.3">
      <c r="A7" s="23">
        <v>0.79279894526174011</v>
      </c>
      <c r="B7" s="23">
        <v>20.959622115357252</v>
      </c>
      <c r="C7" s="23">
        <v>7.2342903755133774</v>
      </c>
      <c r="D7" s="23">
        <v>9.9099868157717513E-2</v>
      </c>
      <c r="E7" s="23">
        <v>4.9549934078858757E-2</v>
      </c>
      <c r="F7" s="23">
        <v>0</v>
      </c>
      <c r="G7" s="23">
        <v>0</v>
      </c>
      <c r="H7" s="23">
        <v>0</v>
      </c>
      <c r="I7" s="23">
        <v>0</v>
      </c>
    </row>
    <row r="8" spans="1:9" x14ac:dyDescent="0.3">
      <c r="A8" s="23">
        <v>0.90504739596986272</v>
      </c>
      <c r="B8" s="23">
        <v>3.4027431316009773</v>
      </c>
      <c r="C8" s="23">
        <v>1.8923718279369859</v>
      </c>
      <c r="D8" s="23">
        <v>0.44076983569960854</v>
      </c>
      <c r="E8" s="23">
        <v>0.19981565885048919</v>
      </c>
      <c r="F8" s="23">
        <v>0.11753862285322893</v>
      </c>
      <c r="G8" s="23">
        <v>2.9384655713307232E-2</v>
      </c>
      <c r="H8" s="23">
        <v>5.8769311426614471E-3</v>
      </c>
      <c r="I8" s="23">
        <v>0</v>
      </c>
    </row>
    <row r="9" spans="1:9" x14ac:dyDescent="0.3">
      <c r="A9" s="23">
        <v>31.448491847388027</v>
      </c>
      <c r="B9" s="23">
        <v>334.77426805284023</v>
      </c>
      <c r="C9" s="23">
        <v>203.70506977275858</v>
      </c>
      <c r="D9" s="23">
        <v>107.12776577690889</v>
      </c>
      <c r="E9" s="23">
        <v>28.607982906333625</v>
      </c>
      <c r="F9" s="23">
        <v>17.854627629484813</v>
      </c>
      <c r="G9" s="23">
        <v>15.014118688430413</v>
      </c>
      <c r="H9" s="23">
        <v>4.2607634115816033</v>
      </c>
      <c r="I9" s="23">
        <v>0.81157398315840068</v>
      </c>
    </row>
    <row r="10" spans="1:9" x14ac:dyDescent="0.3">
      <c r="A10" s="23">
        <v>49.917719471327636</v>
      </c>
      <c r="B10" s="23">
        <v>308.31532614643544</v>
      </c>
      <c r="C10" s="23">
        <v>131.35211672651312</v>
      </c>
      <c r="D10" s="23">
        <v>49.330452183429664</v>
      </c>
      <c r="E10" s="23">
        <v>15.856216773245251</v>
      </c>
      <c r="F10" s="23">
        <v>5.2854055910817506</v>
      </c>
      <c r="G10" s="23">
        <v>1.9575576263265739</v>
      </c>
      <c r="H10" s="23">
        <v>0.78302305053062959</v>
      </c>
      <c r="I10" s="23">
        <v>0.3915115252653148</v>
      </c>
    </row>
    <row r="11" spans="1:9" x14ac:dyDescent="0.3">
      <c r="A11" s="23">
        <v>129.18212364632529</v>
      </c>
      <c r="B11" s="23">
        <v>116.92396592806084</v>
      </c>
      <c r="C11" s="23">
        <v>55.633177336738619</v>
      </c>
      <c r="D11" s="23">
        <v>12.258157718264442</v>
      </c>
      <c r="E11" s="23">
        <v>0.4714676045486324</v>
      </c>
      <c r="F11" s="23">
        <v>0</v>
      </c>
      <c r="G11" s="23">
        <v>0</v>
      </c>
      <c r="H11" s="23">
        <v>0</v>
      </c>
      <c r="I11" s="23">
        <v>0</v>
      </c>
    </row>
    <row r="12" spans="1:9" x14ac:dyDescent="0.3">
      <c r="A12" s="23">
        <v>11.899926421495826</v>
      </c>
      <c r="B12" s="23">
        <v>207.9461718739355</v>
      </c>
      <c r="C12" s="23">
        <v>26.220176860923004</v>
      </c>
      <c r="D12" s="23">
        <v>6.2525037129893315</v>
      </c>
      <c r="E12" s="23">
        <v>2.016936681609462</v>
      </c>
      <c r="F12" s="23">
        <v>0</v>
      </c>
      <c r="G12" s="23">
        <v>0</v>
      </c>
      <c r="H12" s="23">
        <v>0</v>
      </c>
      <c r="I12" s="23">
        <v>0</v>
      </c>
    </row>
    <row r="13" spans="1:9" x14ac:dyDescent="0.3">
      <c r="A13" s="23">
        <v>3.0730365210737451</v>
      </c>
      <c r="B13" s="23">
        <v>77.613871109170233</v>
      </c>
      <c r="C13" s="23">
        <v>87.463347138252757</v>
      </c>
      <c r="D13" s="23">
        <v>8.3523556726619752</v>
      </c>
      <c r="E13" s="23">
        <v>1.103141315257242</v>
      </c>
      <c r="F13" s="23">
        <v>0.31518323293064054</v>
      </c>
      <c r="G13" s="23">
        <v>0</v>
      </c>
      <c r="H13" s="23">
        <v>0</v>
      </c>
      <c r="I13" s="23">
        <v>0</v>
      </c>
    </row>
    <row r="14" spans="1:9" x14ac:dyDescent="0.3">
      <c r="A14" s="23">
        <v>5.2684908768843899</v>
      </c>
      <c r="B14" s="23">
        <v>125.21446650728568</v>
      </c>
      <c r="C14" s="23">
        <v>53.562990581657971</v>
      </c>
      <c r="D14" s="23">
        <v>21.600812595226</v>
      </c>
      <c r="E14" s="23">
        <v>1.7561636256281301</v>
      </c>
      <c r="F14" s="23">
        <v>0.52684908768843897</v>
      </c>
      <c r="G14" s="23">
        <v>0</v>
      </c>
      <c r="H14" s="23">
        <v>0</v>
      </c>
      <c r="I14" s="23">
        <v>0</v>
      </c>
    </row>
    <row r="15" spans="1:9" x14ac:dyDescent="0.3">
      <c r="A15" s="23">
        <v>2.84444146809374</v>
      </c>
      <c r="B15" s="23">
        <v>44.720940859473799</v>
      </c>
      <c r="C15" s="23">
        <v>64.948080188140395</v>
      </c>
      <c r="D15" s="23">
        <v>12.958011132427037</v>
      </c>
      <c r="E15" s="23">
        <v>4.2666622021406093</v>
      </c>
      <c r="F15" s="23">
        <v>0.47407357801562333</v>
      </c>
      <c r="G15" s="23">
        <v>0</v>
      </c>
      <c r="H15" s="23">
        <v>0</v>
      </c>
      <c r="I15" s="23">
        <v>0</v>
      </c>
    </row>
    <row r="16" spans="1:9" x14ac:dyDescent="0.3">
      <c r="A16" s="23">
        <v>0.2814528709854095</v>
      </c>
      <c r="B16" s="23">
        <v>34.900156002190776</v>
      </c>
      <c r="C16" s="23">
        <v>28.145287098540951</v>
      </c>
      <c r="D16" s="23">
        <v>18.012983743066208</v>
      </c>
      <c r="E16" s="23">
        <v>2.251622967883276</v>
      </c>
      <c r="F16" s="23">
        <v>0.8443586129562286</v>
      </c>
      <c r="G16" s="23">
        <v>0</v>
      </c>
      <c r="H16" s="23">
        <v>0</v>
      </c>
      <c r="I16" s="23">
        <v>0</v>
      </c>
    </row>
    <row r="17" spans="1:9" x14ac:dyDescent="0.3">
      <c r="A17" s="23">
        <v>0.43869304521623265</v>
      </c>
      <c r="B17" s="23">
        <v>54.397937606812846</v>
      </c>
      <c r="C17" s="23">
        <v>43.869304521623263</v>
      </c>
      <c r="D17" s="23">
        <v>28.076354893838889</v>
      </c>
      <c r="E17" s="23">
        <v>3.5095443617298612</v>
      </c>
      <c r="F17" s="23">
        <v>1.3160791356486978</v>
      </c>
      <c r="G17" s="23">
        <v>0</v>
      </c>
      <c r="H17" s="23">
        <v>0</v>
      </c>
      <c r="I17" s="23">
        <v>0</v>
      </c>
    </row>
    <row r="18" spans="1:9" x14ac:dyDescent="0.3">
      <c r="A18" s="23">
        <v>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</row>
    <row r="19" spans="1:9" x14ac:dyDescent="0.3">
      <c r="A19" s="23">
        <v>0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</row>
    <row r="20" spans="1:9" x14ac:dyDescent="0.3">
      <c r="A20" s="23">
        <v>0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</row>
    <row r="21" spans="1:9" x14ac:dyDescent="0.3">
      <c r="A21" s="23">
        <v>0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</row>
    <row r="22" spans="1:9" x14ac:dyDescent="0.3">
      <c r="A22" s="23">
        <v>1.6343319693524987</v>
      </c>
      <c r="B22" s="23">
        <v>9.325305942776021</v>
      </c>
      <c r="C22" s="23">
        <v>24.226568016284094</v>
      </c>
      <c r="D22" s="23">
        <v>12.401695532145432</v>
      </c>
      <c r="E22" s="23">
        <v>1.7625148689095573</v>
      </c>
      <c r="F22" s="23">
        <v>0.57682304800676421</v>
      </c>
      <c r="G22" s="23">
        <v>0.38454869867117619</v>
      </c>
      <c r="H22" s="23">
        <v>3.204572488926468E-2</v>
      </c>
      <c r="I22" s="23">
        <v>0</v>
      </c>
    </row>
    <row r="23" spans="1:9" x14ac:dyDescent="0.3">
      <c r="A23" s="23">
        <v>0.72469589318316796</v>
      </c>
      <c r="B23" s="23">
        <v>33.537315501198826</v>
      </c>
      <c r="C23" s="23">
        <v>30.920358109148495</v>
      </c>
      <c r="D23" s="23">
        <v>46.138971865995025</v>
      </c>
      <c r="E23" s="23">
        <v>14.534178746617979</v>
      </c>
      <c r="F23" s="23">
        <v>2.3351312113679854</v>
      </c>
      <c r="G23" s="23">
        <v>0.52339147841006572</v>
      </c>
      <c r="H23" s="23">
        <v>0.12078264886386131</v>
      </c>
      <c r="I23" s="23">
        <v>0</v>
      </c>
    </row>
    <row r="24" spans="1:9" x14ac:dyDescent="0.3">
      <c r="A24" s="23">
        <v>11.363729057290451</v>
      </c>
      <c r="B24" s="23">
        <v>62.005301438747665</v>
      </c>
      <c r="C24" s="23">
        <v>35.237985517102501</v>
      </c>
      <c r="D24" s="23">
        <v>20.433861424118611</v>
      </c>
      <c r="E24" s="23">
        <v>13.136053772647678</v>
      </c>
      <c r="F24" s="23">
        <v>3.2840134431619195</v>
      </c>
      <c r="G24" s="23">
        <v>0.31276318506303996</v>
      </c>
      <c r="H24" s="23">
        <v>5.2127197510506658E-2</v>
      </c>
      <c r="I24" s="23">
        <v>2.6063598755253329E-2</v>
      </c>
    </row>
    <row r="25" spans="1:9" x14ac:dyDescent="0.3">
      <c r="A25" s="23">
        <v>1.2207826700108662</v>
      </c>
      <c r="B25" s="23">
        <v>110.78602730348609</v>
      </c>
      <c r="C25" s="23">
        <v>42.462890538544634</v>
      </c>
      <c r="D25" s="23">
        <v>25.534704181060622</v>
      </c>
      <c r="E25" s="23">
        <v>17.558924070322959</v>
      </c>
      <c r="F25" s="23">
        <v>10.661501984761564</v>
      </c>
      <c r="G25" s="23">
        <v>2.665375496190391</v>
      </c>
      <c r="H25" s="23">
        <v>0.34588842316974544</v>
      </c>
      <c r="I25" s="23">
        <v>2.0346377833514437E-2</v>
      </c>
    </row>
    <row r="26" spans="1:9" x14ac:dyDescent="0.3">
      <c r="A26" s="23">
        <v>0.49544516857426579</v>
      </c>
      <c r="B26" s="23">
        <v>21.564902863732513</v>
      </c>
      <c r="C26" s="23">
        <v>126.7557349705003</v>
      </c>
      <c r="D26" s="23">
        <v>59.270887798384528</v>
      </c>
      <c r="E26" s="23">
        <v>36.558638228480028</v>
      </c>
      <c r="F26" s="23">
        <v>21.721359232755965</v>
      </c>
      <c r="G26" s="23">
        <v>7.4056014671100785</v>
      </c>
      <c r="H26" s="23">
        <v>1.1473467061719838</v>
      </c>
      <c r="I26" s="23">
        <v>2.6076061503908725E-2</v>
      </c>
    </row>
    <row r="27" spans="1:9" x14ac:dyDescent="0.3">
      <c r="A27" s="23">
        <v>1.1402644314731534</v>
      </c>
      <c r="B27" s="23">
        <v>26.195263966275146</v>
      </c>
      <c r="C27" s="23">
        <v>66.44351660151672</v>
      </c>
      <c r="D27" s="23">
        <v>81.975767235637505</v>
      </c>
      <c r="E27" s="23">
        <v>27.643707973822124</v>
      </c>
      <c r="F27" s="23">
        <v>10.632195374546971</v>
      </c>
      <c r="G27" s="23">
        <v>4.0371524465671111</v>
      </c>
      <c r="H27" s="23">
        <v>0.73963098257718052</v>
      </c>
      <c r="I27" s="23">
        <v>0.12327183042953009</v>
      </c>
    </row>
    <row r="28" spans="1:9" x14ac:dyDescent="0.3">
      <c r="A28" s="23">
        <v>1.6014041945595205</v>
      </c>
      <c r="B28" s="23">
        <v>76.364102877709712</v>
      </c>
      <c r="C28" s="23">
        <v>35.96296276925095</v>
      </c>
      <c r="D28" s="23">
        <v>31.662048646719661</v>
      </c>
      <c r="E28" s="23">
        <v>38.868367522237506</v>
      </c>
      <c r="F28" s="23">
        <v>9.722811181254233</v>
      </c>
      <c r="G28" s="23">
        <v>3.1112995780013541</v>
      </c>
      <c r="H28" s="23">
        <v>0.50329846114727783</v>
      </c>
      <c r="I28" s="23">
        <v>0.25164923057363892</v>
      </c>
    </row>
    <row r="29" spans="1:9" x14ac:dyDescent="0.3">
      <c r="A29" s="23">
        <v>0.98833200074227978</v>
      </c>
      <c r="B29" s="23">
        <v>17.691142813286806</v>
      </c>
      <c r="C29" s="23">
        <v>69.644461652305978</v>
      </c>
      <c r="D29" s="23">
        <v>23.25874641746832</v>
      </c>
      <c r="E29" s="23">
        <v>18.350030813781661</v>
      </c>
      <c r="F29" s="23">
        <v>13.63898161024346</v>
      </c>
      <c r="G29" s="23">
        <v>2.3390524017567285</v>
      </c>
      <c r="H29" s="23">
        <v>0.72477680054433846</v>
      </c>
      <c r="I29" s="23">
        <v>0.1647220001237133</v>
      </c>
    </row>
    <row r="30" spans="1:9" x14ac:dyDescent="0.3">
      <c r="A30" s="23">
        <v>0.85816083762223316</v>
      </c>
      <c r="B30" s="23">
        <v>13.141835152889318</v>
      </c>
      <c r="C30" s="23">
        <v>4.7099059925313265</v>
      </c>
      <c r="D30" s="23">
        <v>8.7213089776957187</v>
      </c>
      <c r="E30" s="23">
        <v>3.1931566051059841</v>
      </c>
      <c r="F30" s="23">
        <v>2.4647177545661814</v>
      </c>
      <c r="G30" s="23">
        <v>1.1674978837418755</v>
      </c>
      <c r="H30" s="23">
        <v>0.16963644464625541</v>
      </c>
      <c r="I30" s="23">
        <v>3.99144575638248E-2</v>
      </c>
    </row>
    <row r="31" spans="1:9" x14ac:dyDescent="0.3">
      <c r="A31" s="23">
        <v>2.2164195996362497</v>
      </c>
      <c r="B31" s="23">
        <v>22.806636460025178</v>
      </c>
      <c r="C31" s="23">
        <v>19.787166280810577</v>
      </c>
      <c r="D31" s="23">
        <v>7.6289805059943374</v>
      </c>
      <c r="E31" s="23">
        <v>9.8614611172221558</v>
      </c>
      <c r="F31" s="23">
        <v>4.5613272920050356</v>
      </c>
      <c r="G31" s="23">
        <v>1.8309553214386411</v>
      </c>
      <c r="H31" s="23">
        <v>0.33728124342290761</v>
      </c>
      <c r="I31" s="23">
        <v>0</v>
      </c>
    </row>
    <row r="32" spans="1:9" x14ac:dyDescent="0.3">
      <c r="A32" s="23">
        <v>1.2499887875185645</v>
      </c>
      <c r="B32" s="23">
        <v>9.4921023552190995</v>
      </c>
      <c r="C32" s="23">
        <v>11.749894602674507</v>
      </c>
      <c r="D32" s="23">
        <v>13.203006568164838</v>
      </c>
      <c r="E32" s="23">
        <v>2.9374736506686268</v>
      </c>
      <c r="F32" s="23">
        <v>5.4687009453937199</v>
      </c>
      <c r="G32" s="23">
        <v>1.3046757969725018</v>
      </c>
      <c r="H32" s="23">
        <v>0.63280682368127328</v>
      </c>
      <c r="I32" s="23">
        <v>0.12499887875185646</v>
      </c>
    </row>
    <row r="33" spans="1:9" x14ac:dyDescent="0.3">
      <c r="A33" s="23">
        <v>2.3290955413551395</v>
      </c>
      <c r="B33" s="23">
        <v>12.50810568505538</v>
      </c>
      <c r="C33" s="23">
        <v>13.491501580294218</v>
      </c>
      <c r="D33" s="23">
        <v>14.45764491596746</v>
      </c>
      <c r="E33" s="23">
        <v>14.181603962917961</v>
      </c>
      <c r="F33" s="23">
        <v>3.0882081622412594</v>
      </c>
      <c r="G33" s="23">
        <v>3.9508361405209409</v>
      </c>
      <c r="H33" s="23">
        <v>0.6210921443613705</v>
      </c>
      <c r="I33" s="23">
        <v>0.51757678696780884</v>
      </c>
    </row>
    <row r="34" spans="1:9" x14ac:dyDescent="0.3">
      <c r="A34" s="23">
        <v>11.994567374860358</v>
      </c>
      <c r="B34" s="23">
        <v>17.291044878590832</v>
      </c>
      <c r="C34" s="23">
        <v>6.4015949472569327</v>
      </c>
      <c r="D34" s="23">
        <v>5.3234315877189227</v>
      </c>
      <c r="E34" s="23">
        <v>6.886768459049037</v>
      </c>
      <c r="F34" s="23">
        <v>5.1751841257824465</v>
      </c>
      <c r="G34" s="23">
        <v>0.90296181361308303</v>
      </c>
      <c r="H34" s="23">
        <v>0.71428322569393132</v>
      </c>
      <c r="I34" s="23">
        <v>0.1347704199422512</v>
      </c>
    </row>
    <row r="35" spans="1:9" x14ac:dyDescent="0.3">
      <c r="A35" s="23">
        <v>0.38390659344121625</v>
      </c>
      <c r="B35" s="23">
        <v>0.86417221232783725</v>
      </c>
      <c r="C35" s="23">
        <v>0.22738690660661676</v>
      </c>
      <c r="D35" s="23">
        <v>5.8121316935323568E-2</v>
      </c>
      <c r="E35" s="23">
        <v>4.2316397417823295E-2</v>
      </c>
      <c r="F35" s="23">
        <v>5.0473775233307309E-2</v>
      </c>
      <c r="G35" s="23">
        <v>2.7021314013790782E-2</v>
      </c>
      <c r="H35" s="23">
        <v>2.0393444538710022E-3</v>
      </c>
      <c r="I35" s="23">
        <v>3.568852794274254E-3</v>
      </c>
    </row>
    <row r="36" spans="1:9" x14ac:dyDescent="0.3">
      <c r="A36" s="23">
        <v>6.353161009031455E-2</v>
      </c>
      <c r="B36" s="23">
        <v>0.84735790782878129</v>
      </c>
      <c r="C36" s="23">
        <v>0.49894570217425371</v>
      </c>
      <c r="D36" s="23">
        <v>0.13920301828705861</v>
      </c>
      <c r="E36" s="23">
        <v>5.260579179452797E-2</v>
      </c>
      <c r="F36" s="23">
        <v>3.7633374129931549E-2</v>
      </c>
      <c r="G36" s="23">
        <v>2.9540175392311858E-2</v>
      </c>
      <c r="H36" s="23">
        <v>9.7118384851436253E-3</v>
      </c>
      <c r="I36" s="23">
        <v>1.2139798106429532E-3</v>
      </c>
    </row>
    <row r="37" spans="1:9" x14ac:dyDescent="0.3">
      <c r="A37" s="23">
        <v>16.748710152480278</v>
      </c>
      <c r="B37" s="23">
        <v>17.916712307850613</v>
      </c>
      <c r="C37" s="23">
        <v>38.764448892385275</v>
      </c>
      <c r="D37" s="23">
        <v>29.773036073685336</v>
      </c>
      <c r="E37" s="23">
        <v>8.2862039701744532</v>
      </c>
      <c r="F37" s="23">
        <v>2.9089865001676274</v>
      </c>
      <c r="G37" s="23">
        <v>1.7850598978301349</v>
      </c>
      <c r="H37" s="23">
        <v>1.2341154849195994</v>
      </c>
      <c r="I37" s="23">
        <v>0.44075553032842835</v>
      </c>
    </row>
    <row r="38" spans="1:9" x14ac:dyDescent="0.3">
      <c r="A38" s="23">
        <v>1.8411326637076251</v>
      </c>
      <c r="B38" s="23">
        <v>44.100428986714057</v>
      </c>
      <c r="C38" s="23">
        <v>5.8414994461090091</v>
      </c>
      <c r="D38" s="23">
        <v>12.569827190967242</v>
      </c>
      <c r="E38" s="23">
        <v>8.5116237803865591</v>
      </c>
      <c r="F38" s="23">
        <v>2.6315665821580194</v>
      </c>
      <c r="G38" s="23">
        <v>0.67476066209179986</v>
      </c>
      <c r="H38" s="23">
        <v>0.37593808316543131</v>
      </c>
      <c r="I38" s="23">
        <v>0.17350988453789137</v>
      </c>
    </row>
    <row r="39" spans="1:9" x14ac:dyDescent="0.3">
      <c r="A39" s="23">
        <v>2.4437804072241009</v>
      </c>
      <c r="B39" s="23">
        <v>15.13135265842868</v>
      </c>
      <c r="C39" s="23">
        <v>61.764039059294056</v>
      </c>
      <c r="D39" s="23">
        <v>6.9965767823265343</v>
      </c>
      <c r="E39" s="23">
        <v>9.7081687410272508</v>
      </c>
      <c r="F39" s="23">
        <v>4.9377754803500666</v>
      </c>
      <c r="G39" s="23">
        <v>0.75321998852797623</v>
      </c>
      <c r="H39" s="23">
        <v>0.23433510754203707</v>
      </c>
      <c r="I39" s="23">
        <v>3.3476443934576723E-2</v>
      </c>
    </row>
    <row r="40" spans="1:9" x14ac:dyDescent="0.3">
      <c r="A40" s="23">
        <v>0.31657354047263803</v>
      </c>
      <c r="B40" s="23">
        <v>17.862422192728847</v>
      </c>
      <c r="C40" s="23">
        <v>8.4803336296306657</v>
      </c>
      <c r="D40" s="23">
        <v>33.959707068882985</v>
      </c>
      <c r="E40" s="23">
        <v>3.3000393309874991</v>
      </c>
      <c r="F40" s="23">
        <v>4.3360981907161325</v>
      </c>
      <c r="G40" s="23">
        <v>1.3046667122508717</v>
      </c>
      <c r="H40" s="23">
        <v>0.18226961421151885</v>
      </c>
      <c r="I40" s="23">
        <v>5.7558825540479641E-2</v>
      </c>
    </row>
    <row r="41" spans="1:9" x14ac:dyDescent="0.3">
      <c r="A41" s="23">
        <v>4.0792158236412748</v>
      </c>
      <c r="B41" s="23">
        <v>13.253219875149867</v>
      </c>
      <c r="C41" s="23">
        <v>13.270146081886967</v>
      </c>
      <c r="D41" s="23">
        <v>6.9482078655798469</v>
      </c>
      <c r="E41" s="23">
        <v>22.367982203078608</v>
      </c>
      <c r="F41" s="23">
        <v>2.09884963540049</v>
      </c>
      <c r="G41" s="23">
        <v>2.3612058398255509</v>
      </c>
      <c r="H41" s="23">
        <v>0.4231551684275181</v>
      </c>
      <c r="I41" s="23">
        <v>2.5389310105651083E-2</v>
      </c>
    </row>
    <row r="42" spans="1:9" x14ac:dyDescent="0.3">
      <c r="A42" s="23">
        <v>0.41862635702164258</v>
      </c>
      <c r="B42" s="23">
        <v>12.494054676058303</v>
      </c>
      <c r="C42" s="23">
        <v>3.0425936257758557</v>
      </c>
      <c r="D42" s="23">
        <v>4.2035265127740198</v>
      </c>
      <c r="E42" s="23">
        <v>1.8859764744170908</v>
      </c>
      <c r="F42" s="23">
        <v>5.1055152614082795</v>
      </c>
      <c r="G42" s="23">
        <v>0.6128344607945696</v>
      </c>
      <c r="H42" s="23">
        <v>0.37546900062765876</v>
      </c>
      <c r="I42" s="23">
        <v>6.4736034590975655E-2</v>
      </c>
    </row>
    <row r="43" spans="1:9" x14ac:dyDescent="0.3">
      <c r="A43" s="23">
        <v>1.748408010979305</v>
      </c>
      <c r="B43" s="23">
        <v>12.483960003627935</v>
      </c>
      <c r="C43" s="23">
        <v>18.423645162422115</v>
      </c>
      <c r="D43" s="23">
        <v>3.1046497391221299</v>
      </c>
      <c r="E43" s="23">
        <v>3.3987744512494902</v>
      </c>
      <c r="F43" s="23">
        <v>1.8464495816884248</v>
      </c>
      <c r="G43" s="23">
        <v>3.4559653674964763</v>
      </c>
      <c r="H43" s="23">
        <v>0.41667667551375959</v>
      </c>
      <c r="I43" s="23">
        <v>0.25327405766522643</v>
      </c>
    </row>
    <row r="44" spans="1:9" x14ac:dyDescent="0.3">
      <c r="A44" s="23">
        <v>1.3090031074605706</v>
      </c>
      <c r="B44" s="23">
        <v>9.9856193334150642</v>
      </c>
      <c r="C44" s="23">
        <v>11.788180989590275</v>
      </c>
      <c r="D44" s="23">
        <v>15.750955424197686</v>
      </c>
      <c r="E44" s="23">
        <v>3.7481837612532187</v>
      </c>
      <c r="F44" s="23">
        <v>2.2746611375544341</v>
      </c>
      <c r="G44" s="23">
        <v>2.3891094966766699</v>
      </c>
      <c r="H44" s="23">
        <v>0.70099619962369364</v>
      </c>
      <c r="I44" s="23">
        <v>0.10729533667709595</v>
      </c>
    </row>
    <row r="45" spans="1:9" x14ac:dyDescent="0.3">
      <c r="A45" s="23">
        <v>0.11169443928003171</v>
      </c>
      <c r="B45" s="23">
        <v>1.8038651943725121</v>
      </c>
      <c r="C45" s="23">
        <v>3.3508331784009515</v>
      </c>
      <c r="D45" s="23">
        <v>2.8565852845868114</v>
      </c>
      <c r="E45" s="23">
        <v>3.5658449740150129</v>
      </c>
      <c r="F45" s="23">
        <v>0.93264856798826479</v>
      </c>
      <c r="G45" s="23">
        <v>0.61431941604017448</v>
      </c>
      <c r="H45" s="23">
        <v>0.43281595221012292</v>
      </c>
      <c r="I45" s="23">
        <v>9.7732634370027757E-2</v>
      </c>
    </row>
    <row r="46" spans="1:9" x14ac:dyDescent="0.3">
      <c r="A46" s="23">
        <v>1.0234368234160895</v>
      </c>
      <c r="B46" s="23">
        <v>1.4019807465156235</v>
      </c>
      <c r="C46" s="23">
        <v>0.82732370662958399</v>
      </c>
      <c r="D46" s="23">
        <v>1.2879614925699809</v>
      </c>
      <c r="E46" s="23">
        <v>0.84647894129245205</v>
      </c>
      <c r="F46" s="23">
        <v>0.87110710014471093</v>
      </c>
      <c r="G46" s="23">
        <v>0.18516726840772388</v>
      </c>
      <c r="H46" s="23">
        <v>7.6620938651471945E-2</v>
      </c>
      <c r="I46" s="23">
        <v>5.4729241893908528E-2</v>
      </c>
    </row>
    <row r="47" spans="1:9" x14ac:dyDescent="0.3">
      <c r="A47" s="23">
        <v>1.5546472967260836</v>
      </c>
      <c r="B47" s="23">
        <v>43.918786132511862</v>
      </c>
      <c r="C47" s="23">
        <v>5.1605653321879723</v>
      </c>
      <c r="D47" s="23">
        <v>2.8933713577957665</v>
      </c>
      <c r="E47" s="23">
        <v>4.2644839042139093</v>
      </c>
      <c r="F47" s="23">
        <v>3.163275402366267</v>
      </c>
      <c r="G47" s="23">
        <v>2.1268438712155446</v>
      </c>
      <c r="H47" s="23">
        <v>0.34547717705024078</v>
      </c>
      <c r="I47" s="23">
        <v>0.21592323565640051</v>
      </c>
    </row>
    <row r="48" spans="1:9" x14ac:dyDescent="0.3">
      <c r="A48" s="23">
        <v>1.2832207312401598</v>
      </c>
      <c r="B48" s="23">
        <v>12.444006082782725</v>
      </c>
      <c r="C48" s="23">
        <v>37.731002845456466</v>
      </c>
      <c r="D48" s="23">
        <v>4.6907648578947017</v>
      </c>
      <c r="E48" s="23">
        <v>2.5448747275014933</v>
      </c>
      <c r="F48" s="23">
        <v>3.8065287237628267</v>
      </c>
      <c r="G48" s="23">
        <v>2.2537238052873394</v>
      </c>
      <c r="H48" s="23">
        <v>1.1861704238354418</v>
      </c>
      <c r="I48" s="23">
        <v>0.39898459710828493</v>
      </c>
    </row>
    <row r="49" spans="1:9" x14ac:dyDescent="0.3">
      <c r="A49" s="23">
        <v>0.54205643223418054</v>
      </c>
      <c r="B49" s="23">
        <v>7.503609754784585</v>
      </c>
      <c r="C49" s="23">
        <v>8.9052128152758243</v>
      </c>
      <c r="D49" s="23">
        <v>16.788262072624335</v>
      </c>
      <c r="E49" s="23">
        <v>3.7479330457334772</v>
      </c>
      <c r="F49" s="23">
        <v>1.2080114775504596</v>
      </c>
      <c r="G49" s="23">
        <v>0.72790435185732816</v>
      </c>
      <c r="H49" s="23">
        <v>0.33297752265813946</v>
      </c>
      <c r="I49" s="23">
        <v>0.13164227639972956</v>
      </c>
    </row>
    <row r="50" spans="1:9" x14ac:dyDescent="0.3">
      <c r="A50" s="23">
        <v>0.70249064129071226</v>
      </c>
      <c r="B50" s="23">
        <v>2.8251242336799147</v>
      </c>
      <c r="C50" s="23">
        <v>2.4662980787760258</v>
      </c>
      <c r="D50" s="23">
        <v>2.5724297583954856</v>
      </c>
      <c r="E50" s="23">
        <v>4.0835427205963697</v>
      </c>
      <c r="F50" s="23">
        <v>0.54582006661436633</v>
      </c>
      <c r="G50" s="23">
        <v>0.19204780121616594</v>
      </c>
      <c r="H50" s="23">
        <v>0.11118556912514869</v>
      </c>
      <c r="I50" s="23">
        <v>3.0323337034131464E-2</v>
      </c>
    </row>
    <row r="51" spans="1:9" x14ac:dyDescent="0.3">
      <c r="A51" s="23">
        <v>0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</row>
    <row r="52" spans="1:9" x14ac:dyDescent="0.3">
      <c r="A52" s="23">
        <v>0.54259925314659541</v>
      </c>
      <c r="B52" s="23">
        <v>3.9249978583593395</v>
      </c>
      <c r="C52" s="23">
        <v>1.7560753002652043</v>
      </c>
      <c r="D52" s="23">
        <v>0.77408860842924609</v>
      </c>
      <c r="E52" s="23">
        <v>0.32732889727865266</v>
      </c>
      <c r="F52" s="23">
        <v>0.39367934942973087</v>
      </c>
      <c r="G52" s="23">
        <v>0.37008807755379197</v>
      </c>
      <c r="H52" s="23">
        <v>3.9810271290646945E-2</v>
      </c>
      <c r="I52" s="23">
        <v>4.4233634767385493E-3</v>
      </c>
    </row>
    <row r="53" spans="1:9" x14ac:dyDescent="0.3">
      <c r="A53" s="23">
        <v>0.52393669657055997</v>
      </c>
      <c r="B53" s="23">
        <v>12.039628673277658</v>
      </c>
      <c r="C53" s="23">
        <v>11.684879868308009</v>
      </c>
      <c r="D53" s="23">
        <v>4.9555679217298785</v>
      </c>
      <c r="E53" s="23">
        <v>1.5117756765629697</v>
      </c>
      <c r="F53" s="23">
        <v>0.75861667524278975</v>
      </c>
      <c r="G53" s="23">
        <v>0.79136271877844977</v>
      </c>
      <c r="H53" s="23">
        <v>0.49119065303489989</v>
      </c>
      <c r="I53" s="23">
        <v>4.3661391380879988E-2</v>
      </c>
    </row>
    <row r="54" spans="1:9" x14ac:dyDescent="0.3">
      <c r="A54" s="23">
        <v>2.8187678741060829</v>
      </c>
      <c r="B54" s="23">
        <v>9.5232541219798854</v>
      </c>
      <c r="C54" s="23">
        <v>18.952789618989492</v>
      </c>
      <c r="D54" s="23">
        <v>8.3481667473525416</v>
      </c>
      <c r="E54" s="23">
        <v>3.2008514989849122</v>
      </c>
      <c r="F54" s="23">
        <v>1.1246234996433475</v>
      </c>
      <c r="G54" s="23">
        <v>0.32441062489711953</v>
      </c>
      <c r="H54" s="23">
        <v>0.18022812494284415</v>
      </c>
      <c r="I54" s="23">
        <v>4.3254749986282599E-2</v>
      </c>
    </row>
    <row r="55" spans="1:9" x14ac:dyDescent="0.3">
      <c r="A55" s="23">
        <v>1.6625877144240613</v>
      </c>
      <c r="B55" s="23">
        <v>17.568363173436417</v>
      </c>
      <c r="C55" s="23">
        <v>10.515602550465561</v>
      </c>
      <c r="D55" s="23">
        <v>10.314397667828253</v>
      </c>
      <c r="E55" s="23">
        <v>4.0240976527461356</v>
      </c>
      <c r="F55" s="23">
        <v>1.3978444477960261</v>
      </c>
      <c r="G55" s="23">
        <v>0.36005084261412795</v>
      </c>
      <c r="H55" s="23">
        <v>3.1769191995364224E-2</v>
      </c>
      <c r="I55" s="23">
        <v>5.2948653325607054E-2</v>
      </c>
    </row>
    <row r="56" spans="1:9" x14ac:dyDescent="0.3">
      <c r="A56" s="23">
        <v>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</row>
    <row r="57" spans="1:9" x14ac:dyDescent="0.3">
      <c r="A57" s="23">
        <v>0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</row>
    <row r="58" spans="1:9" x14ac:dyDescent="0.3">
      <c r="A58" s="23">
        <v>0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</row>
    <row r="59" spans="1:9" x14ac:dyDescent="0.3">
      <c r="A59" s="23">
        <v>0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</row>
    <row r="60" spans="1:9" x14ac:dyDescent="0.3">
      <c r="A60" s="23">
        <v>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</row>
    <row r="61" spans="1:9" x14ac:dyDescent="0.3">
      <c r="A61" s="23">
        <v>0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</row>
    <row r="62" spans="1:9" x14ac:dyDescent="0.3">
      <c r="A62" s="23">
        <v>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</row>
    <row r="63" spans="1:9" x14ac:dyDescent="0.3">
      <c r="A63" s="23">
        <v>0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</row>
    <row r="64" spans="1:9" x14ac:dyDescent="0.3">
      <c r="A64" s="23">
        <v>0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</row>
    <row r="65" spans="1:9" x14ac:dyDescent="0.3">
      <c r="A65" s="23">
        <v>0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</row>
    <row r="66" spans="1:9" x14ac:dyDescent="0.3">
      <c r="A66" s="23">
        <v>0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</row>
    <row r="67" spans="1:9" x14ac:dyDescent="0.3">
      <c r="A67" s="23">
        <v>0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</row>
    <row r="68" spans="1:9" x14ac:dyDescent="0.3">
      <c r="A68" s="23">
        <v>0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</row>
    <row r="69" spans="1:9" x14ac:dyDescent="0.3">
      <c r="A69" s="23">
        <v>0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</row>
    <row r="70" spans="1:9" x14ac:dyDescent="0.3">
      <c r="A70" s="23">
        <v>0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</row>
    <row r="71" spans="1:9" x14ac:dyDescent="0.3">
      <c r="A71" s="23">
        <v>0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</row>
    <row r="72" spans="1:9" x14ac:dyDescent="0.3">
      <c r="A72" s="23">
        <v>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"/>
  <sheetViews>
    <sheetView workbookViewId="0"/>
  </sheetViews>
  <sheetFormatPr defaultRowHeight="14.4" x14ac:dyDescent="0.3"/>
  <sheetData>
    <row r="1" spans="1:9" x14ac:dyDescent="0.3">
      <c r="A1" s="13">
        <v>25.131367393743716</v>
      </c>
      <c r="B1" s="13">
        <v>75.146746202946275</v>
      </c>
      <c r="C1" s="13">
        <v>82.419011964521715</v>
      </c>
      <c r="D1" s="13">
        <v>13.456165218697423</v>
      </c>
      <c r="E1" s="13">
        <v>2.8693293481045976</v>
      </c>
      <c r="F1" s="13">
        <v>0.59365434788370974</v>
      </c>
      <c r="G1" s="13">
        <v>4.9471195656975817E-2</v>
      </c>
      <c r="H1" s="13">
        <v>4.9471195656975817E-2</v>
      </c>
      <c r="I1" s="13">
        <v>0</v>
      </c>
    </row>
    <row r="2" spans="1:9" x14ac:dyDescent="0.3">
      <c r="A2" s="13">
        <v>2.222284953089265</v>
      </c>
      <c r="B2" s="13">
        <v>32.876071213227782</v>
      </c>
      <c r="C2" s="13">
        <v>28.179489611338102</v>
      </c>
      <c r="D2" s="13">
        <v>41.788121179740401</v>
      </c>
      <c r="E2" s="13">
        <v>5.6129877681120606</v>
      </c>
      <c r="F2" s="13">
        <v>1.649531099200279</v>
      </c>
      <c r="G2" s="13">
        <v>0.36656246648895091</v>
      </c>
      <c r="H2" s="13">
        <v>4.5820308311118864E-2</v>
      </c>
      <c r="I2" s="13">
        <v>0</v>
      </c>
    </row>
    <row r="3" spans="1:9" x14ac:dyDescent="0.3">
      <c r="A3" s="13">
        <v>69.613717856266604</v>
      </c>
      <c r="B3" s="13">
        <v>273.52646662108288</v>
      </c>
      <c r="C3" s="13">
        <v>133.80619042815138</v>
      </c>
      <c r="D3" s="13">
        <v>8.0086578064731491</v>
      </c>
      <c r="E3" s="13">
        <v>2.3409922818921509</v>
      </c>
      <c r="F3" s="13">
        <v>0.24642024019917377</v>
      </c>
      <c r="G3" s="13">
        <v>0</v>
      </c>
      <c r="H3" s="13">
        <v>0</v>
      </c>
      <c r="I3" s="13">
        <v>0</v>
      </c>
    </row>
    <row r="4" spans="1:9" x14ac:dyDescent="0.3">
      <c r="A4" s="13">
        <v>5.9397291915065438</v>
      </c>
      <c r="B4" s="13">
        <v>140.36709721278041</v>
      </c>
      <c r="C4" s="13">
        <v>61.255734790935584</v>
      </c>
      <c r="D4" s="13">
        <v>12.316739059688416</v>
      </c>
      <c r="E4" s="13">
        <v>1.5304823683636495</v>
      </c>
      <c r="F4" s="13">
        <v>0.3279605075064963</v>
      </c>
      <c r="G4" s="13">
        <v>0.18220028194805352</v>
      </c>
      <c r="H4" s="13">
        <v>3.6440056389610703E-2</v>
      </c>
      <c r="I4" s="13">
        <v>3.6440056389610703E-2</v>
      </c>
    </row>
    <row r="5" spans="1:9" x14ac:dyDescent="0.3">
      <c r="A5" s="13">
        <v>29.701866524583014</v>
      </c>
      <c r="B5" s="13">
        <v>104.87151924556562</v>
      </c>
      <c r="C5" s="13">
        <v>34.769483561952626</v>
      </c>
      <c r="D5" s="13">
        <v>6.0529870168581503</v>
      </c>
      <c r="E5" s="13">
        <v>1.1261371194154697</v>
      </c>
      <c r="F5" s="13">
        <v>7.0383569963466855E-2</v>
      </c>
      <c r="G5" s="13">
        <v>0</v>
      </c>
      <c r="H5" s="13">
        <v>0</v>
      </c>
      <c r="I5" s="13">
        <v>0</v>
      </c>
    </row>
    <row r="6" spans="1:9" x14ac:dyDescent="0.3">
      <c r="A6" s="13">
        <v>37.9500862787526</v>
      </c>
      <c r="B6" s="13">
        <v>197.34044864951352</v>
      </c>
      <c r="C6" s="13">
        <v>49.038111487153358</v>
      </c>
      <c r="D6" s="13">
        <v>18.612042314101277</v>
      </c>
      <c r="E6" s="13">
        <v>3.4320078026002352</v>
      </c>
      <c r="F6" s="13">
        <v>0.46200105035003169</v>
      </c>
      <c r="G6" s="13">
        <v>0.13200030010000904</v>
      </c>
      <c r="H6" s="13">
        <v>0.13200030010000904</v>
      </c>
      <c r="I6" s="13">
        <v>0</v>
      </c>
    </row>
    <row r="7" spans="1:9" x14ac:dyDescent="0.3">
      <c r="A7" s="13">
        <v>13.389560747043031</v>
      </c>
      <c r="B7" s="13">
        <v>353.98651224995012</v>
      </c>
      <c r="C7" s="13">
        <v>122.17974181676766</v>
      </c>
      <c r="D7" s="13">
        <v>1.6736950933803789</v>
      </c>
      <c r="E7" s="13">
        <v>0.83684754669018946</v>
      </c>
      <c r="F7" s="13">
        <v>0</v>
      </c>
      <c r="G7" s="13">
        <v>0</v>
      </c>
      <c r="H7" s="13">
        <v>0</v>
      </c>
      <c r="I7" s="13">
        <v>0</v>
      </c>
    </row>
    <row r="8" spans="1:9" x14ac:dyDescent="0.3">
      <c r="A8" s="13">
        <v>30.905089676050025</v>
      </c>
      <c r="B8" s="13">
        <v>116.19510988592835</v>
      </c>
      <c r="C8" s="13">
        <v>64.619732959013689</v>
      </c>
      <c r="D8" s="13">
        <v>15.051180037037351</v>
      </c>
      <c r="E8" s="13">
        <v>6.823201616790266</v>
      </c>
      <c r="F8" s="13">
        <v>4.0136480098766265</v>
      </c>
      <c r="G8" s="13">
        <v>1.0034120024691566</v>
      </c>
      <c r="H8" s="13">
        <v>0.20068240049383135</v>
      </c>
      <c r="I8" s="13">
        <v>0</v>
      </c>
    </row>
    <row r="9" spans="1:9" x14ac:dyDescent="0.3">
      <c r="A9" s="13">
        <v>5.8964502504550396</v>
      </c>
      <c r="B9" s="13">
        <v>62.768663956456869</v>
      </c>
      <c r="C9" s="13">
        <v>38.193780977141031</v>
      </c>
      <c r="D9" s="13">
        <v>20.085972466066199</v>
      </c>
      <c r="E9" s="13">
        <v>5.3638676471881332</v>
      </c>
      <c r="F9" s="13">
        <v>3.3476620776776995</v>
      </c>
      <c r="G9" s="13">
        <v>2.8150794744107932</v>
      </c>
      <c r="H9" s="13">
        <v>0.79887390490036014</v>
      </c>
      <c r="I9" s="13">
        <v>0.15216645807625909</v>
      </c>
    </row>
    <row r="10" spans="1:9" x14ac:dyDescent="0.3">
      <c r="A10" s="13">
        <v>5.5694586006573008</v>
      </c>
      <c r="B10" s="13">
        <v>34.399597239353916</v>
      </c>
      <c r="C10" s="13">
        <v>14.655320474670779</v>
      </c>
      <c r="D10" s="13">
        <v>5.5039355582966261</v>
      </c>
      <c r="E10" s="13">
        <v>1.7691221437382014</v>
      </c>
      <c r="F10" s="13">
        <v>0.58970738124606714</v>
      </c>
      <c r="G10" s="13">
        <v>0.21841014120224708</v>
      </c>
      <c r="H10" s="13">
        <v>8.736405648089883E-2</v>
      </c>
      <c r="I10" s="13">
        <v>4.3682028240449415E-2</v>
      </c>
    </row>
    <row r="11" spans="1:9" x14ac:dyDescent="0.3">
      <c r="A11" s="13">
        <v>51.584887354288234</v>
      </c>
      <c r="B11" s="13">
        <v>46.689971035998113</v>
      </c>
      <c r="C11" s="13">
        <v>22.215389444547487</v>
      </c>
      <c r="D11" s="13">
        <v>4.8949163182901243</v>
      </c>
      <c r="E11" s="13">
        <v>0.18826601224192788</v>
      </c>
      <c r="F11" s="13">
        <v>0</v>
      </c>
      <c r="G11" s="13">
        <v>0</v>
      </c>
      <c r="H11" s="13">
        <v>0</v>
      </c>
      <c r="I11" s="13">
        <v>0</v>
      </c>
    </row>
    <row r="12" spans="1:9" x14ac:dyDescent="0.3">
      <c r="A12" s="13">
        <v>17.319306863239362</v>
      </c>
      <c r="B12" s="13">
        <v>302.64754874575902</v>
      </c>
      <c r="C12" s="13">
        <v>38.161184613917236</v>
      </c>
      <c r="D12" s="13">
        <v>9.099974792549494</v>
      </c>
      <c r="E12" s="13">
        <v>2.935475739532095</v>
      </c>
      <c r="F12" s="13">
        <v>0</v>
      </c>
      <c r="G12" s="13">
        <v>0</v>
      </c>
      <c r="H12" s="13">
        <v>0</v>
      </c>
      <c r="I12" s="13">
        <v>0</v>
      </c>
    </row>
    <row r="13" spans="1:9" x14ac:dyDescent="0.3">
      <c r="A13" s="13">
        <v>1.8980718268413854</v>
      </c>
      <c r="B13" s="13">
        <v>47.938480754840121</v>
      </c>
      <c r="C13" s="13">
        <v>54.022044302408666</v>
      </c>
      <c r="D13" s="13">
        <v>5.1588618883381248</v>
      </c>
      <c r="E13" s="13">
        <v>0.68135911732767684</v>
      </c>
      <c r="F13" s="13">
        <v>0.19467403352219337</v>
      </c>
      <c r="G13" s="13">
        <v>0</v>
      </c>
      <c r="H13" s="13">
        <v>0</v>
      </c>
      <c r="I13" s="13">
        <v>0</v>
      </c>
    </row>
    <row r="14" spans="1:9" x14ac:dyDescent="0.3">
      <c r="A14" s="13">
        <v>5.6388658350778522</v>
      </c>
      <c r="B14" s="13">
        <v>134.0170446803503</v>
      </c>
      <c r="C14" s="13">
        <v>57.3284693232915</v>
      </c>
      <c r="D14" s="13">
        <v>23.119349923819197</v>
      </c>
      <c r="E14" s="13">
        <v>1.8796219450259506</v>
      </c>
      <c r="F14" s="13">
        <v>0.56388658350778531</v>
      </c>
      <c r="G14" s="13">
        <v>0</v>
      </c>
      <c r="H14" s="13">
        <v>0</v>
      </c>
      <c r="I14" s="13">
        <v>0</v>
      </c>
    </row>
    <row r="15" spans="1:9" x14ac:dyDescent="0.3">
      <c r="A15" s="13">
        <v>2.1078931507604799</v>
      </c>
      <c r="B15" s="13">
        <v>33.140764536956432</v>
      </c>
      <c r="C15" s="13">
        <v>48.130226942364288</v>
      </c>
      <c r="D15" s="13">
        <v>9.6026243534644085</v>
      </c>
      <c r="E15" s="13">
        <v>3.1618397261407196</v>
      </c>
      <c r="F15" s="13">
        <v>0.35131552512674663</v>
      </c>
      <c r="G15" s="13">
        <v>0</v>
      </c>
      <c r="H15" s="13">
        <v>0</v>
      </c>
      <c r="I15" s="13">
        <v>0</v>
      </c>
    </row>
    <row r="16" spans="1:9" x14ac:dyDescent="0.3">
      <c r="A16" s="13">
        <v>9.6612338449478377E-2</v>
      </c>
      <c r="B16" s="13">
        <v>11.97992996773532</v>
      </c>
      <c r="C16" s="13">
        <v>9.661233844947839</v>
      </c>
      <c r="D16" s="13">
        <v>6.1831896607666161</v>
      </c>
      <c r="E16" s="13">
        <v>0.77289870759582702</v>
      </c>
      <c r="F16" s="13">
        <v>0.28983701534843515</v>
      </c>
      <c r="G16" s="13">
        <v>0</v>
      </c>
      <c r="H16" s="13">
        <v>0</v>
      </c>
      <c r="I16" s="13">
        <v>0</v>
      </c>
    </row>
    <row r="17" spans="1:9" x14ac:dyDescent="0.3">
      <c r="A17" s="13">
        <v>0.13941430350780637</v>
      </c>
      <c r="B17" s="13">
        <v>17.287373634967988</v>
      </c>
      <c r="C17" s="13">
        <v>13.941430350780639</v>
      </c>
      <c r="D17" s="13">
        <v>8.9225154244996077</v>
      </c>
      <c r="E17" s="13">
        <v>1.115314428062451</v>
      </c>
      <c r="F17" s="13">
        <v>0.41824291052341911</v>
      </c>
      <c r="G17" s="13">
        <v>0</v>
      </c>
      <c r="H17" s="13">
        <v>0</v>
      </c>
      <c r="I17" s="13">
        <v>0</v>
      </c>
    </row>
    <row r="18" spans="1:9" x14ac:dyDescent="0.3">
      <c r="A18" s="13">
        <v>0.31426666362724537</v>
      </c>
      <c r="B18" s="13">
        <v>38.969066289778425</v>
      </c>
      <c r="C18" s="13">
        <v>31.426666362724536</v>
      </c>
      <c r="D18" s="13">
        <v>20.113066472143704</v>
      </c>
      <c r="E18" s="13">
        <v>2.5141333090179629</v>
      </c>
      <c r="F18" s="13">
        <v>0.94279999088173616</v>
      </c>
      <c r="G18" s="13">
        <v>0</v>
      </c>
      <c r="H18" s="13">
        <v>0</v>
      </c>
      <c r="I18" s="13">
        <v>0</v>
      </c>
    </row>
    <row r="19" spans="1:9" x14ac:dyDescent="0.3">
      <c r="A19" s="13">
        <v>0.29282064770304378</v>
      </c>
      <c r="B19" s="13">
        <v>36.309760315177428</v>
      </c>
      <c r="C19" s="13">
        <v>29.28206477030438</v>
      </c>
      <c r="D19" s="13">
        <v>18.740521452994802</v>
      </c>
      <c r="E19" s="13">
        <v>2.3425651816243502</v>
      </c>
      <c r="F19" s="13">
        <v>0.87846194310913139</v>
      </c>
      <c r="G19" s="13">
        <v>0</v>
      </c>
      <c r="H19" s="13">
        <v>0</v>
      </c>
      <c r="I19" s="13">
        <v>0</v>
      </c>
    </row>
    <row r="20" spans="1:9" x14ac:dyDescent="0.3">
      <c r="A20" s="13">
        <v>0.74198858012522706</v>
      </c>
      <c r="B20" s="13">
        <v>92.00658393552817</v>
      </c>
      <c r="C20" s="13">
        <v>74.198858012522706</v>
      </c>
      <c r="D20" s="13">
        <v>47.487269128014532</v>
      </c>
      <c r="E20" s="13">
        <v>5.9359086410018165</v>
      </c>
      <c r="F20" s="13">
        <v>2.2259657403756812</v>
      </c>
      <c r="G20" s="13">
        <v>0</v>
      </c>
      <c r="H20" s="13">
        <v>0</v>
      </c>
      <c r="I20" s="13">
        <v>0</v>
      </c>
    </row>
    <row r="21" spans="1:9" x14ac:dyDescent="0.3">
      <c r="A21" s="13">
        <v>1.0052754331408265</v>
      </c>
      <c r="B21" s="13">
        <v>124.65415370946248</v>
      </c>
      <c r="C21" s="13">
        <v>100.52754331408265</v>
      </c>
      <c r="D21" s="13">
        <v>64.337627721012893</v>
      </c>
      <c r="E21" s="13">
        <v>8.0422034651266117</v>
      </c>
      <c r="F21" s="13">
        <v>3.0158262994224794</v>
      </c>
      <c r="G21" s="13">
        <v>0</v>
      </c>
      <c r="H21" s="13">
        <v>0</v>
      </c>
      <c r="I21" s="13">
        <v>0</v>
      </c>
    </row>
    <row r="22" spans="1:9" x14ac:dyDescent="0.3">
      <c r="A22" s="13">
        <v>9.9228652801258406</v>
      </c>
      <c r="B22" s="13">
        <v>56.61870189248274</v>
      </c>
      <c r="C22" s="13">
        <v>147.09188532892421</v>
      </c>
      <c r="D22" s="13">
        <v>75.297036537425498</v>
      </c>
      <c r="E22" s="13">
        <v>10.70112922366512</v>
      </c>
      <c r="F22" s="13">
        <v>3.5021877459267672</v>
      </c>
      <c r="G22" s="13">
        <v>2.3347918306178448</v>
      </c>
      <c r="H22" s="13">
        <v>0.19456598588482038</v>
      </c>
      <c r="I22" s="13">
        <v>0</v>
      </c>
    </row>
    <row r="23" spans="1:9" x14ac:dyDescent="0.3">
      <c r="A23" s="13">
        <v>0.77133806999406085</v>
      </c>
      <c r="B23" s="13">
        <v>35.695811794725152</v>
      </c>
      <c r="C23" s="13">
        <v>32.910424319746596</v>
      </c>
      <c r="D23" s="13">
        <v>49.108523789621877</v>
      </c>
      <c r="E23" s="13">
        <v>15.469613514880889</v>
      </c>
      <c r="F23" s="13">
        <v>2.485422669980863</v>
      </c>
      <c r="G23" s="13">
        <v>0.55707749499571069</v>
      </c>
      <c r="H23" s="13">
        <v>0.12855634499901014</v>
      </c>
      <c r="I23" s="13">
        <v>0</v>
      </c>
    </row>
    <row r="24" spans="1:9" x14ac:dyDescent="0.3">
      <c r="A24" s="13">
        <v>17.768436397893851</v>
      </c>
      <c r="B24" s="13">
        <v>96.952087593095101</v>
      </c>
      <c r="C24" s="13">
        <v>55.09845415126717</v>
      </c>
      <c r="D24" s="13">
        <v>31.950582880616466</v>
      </c>
      <c r="E24" s="13">
        <v>20.539660423253441</v>
      </c>
      <c r="F24" s="13">
        <v>5.1349151058133602</v>
      </c>
      <c r="G24" s="13">
        <v>0.48903953388698673</v>
      </c>
      <c r="H24" s="13">
        <v>8.1506588981164446E-2</v>
      </c>
      <c r="I24" s="13">
        <v>4.0753294490582223E-2</v>
      </c>
    </row>
    <row r="25" spans="1:9" x14ac:dyDescent="0.3">
      <c r="A25" s="13">
        <v>2.2981556399710459</v>
      </c>
      <c r="B25" s="13">
        <v>208.55762432737245</v>
      </c>
      <c r="C25" s="13">
        <v>79.937513676992879</v>
      </c>
      <c r="D25" s="13">
        <v>48.06975546939438</v>
      </c>
      <c r="E25" s="13">
        <v>33.055138621583545</v>
      </c>
      <c r="F25" s="13">
        <v>20.070559255747135</v>
      </c>
      <c r="G25" s="13">
        <v>5.0176398139367837</v>
      </c>
      <c r="H25" s="13">
        <v>0.6511440979917964</v>
      </c>
      <c r="I25" s="13">
        <v>3.830259399951743E-2</v>
      </c>
    </row>
    <row r="26" spans="1:9" x14ac:dyDescent="0.3">
      <c r="A26" s="13">
        <v>0.83876665770039704</v>
      </c>
      <c r="B26" s="13">
        <v>36.508422416748857</v>
      </c>
      <c r="C26" s="13">
        <v>214.59182753061208</v>
      </c>
      <c r="D26" s="13">
        <v>100.34297962910539</v>
      </c>
      <c r="E26" s="13">
        <v>61.892150215576656</v>
      </c>
      <c r="F26" s="13">
        <v>36.773296098127929</v>
      </c>
      <c r="G26" s="13">
        <v>12.537354251942775</v>
      </c>
      <c r="H26" s="13">
        <v>1.9424069967798665</v>
      </c>
      <c r="I26" s="13">
        <v>4.4145613563178789E-2</v>
      </c>
    </row>
    <row r="27" spans="1:9" x14ac:dyDescent="0.3">
      <c r="A27" s="13">
        <v>2.2271270037750281</v>
      </c>
      <c r="B27" s="13">
        <v>51.16372846510199</v>
      </c>
      <c r="C27" s="13">
        <v>129.77529243618812</v>
      </c>
      <c r="D27" s="13">
        <v>160.11237378490742</v>
      </c>
      <c r="E27" s="13">
        <v>53.992781686113517</v>
      </c>
      <c r="F27" s="13">
        <v>20.766454494659044</v>
      </c>
      <c r="G27" s="13">
        <v>7.8852334457980726</v>
      </c>
      <c r="H27" s="13">
        <v>1.4446229213675859</v>
      </c>
      <c r="I27" s="13">
        <v>0.24077048689459762</v>
      </c>
    </row>
    <row r="28" spans="1:9" x14ac:dyDescent="0.3">
      <c r="A28" s="13">
        <v>3.2110459925819321</v>
      </c>
      <c r="B28" s="13">
        <v>153.12102176054984</v>
      </c>
      <c r="C28" s="13">
        <v>72.110918576268531</v>
      </c>
      <c r="D28" s="13">
        <v>63.486966481905633</v>
      </c>
      <c r="E28" s="13">
        <v>77.936673448524331</v>
      </c>
      <c r="F28" s="13">
        <v>19.49563638353316</v>
      </c>
      <c r="G28" s="13">
        <v>6.2386036427306113</v>
      </c>
      <c r="H28" s="13">
        <v>1.0091858833828928</v>
      </c>
      <c r="I28" s="13">
        <v>0.50459294169144642</v>
      </c>
    </row>
    <row r="29" spans="1:9" x14ac:dyDescent="0.3">
      <c r="A29" s="13">
        <v>3.6131163615453161</v>
      </c>
      <c r="B29" s="13">
        <v>64.674782871661165</v>
      </c>
      <c r="C29" s="13">
        <v>254.6042662768933</v>
      </c>
      <c r="D29" s="13">
        <v>85.028671708366446</v>
      </c>
      <c r="E29" s="13">
        <v>67.083527112691371</v>
      </c>
      <c r="F29" s="13">
        <v>49.861005789325361</v>
      </c>
      <c r="G29" s="13">
        <v>8.5510420556572484</v>
      </c>
      <c r="H29" s="13">
        <v>2.6496186651332319</v>
      </c>
      <c r="I29" s="13">
        <v>0.60218606025755272</v>
      </c>
    </row>
    <row r="30" spans="1:9" x14ac:dyDescent="0.3">
      <c r="A30" s="13">
        <v>13.427997355742368</v>
      </c>
      <c r="B30" s="13">
        <v>205.63572694782209</v>
      </c>
      <c r="C30" s="13">
        <v>73.697845952446485</v>
      </c>
      <c r="D30" s="13">
        <v>136.46592661533523</v>
      </c>
      <c r="E30" s="13">
        <v>49.96464132369254</v>
      </c>
      <c r="F30" s="13">
        <v>38.566457521725177</v>
      </c>
      <c r="G30" s="13">
        <v>18.268321983975085</v>
      </c>
      <c r="H30" s="13">
        <v>2.6543715703211657</v>
      </c>
      <c r="I30" s="13">
        <v>0.62455801654615672</v>
      </c>
    </row>
    <row r="31" spans="1:9" x14ac:dyDescent="0.3">
      <c r="A31" s="13">
        <v>14.228761699778811</v>
      </c>
      <c r="B31" s="13">
        <v>146.41189575134717</v>
      </c>
      <c r="C31" s="13">
        <v>127.02778560961953</v>
      </c>
      <c r="D31" s="13">
        <v>48.975810198514026</v>
      </c>
      <c r="E31" s="13">
        <v>63.307678867131813</v>
      </c>
      <c r="F31" s="13">
        <v>29.282379150269438</v>
      </c>
      <c r="G31" s="13">
        <v>11.754194447643366</v>
      </c>
      <c r="H31" s="13">
        <v>2.1652463456185149</v>
      </c>
      <c r="I31" s="13">
        <v>0</v>
      </c>
    </row>
    <row r="32" spans="1:9" x14ac:dyDescent="0.3">
      <c r="A32" s="13">
        <v>7.6277336563667033</v>
      </c>
      <c r="B32" s="13">
        <v>57.923102453034645</v>
      </c>
      <c r="C32" s="13">
        <v>71.700696369847009</v>
      </c>
      <c r="D32" s="13">
        <v>80.567936745373302</v>
      </c>
      <c r="E32" s="13">
        <v>17.925174092461752</v>
      </c>
      <c r="F32" s="13">
        <v>33.371334746604326</v>
      </c>
      <c r="G32" s="13">
        <v>7.9614470038327454</v>
      </c>
      <c r="H32" s="13">
        <v>3.861540163535643</v>
      </c>
      <c r="I32" s="13">
        <v>0.76277336563667031</v>
      </c>
    </row>
    <row r="33" spans="1:9" x14ac:dyDescent="0.3">
      <c r="A33" s="13">
        <v>4.5552491340019881</v>
      </c>
      <c r="B33" s="13">
        <v>24.463374978899569</v>
      </c>
      <c r="C33" s="13">
        <v>26.386702391033744</v>
      </c>
      <c r="D33" s="13">
        <v>28.27628721699012</v>
      </c>
      <c r="E33" s="13">
        <v>27.736405838145441</v>
      </c>
      <c r="F33" s="13">
        <v>6.0399229258248592</v>
      </c>
      <c r="G33" s="13">
        <v>7.7270522347144839</v>
      </c>
      <c r="H33" s="13">
        <v>1.2147331024005303</v>
      </c>
      <c r="I33" s="13">
        <v>1.0122775853337751</v>
      </c>
    </row>
    <row r="34" spans="1:9" x14ac:dyDescent="0.3">
      <c r="A34" s="13">
        <v>43.934480589759957</v>
      </c>
      <c r="B34" s="13">
        <v>63.334762468159568</v>
      </c>
      <c r="C34" s="13">
        <v>23.448177842849411</v>
      </c>
      <c r="D34" s="13">
        <v>19.499011048264251</v>
      </c>
      <c r="E34" s="13">
        <v>25.225302900412736</v>
      </c>
      <c r="F34" s="13">
        <v>18.956000614008786</v>
      </c>
      <c r="G34" s="13">
        <v>3.3074271904650749</v>
      </c>
      <c r="H34" s="13">
        <v>2.6163230014126713</v>
      </c>
      <c r="I34" s="13">
        <v>0.49364584932314554</v>
      </c>
    </row>
    <row r="35" spans="1:9" x14ac:dyDescent="0.3">
      <c r="A35" s="13">
        <v>63.819079213065109</v>
      </c>
      <c r="B35" s="13">
        <v>143.65649304932984</v>
      </c>
      <c r="C35" s="13">
        <v>37.799879587021302</v>
      </c>
      <c r="D35" s="13">
        <v>9.6618526298664307</v>
      </c>
      <c r="E35" s="13">
        <v>7.0345067392887168</v>
      </c>
      <c r="F35" s="13">
        <v>8.3905562311997954</v>
      </c>
      <c r="G35" s="13">
        <v>4.4919139419554464</v>
      </c>
      <c r="H35" s="13">
        <v>0.33901237297776948</v>
      </c>
      <c r="I35" s="13">
        <v>0.59327165271109661</v>
      </c>
    </row>
    <row r="36" spans="1:9" x14ac:dyDescent="0.3">
      <c r="A36" s="13">
        <v>12.305823730924947</v>
      </c>
      <c r="B36" s="13">
        <v>164.12990377424737</v>
      </c>
      <c r="C36" s="13">
        <v>96.643825861340488</v>
      </c>
      <c r="D36" s="13">
        <v>26.963078748013896</v>
      </c>
      <c r="E36" s="13">
        <v>10.189535573377345</v>
      </c>
      <c r="F36" s="13">
        <v>7.2894369871084068</v>
      </c>
      <c r="G36" s="13">
        <v>5.721816129665739</v>
      </c>
      <c r="H36" s="13">
        <v>1.8811450289312019</v>
      </c>
      <c r="I36" s="13">
        <v>0.23514312861640024</v>
      </c>
    </row>
    <row r="37" spans="1:9" x14ac:dyDescent="0.3">
      <c r="A37" s="13">
        <v>17.719954546913051</v>
      </c>
      <c r="B37" s="13">
        <v>18.955688219263568</v>
      </c>
      <c r="C37" s="13">
        <v>41.012368484236923</v>
      </c>
      <c r="D37" s="13">
        <v>31.499550780104645</v>
      </c>
      <c r="E37" s="13">
        <v>8.7667143547885615</v>
      </c>
      <c r="F37" s="13">
        <v>3.0776763160427927</v>
      </c>
      <c r="G37" s="13">
        <v>1.8885741030262593</v>
      </c>
      <c r="H37" s="13">
        <v>1.3056808613514881</v>
      </c>
      <c r="I37" s="13">
        <v>0.46631459333981712</v>
      </c>
    </row>
    <row r="38" spans="1:9" x14ac:dyDescent="0.3">
      <c r="A38" s="13">
        <v>8.755415120852323</v>
      </c>
      <c r="B38" s="13">
        <v>209.71740407277161</v>
      </c>
      <c r="C38" s="13">
        <v>27.778961064065488</v>
      </c>
      <c r="D38" s="13">
        <v>59.775190144457746</v>
      </c>
      <c r="E38" s="13">
        <v>40.476604982788487</v>
      </c>
      <c r="F38" s="13">
        <v>12.514284439752274</v>
      </c>
      <c r="G38" s="13">
        <v>3.2087908819877629</v>
      </c>
      <c r="H38" s="13">
        <v>1.7877549199646106</v>
      </c>
      <c r="I38" s="13">
        <v>0.82511765536828174</v>
      </c>
    </row>
    <row r="39" spans="1:9" x14ac:dyDescent="0.3">
      <c r="A39" s="13">
        <v>8.7751007202889344</v>
      </c>
      <c r="B39" s="13">
        <v>54.333500350282172</v>
      </c>
      <c r="C39" s="13">
        <v>221.78165519086414</v>
      </c>
      <c r="D39" s="13">
        <v>25.123233569046402</v>
      </c>
      <c r="E39" s="13">
        <v>34.859989162791656</v>
      </c>
      <c r="F39" s="13">
        <v>17.73051172935093</v>
      </c>
      <c r="G39" s="13">
        <v>2.7046543315959042</v>
      </c>
      <c r="H39" s="13">
        <v>0.8414480142742814</v>
      </c>
      <c r="I39" s="13">
        <v>0.1202068591820402</v>
      </c>
    </row>
    <row r="40" spans="1:9" x14ac:dyDescent="0.3">
      <c r="A40" s="13">
        <v>1.509743039496376</v>
      </c>
      <c r="B40" s="13">
        <v>85.186107258856126</v>
      </c>
      <c r="C40" s="13">
        <v>40.442813542872621</v>
      </c>
      <c r="D40" s="13">
        <v>161.95425332779305</v>
      </c>
      <c r="E40" s="13">
        <v>15.73792744202283</v>
      </c>
      <c r="F40" s="13">
        <v>20.678904662192785</v>
      </c>
      <c r="G40" s="13">
        <v>6.221971314288095</v>
      </c>
      <c r="H40" s="13">
        <v>0.86924599243730738</v>
      </c>
      <c r="I40" s="13">
        <v>0.27449873445388656</v>
      </c>
    </row>
    <row r="41" spans="1:9" x14ac:dyDescent="0.3">
      <c r="A41" s="13">
        <v>14.196710356927342</v>
      </c>
      <c r="B41" s="13">
        <v>46.124581782050242</v>
      </c>
      <c r="C41" s="13">
        <v>46.183489293904707</v>
      </c>
      <c r="D41" s="13">
        <v>24.181533616260054</v>
      </c>
      <c r="E41" s="13">
        <v>77.846276915682495</v>
      </c>
      <c r="F41" s="13">
        <v>7.3045314699543171</v>
      </c>
      <c r="G41" s="13">
        <v>8.2175979036986053</v>
      </c>
      <c r="H41" s="13">
        <v>1.4726877963617575</v>
      </c>
      <c r="I41" s="13">
        <v>8.836126778170543E-2</v>
      </c>
    </row>
    <row r="42" spans="1:9" x14ac:dyDescent="0.3">
      <c r="A42" s="13">
        <v>4.7766022735197708</v>
      </c>
      <c r="B42" s="13">
        <v>142.55941836948185</v>
      </c>
      <c r="C42" s="13">
        <v>34.716542297231328</v>
      </c>
      <c r="D42" s="13">
        <v>47.962996024827397</v>
      </c>
      <c r="E42" s="13">
        <v>21.519331892042679</v>
      </c>
      <c r="F42" s="13">
        <v>58.254850407978239</v>
      </c>
      <c r="G42" s="13">
        <v>6.9925517818536855</v>
      </c>
      <c r="H42" s="13">
        <v>4.284169049445568</v>
      </c>
      <c r="I42" s="13">
        <v>0.73864983611130486</v>
      </c>
    </row>
    <row r="43" spans="1:9" x14ac:dyDescent="0.3">
      <c r="A43" s="13">
        <v>11.502044789263177</v>
      </c>
      <c r="B43" s="13">
        <v>82.126749710252966</v>
      </c>
      <c r="C43" s="13">
        <v>121.20145327003955</v>
      </c>
      <c r="D43" s="13">
        <v>20.424191681869193</v>
      </c>
      <c r="E43" s="13">
        <v>22.359115104362065</v>
      </c>
      <c r="F43" s="13">
        <v>12.147019263427469</v>
      </c>
      <c r="G43" s="13">
        <v>22.735350214291234</v>
      </c>
      <c r="H43" s="13">
        <v>2.7411415151982337</v>
      </c>
      <c r="I43" s="13">
        <v>1.6661840582577501</v>
      </c>
    </row>
    <row r="44" spans="1:9" x14ac:dyDescent="0.3">
      <c r="A44" s="13">
        <v>5.4729292035555472</v>
      </c>
      <c r="B44" s="13">
        <v>41.749776875210621</v>
      </c>
      <c r="C44" s="13">
        <v>49.28626954895924</v>
      </c>
      <c r="D44" s="13">
        <v>65.854590744422481</v>
      </c>
      <c r="E44" s="13">
        <v>15.671119686683642</v>
      </c>
      <c r="F44" s="13">
        <v>9.5103359930637374</v>
      </c>
      <c r="G44" s="13">
        <v>9.9888434644128541</v>
      </c>
      <c r="H44" s="13">
        <v>2.930858262013353</v>
      </c>
      <c r="I44" s="13">
        <v>0.44860075438979891</v>
      </c>
    </row>
    <row r="45" spans="1:9" x14ac:dyDescent="0.3">
      <c r="A45" s="13">
        <v>1.5530736795431577</v>
      </c>
      <c r="B45" s="13">
        <v>25.082139924621995</v>
      </c>
      <c r="C45" s="13">
        <v>46.592210386294731</v>
      </c>
      <c r="D45" s="13">
        <v>39.719859354316263</v>
      </c>
      <c r="E45" s="13">
        <v>49.581877219415311</v>
      </c>
      <c r="F45" s="13">
        <v>12.968165224185366</v>
      </c>
      <c r="G45" s="13">
        <v>8.5419052374873683</v>
      </c>
      <c r="H45" s="13">
        <v>6.0181605082297356</v>
      </c>
      <c r="I45" s="13">
        <v>1.358939469600263</v>
      </c>
    </row>
    <row r="46" spans="1:9" x14ac:dyDescent="0.3">
      <c r="A46" s="13">
        <v>42.853667545340457</v>
      </c>
      <c r="B46" s="13">
        <v>58.704177377173167</v>
      </c>
      <c r="C46" s="13">
        <v>34.641957632463281</v>
      </c>
      <c r="D46" s="13">
        <v>53.929927427825966</v>
      </c>
      <c r="E46" s="13">
        <v>35.444031623953606</v>
      </c>
      <c r="F46" s="13">
        <v>36.475269613012607</v>
      </c>
      <c r="G46" s="13">
        <v>7.7533819177398513</v>
      </c>
      <c r="H46" s="13">
        <v>3.2082959659613182</v>
      </c>
      <c r="I46" s="13">
        <v>2.2916399756866559</v>
      </c>
    </row>
    <row r="47" spans="1:9" x14ac:dyDescent="0.3">
      <c r="A47" s="13">
        <v>10.595238983486871</v>
      </c>
      <c r="B47" s="13">
        <v>299.31550128350409</v>
      </c>
      <c r="C47" s="13">
        <v>35.170307181296693</v>
      </c>
      <c r="D47" s="13">
        <v>19.71891699704501</v>
      </c>
      <c r="E47" s="13">
        <v>29.063329156092458</v>
      </c>
      <c r="F47" s="13">
        <v>21.558368209455924</v>
      </c>
      <c r="G47" s="13">
        <v>14.494875553798011</v>
      </c>
      <c r="H47" s="13">
        <v>2.354497551885971</v>
      </c>
      <c r="I47" s="13">
        <v>1.471560969928732</v>
      </c>
    </row>
    <row r="48" spans="1:9" x14ac:dyDescent="0.3">
      <c r="A48" s="13">
        <v>7.5352470516738537</v>
      </c>
      <c r="B48" s="13">
        <v>73.072899980097702</v>
      </c>
      <c r="C48" s="13">
        <v>221.56159188072951</v>
      </c>
      <c r="D48" s="13">
        <v>27.544810651076688</v>
      </c>
      <c r="E48" s="13">
        <v>14.94385129575655</v>
      </c>
      <c r="F48" s="13">
        <v>22.352455539839248</v>
      </c>
      <c r="G48" s="13">
        <v>13.234173393275928</v>
      </c>
      <c r="H48" s="13">
        <v>6.9653544175136455</v>
      </c>
      <c r="I48" s="13">
        <v>2.3428919404364081</v>
      </c>
    </row>
    <row r="49" spans="1:9" x14ac:dyDescent="0.3">
      <c r="A49" s="13">
        <v>2.4461334630023601</v>
      </c>
      <c r="B49" s="13">
        <v>33.861476080704101</v>
      </c>
      <c r="C49" s="13">
        <v>40.186478320753061</v>
      </c>
      <c r="D49" s="13">
        <v>75.760247825558807</v>
      </c>
      <c r="E49" s="13">
        <v>16.91326565847346</v>
      </c>
      <c r="F49" s="13">
        <v>5.4513831461195457</v>
      </c>
      <c r="G49" s="13">
        <v>3.2848077931745983</v>
      </c>
      <c r="H49" s="13">
        <v>1.5026248415585928</v>
      </c>
      <c r="I49" s="13">
        <v>0.59406098387200179</v>
      </c>
    </row>
    <row r="50" spans="1:9" x14ac:dyDescent="0.3">
      <c r="A50" s="13">
        <v>5.5296295927920216</v>
      </c>
      <c r="B50" s="13">
        <v>22.237862894753523</v>
      </c>
      <c r="C50" s="13">
        <v>19.413375836564793</v>
      </c>
      <c r="D50" s="13">
        <v>20.248787501662868</v>
      </c>
      <c r="E50" s="13">
        <v>32.143458352344986</v>
      </c>
      <c r="F50" s="13">
        <v>4.2964028490758146</v>
      </c>
      <c r="G50" s="13">
        <v>1.5116972987488979</v>
      </c>
      <c r="H50" s="13">
        <v>0.87519317295988819</v>
      </c>
      <c r="I50" s="13">
        <v>0.23868904717087858</v>
      </c>
    </row>
    <row r="51" spans="1:9" x14ac:dyDescent="0.3">
      <c r="A51" s="13">
        <v>8.9353956013167455</v>
      </c>
      <c r="B51" s="13">
        <v>58.161302277661726</v>
      </c>
      <c r="C51" s="13">
        <v>25.723108549245179</v>
      </c>
      <c r="D51" s="13">
        <v>10.668320808844843</v>
      </c>
      <c r="E51" s="13">
        <v>9.639396466875036</v>
      </c>
      <c r="F51" s="13">
        <v>12.022168627226169</v>
      </c>
      <c r="G51" s="13">
        <v>1.6787712947928433</v>
      </c>
      <c r="H51" s="13">
        <v>0.27076956367626503</v>
      </c>
      <c r="I51" s="13">
        <v>0.27076956367626503</v>
      </c>
    </row>
    <row r="52" spans="1:9" x14ac:dyDescent="0.3">
      <c r="A52" s="13">
        <v>14.038846937076711</v>
      </c>
      <c r="B52" s="13">
        <v>101.55274605026688</v>
      </c>
      <c r="C52" s="13">
        <v>45.435507342549904</v>
      </c>
      <c r="D52" s="13">
        <v>20.028246309688246</v>
      </c>
      <c r="E52" s="13">
        <v>8.4690870109538867</v>
      </c>
      <c r="F52" s="13">
        <v>10.185793837498593</v>
      </c>
      <c r="G52" s="13">
        <v>9.5754091880604744</v>
      </c>
      <c r="H52" s="13">
        <v>1.0300240959268241</v>
      </c>
      <c r="I52" s="13">
        <v>0.11444712176964711</v>
      </c>
    </row>
    <row r="53" spans="1:9" x14ac:dyDescent="0.3">
      <c r="A53" s="13">
        <v>4.6786235671859693</v>
      </c>
      <c r="B53" s="13">
        <v>107.51087072096091</v>
      </c>
      <c r="C53" s="13">
        <v>104.34305268067875</v>
      </c>
      <c r="D53" s="13">
        <v>44.251981239633963</v>
      </c>
      <c r="E53" s="13">
        <v>13.499778417817849</v>
      </c>
      <c r="F53" s="13">
        <v>6.7742570399880186</v>
      </c>
      <c r="G53" s="13">
        <v>7.0666710129371406</v>
      </c>
      <c r="H53" s="13">
        <v>4.3862095942368464</v>
      </c>
      <c r="I53" s="13">
        <v>0.38988529726549742</v>
      </c>
    </row>
    <row r="54" spans="1:9" x14ac:dyDescent="0.3">
      <c r="A54" s="13">
        <v>10.399190324946373</v>
      </c>
      <c r="B54" s="13">
        <v>35.133837389396824</v>
      </c>
      <c r="C54" s="13">
        <v>69.921921647785197</v>
      </c>
      <c r="D54" s="13">
        <v>30.798625054444752</v>
      </c>
      <c r="E54" s="13">
        <v>11.808799243673118</v>
      </c>
      <c r="F54" s="13">
        <v>4.1490375721013653</v>
      </c>
      <c r="G54" s="13">
        <v>1.1968377611830865</v>
      </c>
      <c r="H54" s="13">
        <v>0.66490986732393687</v>
      </c>
      <c r="I54" s="13">
        <v>0.15957836815774484</v>
      </c>
    </row>
    <row r="55" spans="1:9" x14ac:dyDescent="0.3">
      <c r="A55" s="13">
        <v>3.763702898148074</v>
      </c>
      <c r="B55" s="13">
        <v>39.770593044762137</v>
      </c>
      <c r="C55" s="13">
        <v>23.804821515038455</v>
      </c>
      <c r="D55" s="13">
        <v>23.349341546472765</v>
      </c>
      <c r="E55" s="13">
        <v>9.1095993713138093</v>
      </c>
      <c r="F55" s="13">
        <v>3.1643871500353233</v>
      </c>
      <c r="G55" s="13">
        <v>0.81506941743334094</v>
      </c>
      <c r="H55" s="13">
        <v>7.1917889773530086E-2</v>
      </c>
      <c r="I55" s="13">
        <v>0.11986314962255014</v>
      </c>
    </row>
    <row r="56" spans="1:9" x14ac:dyDescent="0.3">
      <c r="A56" s="13">
        <v>5.5018113909766999</v>
      </c>
      <c r="B56" s="13">
        <v>13.596430448965407</v>
      </c>
      <c r="C56" s="13">
        <v>12.236787404068867</v>
      </c>
      <c r="D56" s="13">
        <v>2.8773841182694233</v>
      </c>
      <c r="E56" s="13">
        <v>1.9604155531066403</v>
      </c>
      <c r="F56" s="13">
        <v>0.28457645125741549</v>
      </c>
      <c r="G56" s="13">
        <v>3.1619605695268387E-2</v>
      </c>
      <c r="H56" s="13">
        <v>0</v>
      </c>
      <c r="I56" s="13">
        <v>0</v>
      </c>
    </row>
    <row r="57" spans="1:9" x14ac:dyDescent="0.3">
      <c r="A57" s="13">
        <v>0.33381389058157335</v>
      </c>
      <c r="B57" s="13">
        <v>14.449372692316677</v>
      </c>
      <c r="C57" s="13">
        <v>10.062104416101713</v>
      </c>
      <c r="D57" s="13">
        <v>3.1473881111976918</v>
      </c>
      <c r="E57" s="13">
        <v>0.5245646851996153</v>
      </c>
      <c r="F57" s="13">
        <v>0.19075079461804192</v>
      </c>
      <c r="G57" s="13">
        <v>0</v>
      </c>
      <c r="H57" s="13">
        <v>0</v>
      </c>
      <c r="I57" s="13">
        <v>0</v>
      </c>
    </row>
    <row r="58" spans="1:9" x14ac:dyDescent="0.3">
      <c r="A58" s="13">
        <v>1.7262887115335681</v>
      </c>
      <c r="B58" s="13">
        <v>8.1519189155751839</v>
      </c>
      <c r="C58" s="13">
        <v>17.870284995319714</v>
      </c>
      <c r="D58" s="13">
        <v>3.8042288272684188</v>
      </c>
      <c r="E58" s="13">
        <v>1.0229859031310033</v>
      </c>
      <c r="F58" s="13">
        <v>0.25574647578275084</v>
      </c>
      <c r="G58" s="13">
        <v>0.19180985683706314</v>
      </c>
      <c r="H58" s="13">
        <v>3.1968309472843855E-2</v>
      </c>
      <c r="I58" s="13">
        <v>3.1968309472843855E-2</v>
      </c>
    </row>
    <row r="59" spans="1:9" x14ac:dyDescent="0.3">
      <c r="A59" s="13">
        <v>3.2346819607367476</v>
      </c>
      <c r="B59" s="13">
        <v>88.512660925614639</v>
      </c>
      <c r="C59" s="13">
        <v>20.878401746573555</v>
      </c>
      <c r="D59" s="13">
        <v>16.908564794760274</v>
      </c>
      <c r="E59" s="13">
        <v>3.0141354634137874</v>
      </c>
      <c r="F59" s="13">
        <v>0.73515499107653359</v>
      </c>
      <c r="G59" s="13">
        <v>0</v>
      </c>
      <c r="H59" s="13">
        <v>0</v>
      </c>
      <c r="I59" s="13">
        <v>0</v>
      </c>
    </row>
    <row r="60" spans="1:9" x14ac:dyDescent="0.3">
      <c r="A60" s="13">
        <v>5.7463891159885137</v>
      </c>
      <c r="B60" s="13">
        <v>9.6365008490032089</v>
      </c>
      <c r="C60" s="13">
        <v>13.865584973691384</v>
      </c>
      <c r="D60" s="13">
        <v>1.6948619583673987</v>
      </c>
      <c r="E60" s="13">
        <v>1.468880363918412</v>
      </c>
      <c r="F60" s="13">
        <v>0.22598159444898647</v>
      </c>
      <c r="G60" s="13">
        <v>3.2283084921283782E-2</v>
      </c>
      <c r="H60" s="13">
        <v>0</v>
      </c>
      <c r="I60" s="13">
        <v>0</v>
      </c>
    </row>
    <row r="61" spans="1:9" x14ac:dyDescent="0.3">
      <c r="A61" s="13">
        <v>6.7286325098300406</v>
      </c>
      <c r="B61" s="13">
        <v>87.472222627790529</v>
      </c>
      <c r="C61" s="13">
        <v>29.302109317001793</v>
      </c>
      <c r="D61" s="13">
        <v>13.34873868885637</v>
      </c>
      <c r="E61" s="13">
        <v>1.3023159696445241</v>
      </c>
      <c r="F61" s="13">
        <v>0.65115798482226206</v>
      </c>
      <c r="G61" s="13">
        <v>0</v>
      </c>
      <c r="H61" s="13">
        <v>0</v>
      </c>
      <c r="I61" s="13">
        <v>0</v>
      </c>
    </row>
    <row r="62" spans="1:9" x14ac:dyDescent="0.3">
      <c r="A62" s="13">
        <v>1.2947095274883016</v>
      </c>
      <c r="B62" s="13">
        <v>11.447957927264984</v>
      </c>
      <c r="C62" s="13">
        <v>38.228002364259858</v>
      </c>
      <c r="D62" s="13">
        <v>6.3372624240216879</v>
      </c>
      <c r="E62" s="13">
        <v>3.6115581556252625</v>
      </c>
      <c r="F62" s="13">
        <v>0.40885564025946369</v>
      </c>
      <c r="G62" s="13">
        <v>0.20442782012973185</v>
      </c>
      <c r="H62" s="13">
        <v>0</v>
      </c>
      <c r="I62" s="13">
        <v>0</v>
      </c>
    </row>
    <row r="63" spans="1:9" x14ac:dyDescent="0.3">
      <c r="A63" s="13">
        <v>4.3035491934502357</v>
      </c>
      <c r="B63" s="13">
        <v>30.411747633714995</v>
      </c>
      <c r="C63" s="13">
        <v>18.935616451181033</v>
      </c>
      <c r="D63" s="13">
        <v>59.962785428739949</v>
      </c>
      <c r="E63" s="13">
        <v>6.3118721503936781</v>
      </c>
      <c r="F63" s="13">
        <v>5.7380655912669809</v>
      </c>
      <c r="G63" s="13">
        <v>0.57380655912669798</v>
      </c>
      <c r="H63" s="13">
        <v>0</v>
      </c>
      <c r="I63" s="13">
        <v>0</v>
      </c>
    </row>
    <row r="64" spans="1:9" x14ac:dyDescent="0.3">
      <c r="A64" s="13">
        <v>4.6502394020787108</v>
      </c>
      <c r="B64" s="13">
        <v>121.48750437930632</v>
      </c>
      <c r="C64" s="13">
        <v>23.832476935653396</v>
      </c>
      <c r="D64" s="13">
        <v>4.6502394020787108</v>
      </c>
      <c r="E64" s="13">
        <v>5.2315193273385496</v>
      </c>
      <c r="F64" s="13">
        <v>1.1625598505196777</v>
      </c>
      <c r="G64" s="13">
        <v>0</v>
      </c>
      <c r="H64" s="13">
        <v>0.58127992525983885</v>
      </c>
      <c r="I64" s="13">
        <v>0</v>
      </c>
    </row>
    <row r="65" spans="1:9" x14ac:dyDescent="0.3">
      <c r="A65" s="13">
        <v>19.398081737346914</v>
      </c>
      <c r="B65" s="13">
        <v>32.896286079924721</v>
      </c>
      <c r="C65" s="13">
        <v>69.815215838101096</v>
      </c>
      <c r="D65" s="13">
        <v>9.3861685825872154</v>
      </c>
      <c r="E65" s="13">
        <v>2.4135862069509981</v>
      </c>
      <c r="F65" s="13">
        <v>3.8438595147738122</v>
      </c>
      <c r="G65" s="13">
        <v>0.53635249043355526</v>
      </c>
      <c r="H65" s="13">
        <v>0</v>
      </c>
      <c r="I65" s="13">
        <v>8.9392081738925863E-2</v>
      </c>
    </row>
    <row r="66" spans="1:9" x14ac:dyDescent="0.3">
      <c r="A66" s="13">
        <v>10.155305120089645</v>
      </c>
      <c r="B66" s="13">
        <v>166.45869696842593</v>
      </c>
      <c r="C66" s="13">
        <v>43.049663009075672</v>
      </c>
      <c r="D66" s="13">
        <v>31.790520375932804</v>
      </c>
      <c r="E66" s="13">
        <v>3.5322800417703113</v>
      </c>
      <c r="F66" s="13">
        <v>0.66230250783193334</v>
      </c>
      <c r="G66" s="13">
        <v>1.1038375130532223</v>
      </c>
      <c r="H66" s="13">
        <v>0.22076750261064446</v>
      </c>
      <c r="I66" s="13">
        <v>0</v>
      </c>
    </row>
    <row r="67" spans="1:9" x14ac:dyDescent="0.3">
      <c r="A67" s="13">
        <v>4.3954146007932167</v>
      </c>
      <c r="B67" s="13">
        <v>13.186243802379648</v>
      </c>
      <c r="C67" s="13">
        <v>114.44357275398633</v>
      </c>
      <c r="D67" s="13">
        <v>22.791038670779642</v>
      </c>
      <c r="E67" s="13">
        <v>14.163002602555919</v>
      </c>
      <c r="F67" s="13">
        <v>2.7674832671660989</v>
      </c>
      <c r="G67" s="13">
        <v>0.32558626672542346</v>
      </c>
      <c r="H67" s="13">
        <v>0.32558626672542346</v>
      </c>
      <c r="I67" s="13">
        <v>0</v>
      </c>
    </row>
    <row r="68" spans="1:9" x14ac:dyDescent="0.3">
      <c r="A68" s="13">
        <v>13.771893084825763</v>
      </c>
      <c r="B68" s="13">
        <v>34.335404677236831</v>
      </c>
      <c r="C68" s="13">
        <v>28.109754378616966</v>
      </c>
      <c r="D68" s="13">
        <v>146.20845398273926</v>
      </c>
      <c r="E68" s="13">
        <v>24.902601194479459</v>
      </c>
      <c r="F68" s="13">
        <v>9.055491343447077</v>
      </c>
      <c r="G68" s="13">
        <v>1.320592487586032</v>
      </c>
      <c r="H68" s="13">
        <v>0.56596820896544231</v>
      </c>
      <c r="I68" s="13">
        <v>0</v>
      </c>
    </row>
    <row r="69" spans="1:9" x14ac:dyDescent="0.3">
      <c r="A69" s="13">
        <v>9.5606719355261287</v>
      </c>
      <c r="B69" s="13">
        <v>87.26010099884958</v>
      </c>
      <c r="C69" s="13">
        <v>16.844993410212702</v>
      </c>
      <c r="D69" s="13">
        <v>8.4983750538010039</v>
      </c>
      <c r="E69" s="13">
        <v>40.215524808165462</v>
      </c>
      <c r="F69" s="13">
        <v>6.9808080799079661</v>
      </c>
      <c r="G69" s="13">
        <v>3.1868906451753762</v>
      </c>
      <c r="H69" s="13">
        <v>0.45527009216791092</v>
      </c>
      <c r="I69" s="13">
        <v>0</v>
      </c>
    </row>
    <row r="70" spans="1:9" x14ac:dyDescent="0.3">
      <c r="A70" s="13">
        <v>36.018345976879331</v>
      </c>
      <c r="B70" s="13">
        <v>54.943239625748134</v>
      </c>
      <c r="C70" s="13">
        <v>69.187783232423584</v>
      </c>
      <c r="D70" s="13">
        <v>9.3607000843867194</v>
      </c>
      <c r="E70" s="13">
        <v>4.8838435222887231</v>
      </c>
      <c r="F70" s="13">
        <v>19.942361049345617</v>
      </c>
      <c r="G70" s="13">
        <v>4.4768565620979954</v>
      </c>
      <c r="H70" s="13">
        <v>0.81397392038145389</v>
      </c>
      <c r="I70" s="13">
        <v>0</v>
      </c>
    </row>
    <row r="71" spans="1:9" x14ac:dyDescent="0.3">
      <c r="A71" s="13">
        <v>64.080690042387275</v>
      </c>
      <c r="B71" s="13">
        <v>197.31059928305683</v>
      </c>
      <c r="C71" s="13">
        <v>50.323253762100734</v>
      </c>
      <c r="D71" s="13">
        <v>43.806573418807112</v>
      </c>
      <c r="E71" s="13">
        <v>5.0685291558950381</v>
      </c>
      <c r="F71" s="13">
        <v>3.2583401716468101</v>
      </c>
      <c r="G71" s="13">
        <v>4.7064913590453923</v>
      </c>
      <c r="H71" s="13">
        <v>1.0861133905489366</v>
      </c>
      <c r="I71" s="13">
        <v>0.72407559369929109</v>
      </c>
    </row>
    <row r="72" spans="1:9" x14ac:dyDescent="0.3">
      <c r="A72" s="13">
        <v>18.168555052254973</v>
      </c>
      <c r="B72" s="13">
        <v>72.355473629155767</v>
      </c>
      <c r="C72" s="13">
        <v>108.05509057393748</v>
      </c>
      <c r="D72" s="13">
        <v>21.993514010624445</v>
      </c>
      <c r="E72" s="13">
        <v>23.905993489809177</v>
      </c>
      <c r="F72" s="13">
        <v>1.2749863194564894</v>
      </c>
      <c r="G72" s="13">
        <v>0.31874657986412236</v>
      </c>
      <c r="H72" s="13">
        <v>1.2749863194564894</v>
      </c>
      <c r="I72" s="13">
        <v>0.31874657986412236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2"/>
  <sheetViews>
    <sheetView workbookViewId="0">
      <selection activeCell="E24" sqref="E24"/>
    </sheetView>
  </sheetViews>
  <sheetFormatPr defaultRowHeight="14.4" x14ac:dyDescent="0.3"/>
  <sheetData>
    <row r="1" spans="1:1" x14ac:dyDescent="0.3">
      <c r="A1" s="10">
        <v>5.8337401701731801</v>
      </c>
    </row>
    <row r="2" spans="1:1" x14ac:dyDescent="0.3">
      <c r="A2" s="10">
        <v>5.7125182282236509</v>
      </c>
    </row>
    <row r="3" spans="1:1" x14ac:dyDescent="0.3">
      <c r="A3" s="10">
        <v>5.5912962862741216</v>
      </c>
    </row>
    <row r="4" spans="1:1" x14ac:dyDescent="0.3">
      <c r="A4" s="10">
        <v>5.4700743443245905</v>
      </c>
    </row>
    <row r="5" spans="1:1" x14ac:dyDescent="0.3">
      <c r="A5" s="10">
        <v>5.3488524023750621</v>
      </c>
    </row>
    <row r="6" spans="1:1" x14ac:dyDescent="0.3">
      <c r="A6" s="10">
        <v>5.3488524023750621</v>
      </c>
    </row>
    <row r="7" spans="1:1" x14ac:dyDescent="0.3">
      <c r="A7" s="10">
        <v>4.0933603166749135</v>
      </c>
    </row>
    <row r="8" spans="1:1" x14ac:dyDescent="0.3">
      <c r="A8" s="10">
        <v>2.923828797624938</v>
      </c>
    </row>
    <row r="9" spans="1:1" x14ac:dyDescent="0.3">
      <c r="A9" s="10">
        <v>2.3390630380999502</v>
      </c>
    </row>
    <row r="10" spans="1:1" x14ac:dyDescent="0.3">
      <c r="A10" s="10">
        <v>2.496365027412172</v>
      </c>
    </row>
    <row r="11" spans="1:1" x14ac:dyDescent="0.3">
      <c r="A11" s="10">
        <v>2.432157747016328</v>
      </c>
    </row>
    <row r="12" spans="1:1" x14ac:dyDescent="0.3">
      <c r="A12" s="10">
        <v>2.3679504666204849</v>
      </c>
    </row>
    <row r="13" spans="1:1" x14ac:dyDescent="0.3">
      <c r="A13" s="10">
        <v>2.3037431862246414</v>
      </c>
    </row>
    <row r="14" spans="1:1" x14ac:dyDescent="0.3">
      <c r="A14" s="10">
        <v>2.2395359058287978</v>
      </c>
    </row>
    <row r="15" spans="1:1" x14ac:dyDescent="0.3">
      <c r="A15" s="10">
        <v>2.1753286254329538</v>
      </c>
    </row>
    <row r="16" spans="1:1" x14ac:dyDescent="0.3">
      <c r="A16" s="10">
        <v>2.1111213450371098</v>
      </c>
    </row>
    <row r="17" spans="1:1" x14ac:dyDescent="0.3">
      <c r="A17" s="10">
        <v>2.0469140646412667</v>
      </c>
    </row>
    <row r="18" spans="1:1" x14ac:dyDescent="0.3">
      <c r="A18" s="10">
        <v>1.9827067842454229</v>
      </c>
    </row>
    <row r="19" spans="1:1" x14ac:dyDescent="0.3">
      <c r="A19" s="10">
        <v>1.9184995038495793</v>
      </c>
    </row>
    <row r="20" spans="1:1" x14ac:dyDescent="0.3">
      <c r="A20" s="10">
        <v>1.8542922234537356</v>
      </c>
    </row>
    <row r="21" spans="1:1" x14ac:dyDescent="0.3">
      <c r="A21" s="10">
        <v>1.8542922234537356</v>
      </c>
    </row>
    <row r="22" spans="1:1" x14ac:dyDescent="0.3">
      <c r="A22" s="10">
        <v>1.8127738545274616</v>
      </c>
    </row>
    <row r="23" spans="1:1" x14ac:dyDescent="0.3">
      <c r="A23" s="10">
        <v>1.7829508007916874</v>
      </c>
    </row>
    <row r="24" spans="1:1" x14ac:dyDescent="0.3">
      <c r="A24" s="10">
        <v>1.929727006432459</v>
      </c>
    </row>
    <row r="25" spans="1:1" x14ac:dyDescent="0.3">
      <c r="A25" s="10">
        <v>2.0466801583374568</v>
      </c>
    </row>
    <row r="26" spans="1:1" x14ac:dyDescent="0.3">
      <c r="A26" s="10">
        <v>2.1636333102424543</v>
      </c>
    </row>
    <row r="27" spans="1:1" x14ac:dyDescent="0.3">
      <c r="A27" s="10">
        <v>2.2823407594260265</v>
      </c>
    </row>
    <row r="28" spans="1:1" x14ac:dyDescent="0.3">
      <c r="A28" s="10">
        <v>2.2805864621474514</v>
      </c>
    </row>
    <row r="29" spans="1:1" x14ac:dyDescent="0.3">
      <c r="A29" s="10">
        <v>2.2513481741712025</v>
      </c>
    </row>
    <row r="30" spans="1:1" x14ac:dyDescent="0.3">
      <c r="A30" s="10">
        <v>2.2221098861949531</v>
      </c>
    </row>
    <row r="31" spans="1:1" x14ac:dyDescent="0.3">
      <c r="A31" s="10">
        <v>2.2162622285997031</v>
      </c>
    </row>
    <row r="32" spans="1:1" x14ac:dyDescent="0.3">
      <c r="A32" s="10">
        <v>2.2109993367639782</v>
      </c>
    </row>
    <row r="33" spans="1:1" x14ac:dyDescent="0.3">
      <c r="A33" s="10">
        <v>2.3390630380999502</v>
      </c>
    </row>
    <row r="34" spans="1:1" x14ac:dyDescent="0.3">
      <c r="A34" s="10">
        <v>2.397539614052449</v>
      </c>
    </row>
    <row r="35" spans="1:1" x14ac:dyDescent="0.3">
      <c r="A35" s="10">
        <v>2.4852544779811971</v>
      </c>
    </row>
    <row r="36" spans="1:1" x14ac:dyDescent="0.3">
      <c r="A36" s="10">
        <v>2.5729693419099458</v>
      </c>
    </row>
    <row r="37" spans="1:1" x14ac:dyDescent="0.3">
      <c r="A37" s="10">
        <v>2.7103892953983175</v>
      </c>
    </row>
    <row r="38" spans="1:1" x14ac:dyDescent="0.3">
      <c r="A38" s="10">
        <v>2.7483990697674416</v>
      </c>
    </row>
    <row r="39" spans="1:1" x14ac:dyDescent="0.3">
      <c r="A39" s="10">
        <v>2.8068756457199404</v>
      </c>
    </row>
    <row r="40" spans="1:1" x14ac:dyDescent="0.3">
      <c r="A40" s="10">
        <v>2.8653522216724392</v>
      </c>
    </row>
    <row r="41" spans="1:1" x14ac:dyDescent="0.3">
      <c r="A41" s="10">
        <v>3.0407819495299355</v>
      </c>
    </row>
    <row r="42" spans="1:1" x14ac:dyDescent="0.3">
      <c r="A42" s="10">
        <v>3.1378530656110835</v>
      </c>
    </row>
    <row r="43" spans="1:1" x14ac:dyDescent="0.3">
      <c r="A43" s="10">
        <v>2.923828797624938</v>
      </c>
    </row>
    <row r="44" spans="1:1" x14ac:dyDescent="0.3">
      <c r="A44" s="10">
        <v>2.7103892953983175</v>
      </c>
    </row>
    <row r="45" spans="1:1" x14ac:dyDescent="0.3">
      <c r="A45" s="10">
        <v>2.923828797624938</v>
      </c>
    </row>
    <row r="46" spans="1:1" x14ac:dyDescent="0.3">
      <c r="A46" s="10">
        <v>3.2162116773874319</v>
      </c>
    </row>
    <row r="47" spans="1:1" x14ac:dyDescent="0.3">
      <c r="A47" s="10">
        <v>3.5085945571499257</v>
      </c>
    </row>
    <row r="48" spans="1:1" x14ac:dyDescent="0.3">
      <c r="A48" s="10">
        <v>3.8512672922315683</v>
      </c>
    </row>
    <row r="49" spans="1:1" x14ac:dyDescent="0.3">
      <c r="A49" s="10">
        <v>4.0933603166749135</v>
      </c>
    </row>
    <row r="50" spans="1:1" x14ac:dyDescent="0.3">
      <c r="A50" s="10">
        <v>4.3857431964374065</v>
      </c>
    </row>
    <row r="51" spans="1:1" x14ac:dyDescent="0.3">
      <c r="A51" s="10">
        <v>4.6781260761999004</v>
      </c>
    </row>
    <row r="52" spans="1:1" x14ac:dyDescent="0.3">
      <c r="A52" s="10">
        <v>5.1348281343889157</v>
      </c>
    </row>
    <row r="53" spans="1:1" x14ac:dyDescent="0.3">
      <c r="A53" s="10">
        <v>5.2628918357248882</v>
      </c>
    </row>
    <row r="54" spans="1:1" x14ac:dyDescent="0.3">
      <c r="A54" s="10">
        <v>5.8476575952498759</v>
      </c>
    </row>
    <row r="55" spans="1:1" x14ac:dyDescent="0.3">
      <c r="A55" s="10">
        <v>6.4324233547748637</v>
      </c>
    </row>
    <row r="56" spans="1:1" x14ac:dyDescent="0.3">
      <c r="A56" s="10">
        <v>6.9177789351806025</v>
      </c>
    </row>
    <row r="57" spans="1:1" x14ac:dyDescent="0.3">
      <c r="A57" s="10">
        <v>6.7248062345373576</v>
      </c>
    </row>
    <row r="58" spans="1:1" x14ac:dyDescent="0.3">
      <c r="A58" s="10">
        <v>6.5610718218703603</v>
      </c>
    </row>
    <row r="59" spans="1:1" x14ac:dyDescent="0.3">
      <c r="A59" s="10">
        <v>7.3095719940623454</v>
      </c>
    </row>
    <row r="60" spans="1:1" x14ac:dyDescent="0.3">
      <c r="A60" s="10">
        <v>8.2726811999999992</v>
      </c>
    </row>
    <row r="61" spans="1:1" x14ac:dyDescent="0.3">
      <c r="A61" s="10">
        <v>8.771486392874813</v>
      </c>
    </row>
    <row r="62" spans="1:1" x14ac:dyDescent="0.3">
      <c r="A62" s="10">
        <v>9.3562521523998008</v>
      </c>
    </row>
    <row r="63" spans="1:1" x14ac:dyDescent="0.3">
      <c r="A63" s="10">
        <v>10.269071503018308</v>
      </c>
    </row>
    <row r="64" spans="1:1" x14ac:dyDescent="0.3">
      <c r="A64" s="10">
        <v>10.885215793199405</v>
      </c>
    </row>
    <row r="65" spans="1:1" x14ac:dyDescent="0.3">
      <c r="A65" s="10">
        <v>11.538328740791371</v>
      </c>
    </row>
    <row r="66" spans="1:1" x14ac:dyDescent="0.3">
      <c r="A66" s="10">
        <v>12.230628465238853</v>
      </c>
    </row>
    <row r="67" spans="1:1" x14ac:dyDescent="0.3">
      <c r="A67" s="10">
        <v>12.964466173153186</v>
      </c>
    </row>
    <row r="68" spans="1:1" x14ac:dyDescent="0.3">
      <c r="A68" s="10">
        <v>13.742334143542378</v>
      </c>
    </row>
    <row r="69" spans="1:1" x14ac:dyDescent="0.3">
      <c r="A69" s="10">
        <v>14.15460416784865</v>
      </c>
    </row>
    <row r="70" spans="1:1" x14ac:dyDescent="0.3">
      <c r="A70" s="10">
        <v>14.579242292884109</v>
      </c>
    </row>
    <row r="71" spans="1:1" x14ac:dyDescent="0.3">
      <c r="A71" s="10">
        <v>15.016619561670632</v>
      </c>
    </row>
    <row r="72" spans="1:1" x14ac:dyDescent="0.3">
      <c r="A72" s="10">
        <v>15.467118148520752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2"/>
  <sheetViews>
    <sheetView workbookViewId="0">
      <selection activeCell="B23" sqref="B23"/>
    </sheetView>
  </sheetViews>
  <sheetFormatPr defaultRowHeight="14.4" x14ac:dyDescent="0.3"/>
  <sheetData>
    <row r="1" spans="1:9" x14ac:dyDescent="0.3">
      <c r="A1" s="11">
        <v>5.0299999999999997E-2</v>
      </c>
      <c r="B1" s="11">
        <v>8.7300000000000003E-2</v>
      </c>
      <c r="C1" s="11">
        <v>0.1144</v>
      </c>
      <c r="D1" s="11">
        <v>0.13389999999999999</v>
      </c>
      <c r="E1" s="11">
        <v>0.1489</v>
      </c>
      <c r="F1" s="11">
        <v>0.16</v>
      </c>
      <c r="G1" s="11">
        <v>0.20499999999999999</v>
      </c>
      <c r="H1" s="11">
        <v>0.19600000000000001</v>
      </c>
      <c r="I1" s="11">
        <v>0.14879999999999999</v>
      </c>
    </row>
    <row r="2" spans="1:9" x14ac:dyDescent="0.3">
      <c r="A2" s="11">
        <v>5.3600000000000002E-2</v>
      </c>
      <c r="B2" s="11">
        <v>8.9599999999999999E-2</v>
      </c>
      <c r="C2" s="11">
        <v>0.1144</v>
      </c>
      <c r="D2" s="11">
        <v>0.13850000000000001</v>
      </c>
      <c r="E2" s="11">
        <v>0.15670000000000001</v>
      </c>
      <c r="F2" s="11">
        <v>0.1699</v>
      </c>
      <c r="G2" s="11">
        <v>0.17810000000000001</v>
      </c>
      <c r="H2" s="11">
        <v>0.19</v>
      </c>
      <c r="I2" s="11">
        <v>0.14879999999999999</v>
      </c>
    </row>
    <row r="3" spans="1:9" x14ac:dyDescent="0.3">
      <c r="A3" s="11">
        <v>4.2700000000000002E-2</v>
      </c>
      <c r="B3" s="11">
        <v>7.9899999999999999E-2</v>
      </c>
      <c r="C3" s="11">
        <v>0.10009999999999999</v>
      </c>
      <c r="D3" s="11">
        <v>0.121</v>
      </c>
      <c r="E3" s="11">
        <v>0.14729999999999999</v>
      </c>
      <c r="F3" s="11">
        <v>0.14549999999999999</v>
      </c>
      <c r="G3" s="11">
        <v>0.1915</v>
      </c>
      <c r="H3" s="11">
        <v>0.193</v>
      </c>
      <c r="I3" s="11">
        <v>0.14879999999999999</v>
      </c>
    </row>
    <row r="4" spans="1:9" x14ac:dyDescent="0.3">
      <c r="A4" s="11">
        <v>5.4199999999999998E-2</v>
      </c>
      <c r="B4" s="11">
        <v>8.5400000000000004E-2</v>
      </c>
      <c r="C4" s="11">
        <v>0.1056</v>
      </c>
      <c r="D4" s="11">
        <v>0.1258</v>
      </c>
      <c r="E4" s="11">
        <v>0.1474</v>
      </c>
      <c r="F4" s="11">
        <v>0.1658</v>
      </c>
      <c r="G4" s="11">
        <v>0.155</v>
      </c>
      <c r="H4" s="11">
        <v>0.193</v>
      </c>
      <c r="I4" s="11">
        <v>0.14879999999999999</v>
      </c>
    </row>
    <row r="5" spans="1:9" x14ac:dyDescent="0.3">
      <c r="A5" s="11">
        <v>5.7799999999999997E-2</v>
      </c>
      <c r="B5" s="11">
        <v>8.3099999999999993E-2</v>
      </c>
      <c r="C5" s="11">
        <v>0.1077</v>
      </c>
      <c r="D5" s="11">
        <v>0.1249</v>
      </c>
      <c r="E5" s="11">
        <v>0.15140000000000001</v>
      </c>
      <c r="F5" s="11">
        <v>0.13100000000000001</v>
      </c>
      <c r="G5" s="11">
        <v>0.18240000000000001</v>
      </c>
      <c r="H5" s="11">
        <v>0.193</v>
      </c>
      <c r="I5" s="11">
        <v>0.14879999999999999</v>
      </c>
    </row>
    <row r="6" spans="1:9" x14ac:dyDescent="0.3">
      <c r="A6" s="11">
        <v>5.7700000000000001E-2</v>
      </c>
      <c r="B6" s="11">
        <v>8.5999999999999993E-2</v>
      </c>
      <c r="C6" s="11">
        <v>0.10639999999999999</v>
      </c>
      <c r="D6" s="11">
        <v>0.1192</v>
      </c>
      <c r="E6" s="11">
        <v>0.1389</v>
      </c>
      <c r="F6" s="11">
        <v>0.14399999999999999</v>
      </c>
      <c r="G6" s="11">
        <v>0.18240000000000001</v>
      </c>
      <c r="H6" s="11">
        <v>0.14000000000000001</v>
      </c>
      <c r="I6" s="11">
        <v>0.14879999999999999</v>
      </c>
    </row>
    <row r="7" spans="1:9" x14ac:dyDescent="0.3">
      <c r="A7" s="11">
        <v>5.3199999999999997E-2</v>
      </c>
      <c r="B7" s="11">
        <v>8.48E-2</v>
      </c>
      <c r="C7" s="11">
        <v>0.10680000000000001</v>
      </c>
      <c r="D7" s="11">
        <v>0.12590000000000001</v>
      </c>
      <c r="E7" s="11">
        <v>0.14829999999999999</v>
      </c>
      <c r="F7" s="11">
        <v>0.1512</v>
      </c>
      <c r="G7" s="11">
        <v>0.1779</v>
      </c>
      <c r="H7" s="11">
        <v>0.18179999999999999</v>
      </c>
      <c r="I7" s="11">
        <v>0.14879999999999999</v>
      </c>
    </row>
    <row r="8" spans="1:9" x14ac:dyDescent="0.3">
      <c r="A8" s="11">
        <v>5.0700000000000002E-2</v>
      </c>
      <c r="B8" s="11">
        <v>6.9000000000000006E-2</v>
      </c>
      <c r="C8" s="11">
        <v>9.6600000000000005E-2</v>
      </c>
      <c r="D8" s="11">
        <v>0.1077</v>
      </c>
      <c r="E8" s="11">
        <v>0.12479999999999999</v>
      </c>
      <c r="F8" s="11">
        <v>0.12809999999999999</v>
      </c>
      <c r="G8" s="11">
        <v>0.13830000000000001</v>
      </c>
      <c r="H8" s="11">
        <v>0.16900000000000001</v>
      </c>
      <c r="I8" s="11">
        <v>0.14879999999999999</v>
      </c>
    </row>
    <row r="9" spans="1:9" x14ac:dyDescent="0.3">
      <c r="A9" s="11">
        <v>5.1200000000000002E-2</v>
      </c>
      <c r="B9" s="11">
        <v>8.0699999999999994E-2</v>
      </c>
      <c r="C9" s="11">
        <v>9.69E-2</v>
      </c>
      <c r="D9" s="11">
        <v>0.113</v>
      </c>
      <c r="E9" s="11">
        <v>0.12429999999999999</v>
      </c>
      <c r="F9" s="11">
        <v>0.13320000000000001</v>
      </c>
      <c r="G9" s="11">
        <v>0.1371</v>
      </c>
      <c r="H9" s="11">
        <v>0.14990000000000001</v>
      </c>
      <c r="I9" s="11">
        <v>0.14879999999999999</v>
      </c>
    </row>
    <row r="10" spans="1:9" x14ac:dyDescent="0.3">
      <c r="A10" s="11">
        <v>5.9400000000000001E-2</v>
      </c>
      <c r="B10" s="11">
        <v>8.9700000000000002E-2</v>
      </c>
      <c r="C10" s="11">
        <v>0.106</v>
      </c>
      <c r="D10" s="11">
        <v>0.121</v>
      </c>
      <c r="E10" s="11">
        <v>0.1336</v>
      </c>
      <c r="F10" s="11">
        <v>0.14460000000000001</v>
      </c>
      <c r="G10" s="11">
        <v>0.16039999999999999</v>
      </c>
      <c r="H10" s="11">
        <v>0.17449999999999999</v>
      </c>
      <c r="I10" s="11">
        <v>0.16450000000000001</v>
      </c>
    </row>
    <row r="11" spans="1:9" x14ac:dyDescent="0.3">
      <c r="A11" s="11">
        <v>5.8500000000000003E-2</v>
      </c>
      <c r="B11" s="11">
        <v>9.0399999999999994E-2</v>
      </c>
      <c r="C11" s="11">
        <v>0.1168</v>
      </c>
      <c r="D11" s="11">
        <v>0.14099999999999999</v>
      </c>
      <c r="E11" s="11">
        <v>0.17299999999999999</v>
      </c>
      <c r="F11" s="11">
        <v>0.14019999999999999</v>
      </c>
      <c r="G11" s="11">
        <v>0.15920000000000001</v>
      </c>
      <c r="H11" s="11">
        <v>0.16300000000000001</v>
      </c>
      <c r="I11" s="11">
        <v>0.15659999999999999</v>
      </c>
    </row>
    <row r="12" spans="1:9" x14ac:dyDescent="0.3">
      <c r="A12" s="11">
        <v>5.67E-2</v>
      </c>
      <c r="B12" s="11">
        <v>9.2100000000000001E-2</v>
      </c>
      <c r="C12" s="11">
        <v>0.1074</v>
      </c>
      <c r="D12" s="11">
        <v>0.12520000000000001</v>
      </c>
      <c r="E12" s="11">
        <v>0.12820000000000001</v>
      </c>
      <c r="F12" s="11">
        <v>0.13950000000000001</v>
      </c>
      <c r="G12" s="11">
        <v>0.15459999999999999</v>
      </c>
      <c r="H12" s="11">
        <v>0.1676</v>
      </c>
      <c r="I12" s="11">
        <v>0.15659999999999999</v>
      </c>
    </row>
    <row r="13" spans="1:9" x14ac:dyDescent="0.3">
      <c r="A13" s="11">
        <v>5.6300000000000003E-2</v>
      </c>
      <c r="B13" s="11">
        <v>8.9800000000000005E-2</v>
      </c>
      <c r="C13" s="11">
        <v>0.1125</v>
      </c>
      <c r="D13" s="11">
        <v>0.123</v>
      </c>
      <c r="E13" s="11">
        <v>0.1366</v>
      </c>
      <c r="F13" s="11">
        <v>0.1447</v>
      </c>
      <c r="G13" s="11">
        <v>0.14990000000000001</v>
      </c>
      <c r="H13" s="11">
        <v>0.1648</v>
      </c>
      <c r="I13" s="11">
        <v>0.15659999999999999</v>
      </c>
    </row>
    <row r="14" spans="1:9" x14ac:dyDescent="0.3">
      <c r="A14" s="11">
        <v>6.13E-2</v>
      </c>
      <c r="B14" s="11">
        <v>9.2700000000000005E-2</v>
      </c>
      <c r="C14" s="11">
        <v>0.1137</v>
      </c>
      <c r="D14" s="11">
        <v>0.1353</v>
      </c>
      <c r="E14" s="11">
        <v>0.1449</v>
      </c>
      <c r="F14" s="11">
        <v>0.13</v>
      </c>
      <c r="G14" s="11">
        <v>0.1522</v>
      </c>
      <c r="H14" s="11">
        <v>0.16400000000000001</v>
      </c>
      <c r="I14" s="11">
        <v>0.15659999999999999</v>
      </c>
    </row>
    <row r="15" spans="1:9" x14ac:dyDescent="0.3">
      <c r="A15" s="11">
        <v>6.8699999999999997E-2</v>
      </c>
      <c r="B15" s="11">
        <v>0.1067</v>
      </c>
      <c r="C15" s="11">
        <v>0.12889999999999999</v>
      </c>
      <c r="D15" s="11">
        <v>0.1467</v>
      </c>
      <c r="E15" s="11">
        <v>0.17130000000000001</v>
      </c>
      <c r="F15" s="11">
        <v>0.15870000000000001</v>
      </c>
      <c r="G15" s="11">
        <v>0.15529999999999999</v>
      </c>
      <c r="H15" s="11">
        <v>0.1668</v>
      </c>
      <c r="I15" s="11">
        <v>0.15820000000000001</v>
      </c>
    </row>
    <row r="16" spans="1:9" x14ac:dyDescent="0.3">
      <c r="A16" s="11">
        <v>4.2000000000000003E-2</v>
      </c>
      <c r="B16" s="11">
        <v>0.1111</v>
      </c>
      <c r="C16" s="11">
        <v>0.13339999999999999</v>
      </c>
      <c r="D16" s="11">
        <v>0.1489</v>
      </c>
      <c r="E16" s="11">
        <v>0.16239999999999999</v>
      </c>
      <c r="F16" s="11">
        <v>0.17929999999999999</v>
      </c>
      <c r="G16" s="11">
        <v>0.15429999999999999</v>
      </c>
      <c r="H16" s="11">
        <v>0.1653</v>
      </c>
      <c r="I16" s="11">
        <v>0.15690000000000001</v>
      </c>
    </row>
    <row r="17" spans="1:9" x14ac:dyDescent="0.3">
      <c r="A17" s="11">
        <v>5.7000000000000002E-2</v>
      </c>
      <c r="B17" s="11">
        <v>9.8500000000000004E-2</v>
      </c>
      <c r="C17" s="11">
        <v>0.1192</v>
      </c>
      <c r="D17" s="11">
        <v>0.1358</v>
      </c>
      <c r="E17" s="11">
        <v>0.1487</v>
      </c>
      <c r="F17" s="11">
        <v>0.15040000000000001</v>
      </c>
      <c r="G17" s="11">
        <v>0.15329999999999999</v>
      </c>
      <c r="H17" s="11">
        <v>0.16569999999999999</v>
      </c>
      <c r="I17" s="11">
        <v>0.157</v>
      </c>
    </row>
    <row r="18" spans="1:9" x14ac:dyDescent="0.3">
      <c r="A18" s="11">
        <v>5.7000000000000002E-2</v>
      </c>
      <c r="B18" s="11">
        <v>9.98E-2</v>
      </c>
      <c r="C18" s="11">
        <v>0.1215</v>
      </c>
      <c r="D18" s="11">
        <v>0.13800000000000001</v>
      </c>
      <c r="E18" s="11">
        <v>0.15279999999999999</v>
      </c>
      <c r="F18" s="11">
        <v>0.15260000000000001</v>
      </c>
      <c r="G18" s="11">
        <v>0.153</v>
      </c>
      <c r="H18" s="11">
        <v>0.1653</v>
      </c>
      <c r="I18" s="11">
        <v>0.15709999999999999</v>
      </c>
    </row>
    <row r="19" spans="1:9" x14ac:dyDescent="0.3">
      <c r="A19" s="11">
        <v>5.7200000000000001E-2</v>
      </c>
      <c r="B19" s="11">
        <v>0.1018</v>
      </c>
      <c r="C19" s="11">
        <v>0.12330000000000001</v>
      </c>
      <c r="D19" s="11">
        <v>0.1409</v>
      </c>
      <c r="E19" s="11">
        <v>0.156</v>
      </c>
      <c r="F19" s="11">
        <v>0.1542</v>
      </c>
      <c r="G19" s="11">
        <v>0.15359999999999999</v>
      </c>
      <c r="H19" s="11">
        <v>0.16539999999999999</v>
      </c>
      <c r="I19" s="11">
        <v>0.15720000000000001</v>
      </c>
    </row>
    <row r="20" spans="1:9" x14ac:dyDescent="0.3">
      <c r="A20" s="11">
        <v>5.6399999999999999E-2</v>
      </c>
      <c r="B20" s="11">
        <v>0.1036</v>
      </c>
      <c r="C20" s="11">
        <v>0.12529999999999999</v>
      </c>
      <c r="D20" s="11">
        <v>0.1421</v>
      </c>
      <c r="E20" s="11">
        <v>0.15820000000000001</v>
      </c>
      <c r="F20" s="11">
        <v>0.15909999999999999</v>
      </c>
      <c r="G20" s="11">
        <v>0.15390000000000001</v>
      </c>
      <c r="H20" s="11">
        <v>0.16569999999999999</v>
      </c>
      <c r="I20" s="11">
        <v>0.1573</v>
      </c>
    </row>
    <row r="21" spans="1:9" x14ac:dyDescent="0.3">
      <c r="A21" s="11">
        <v>5.3900000000000003E-2</v>
      </c>
      <c r="B21" s="11">
        <v>0.10290000000000001</v>
      </c>
      <c r="C21" s="11">
        <v>0.1245</v>
      </c>
      <c r="D21" s="11">
        <v>0.1411</v>
      </c>
      <c r="E21" s="11">
        <v>0.15559999999999999</v>
      </c>
      <c r="F21" s="11">
        <v>0.15909999999999999</v>
      </c>
      <c r="G21" s="11">
        <v>0.15359999999999999</v>
      </c>
      <c r="H21" s="11">
        <v>0.16550000000000001</v>
      </c>
      <c r="I21" s="11">
        <v>0.15709999999999999</v>
      </c>
    </row>
    <row r="22" spans="1:9" x14ac:dyDescent="0.3">
      <c r="A22" s="11">
        <v>6.4100000000000004E-2</v>
      </c>
      <c r="B22" s="11">
        <v>0.10340000000000001</v>
      </c>
      <c r="C22" s="11">
        <v>0.1384</v>
      </c>
      <c r="D22" s="11">
        <v>0.15959999999999999</v>
      </c>
      <c r="E22" s="11">
        <v>0.1734</v>
      </c>
      <c r="F22" s="11">
        <v>0.1807</v>
      </c>
      <c r="G22" s="11">
        <v>0.20219999999999999</v>
      </c>
      <c r="H22" s="11">
        <v>0.16</v>
      </c>
      <c r="I22" s="11">
        <v>0.15709999999999999</v>
      </c>
    </row>
    <row r="23" spans="1:9" x14ac:dyDescent="0.3">
      <c r="A23" s="11">
        <v>6.3299999999999995E-2</v>
      </c>
      <c r="B23" s="11">
        <v>0.10349999999999999</v>
      </c>
      <c r="C23" s="11">
        <v>0.13469999999999999</v>
      </c>
      <c r="D23" s="11">
        <v>0.1598</v>
      </c>
      <c r="E23" s="11">
        <v>0.18360000000000001</v>
      </c>
      <c r="F23" s="11">
        <v>0.19239999999999999</v>
      </c>
      <c r="G23" s="11">
        <v>0.1903</v>
      </c>
      <c r="H23" s="11">
        <v>0.254</v>
      </c>
      <c r="I23" s="11">
        <v>0.15709999999999999</v>
      </c>
    </row>
    <row r="24" spans="1:9" x14ac:dyDescent="0.3">
      <c r="A24" s="11">
        <v>6.1699999999999998E-2</v>
      </c>
      <c r="B24" s="11">
        <v>8.5400000000000004E-2</v>
      </c>
      <c r="C24" s="11">
        <v>0.1235</v>
      </c>
      <c r="D24" s="11">
        <v>0.14899999999999999</v>
      </c>
      <c r="E24" s="11">
        <v>0.17180000000000001</v>
      </c>
      <c r="F24" s="11">
        <v>0.18559999999999999</v>
      </c>
      <c r="G24" s="11">
        <v>0.18360000000000001</v>
      </c>
      <c r="H24" s="11">
        <v>0.2175</v>
      </c>
      <c r="I24" s="11">
        <v>0.23100000000000001</v>
      </c>
    </row>
    <row r="25" spans="1:9" x14ac:dyDescent="0.3">
      <c r="A25" s="11">
        <v>5.4699999999999999E-2</v>
      </c>
      <c r="B25" s="11">
        <v>9.1899999999999996E-2</v>
      </c>
      <c r="C25" s="11">
        <v>0.128</v>
      </c>
      <c r="D25" s="11">
        <v>0.1653</v>
      </c>
      <c r="E25" s="11">
        <v>0.1893</v>
      </c>
      <c r="F25" s="11">
        <v>0.2069</v>
      </c>
      <c r="G25" s="11">
        <v>0.22009999999999999</v>
      </c>
      <c r="H25" s="11">
        <v>0.24060000000000001</v>
      </c>
      <c r="I25" s="11">
        <v>0.20699999999999999</v>
      </c>
    </row>
    <row r="26" spans="1:9" x14ac:dyDescent="0.3">
      <c r="A26" s="11">
        <v>5.3600000000000002E-2</v>
      </c>
      <c r="B26" s="11">
        <v>8.7300000000000003E-2</v>
      </c>
      <c r="C26" s="11">
        <v>0.1202</v>
      </c>
      <c r="D26" s="11">
        <v>0.15179999999999999</v>
      </c>
      <c r="E26" s="11">
        <v>0.18110000000000001</v>
      </c>
      <c r="F26" s="11">
        <v>0.1951</v>
      </c>
      <c r="G26" s="11">
        <v>0.2112</v>
      </c>
      <c r="H26" s="11">
        <v>0.2223</v>
      </c>
      <c r="I26" s="11">
        <v>0.18190000000000001</v>
      </c>
    </row>
    <row r="27" spans="1:9" x14ac:dyDescent="0.3">
      <c r="A27" s="11">
        <v>6.2799999999999995E-2</v>
      </c>
      <c r="B27" s="11">
        <v>8.8400000000000006E-2</v>
      </c>
      <c r="C27" s="11">
        <v>0.12529999999999999</v>
      </c>
      <c r="D27" s="11">
        <v>0.14349999999999999</v>
      </c>
      <c r="E27" s="11">
        <v>0.16930000000000001</v>
      </c>
      <c r="F27" s="11">
        <v>0.18260000000000001</v>
      </c>
      <c r="G27" s="11">
        <v>0.1918</v>
      </c>
      <c r="H27" s="11">
        <v>0.1953</v>
      </c>
      <c r="I27" s="11">
        <v>0.21529999999999999</v>
      </c>
    </row>
    <row r="28" spans="1:9" x14ac:dyDescent="0.3">
      <c r="A28" s="11">
        <v>6.0299999999999999E-2</v>
      </c>
      <c r="B28" s="11">
        <v>7.9799999999999996E-2</v>
      </c>
      <c r="C28" s="11">
        <v>0.1082</v>
      </c>
      <c r="D28" s="11">
        <v>0.13400000000000001</v>
      </c>
      <c r="E28" s="11">
        <v>0.154</v>
      </c>
      <c r="F28" s="11">
        <v>0.17369999999999999</v>
      </c>
      <c r="G28" s="11">
        <v>0.18840000000000001</v>
      </c>
      <c r="H28" s="11">
        <v>0.20380000000000001</v>
      </c>
      <c r="I28" s="11">
        <v>0.22789999999999999</v>
      </c>
    </row>
    <row r="29" spans="1:9" x14ac:dyDescent="0.3">
      <c r="A29" s="11">
        <v>6.2100000000000002E-2</v>
      </c>
      <c r="B29" s="11">
        <v>8.3199999999999996E-2</v>
      </c>
      <c r="C29" s="11">
        <v>0.1103</v>
      </c>
      <c r="D29" s="11">
        <v>0.14069999999999999</v>
      </c>
      <c r="E29" s="11">
        <v>0.16639999999999999</v>
      </c>
      <c r="F29" s="11">
        <v>0.18379999999999999</v>
      </c>
      <c r="G29" s="11">
        <v>0.20030000000000001</v>
      </c>
      <c r="H29" s="11">
        <v>0.2014</v>
      </c>
      <c r="I29" s="11">
        <v>0.19220000000000001</v>
      </c>
    </row>
    <row r="30" spans="1:9" x14ac:dyDescent="0.3">
      <c r="A30" s="11">
        <v>5.91E-2</v>
      </c>
      <c r="B30" s="11">
        <v>8.1299999999999997E-2</v>
      </c>
      <c r="C30" s="11">
        <v>0.1072</v>
      </c>
      <c r="D30" s="11">
        <v>0.13070000000000001</v>
      </c>
      <c r="E30" s="11">
        <v>0.15970000000000001</v>
      </c>
      <c r="F30" s="11">
        <v>0.17849999999999999</v>
      </c>
      <c r="G30" s="11">
        <v>0.1923</v>
      </c>
      <c r="H30" s="11">
        <v>0.20830000000000001</v>
      </c>
      <c r="I30" s="11">
        <v>0.2087</v>
      </c>
    </row>
    <row r="31" spans="1:9" x14ac:dyDescent="0.3">
      <c r="A31" s="11">
        <v>6.0999999999999999E-2</v>
      </c>
      <c r="B31" s="11">
        <v>9.01E-2</v>
      </c>
      <c r="C31" s="11">
        <v>0.1099</v>
      </c>
      <c r="D31" s="11">
        <v>0.13669999999999999</v>
      </c>
      <c r="E31" s="11">
        <v>0.15090000000000001</v>
      </c>
      <c r="F31" s="11">
        <v>0.17549999999999999</v>
      </c>
      <c r="G31" s="11">
        <v>0.18029999999999999</v>
      </c>
      <c r="H31" s="11">
        <v>0.18590000000000001</v>
      </c>
      <c r="I31" s="11">
        <v>0.20519999999999999</v>
      </c>
    </row>
    <row r="32" spans="1:9" x14ac:dyDescent="0.3">
      <c r="A32" s="11">
        <v>7.0999999999999994E-2</v>
      </c>
      <c r="B32" s="11">
        <v>8.9399999999999993E-2</v>
      </c>
      <c r="C32" s="11">
        <v>0.10979999999999999</v>
      </c>
      <c r="D32" s="11">
        <v>0.12559999999999999</v>
      </c>
      <c r="E32" s="11">
        <v>0.14230000000000001</v>
      </c>
      <c r="F32" s="11">
        <v>0.15040000000000001</v>
      </c>
      <c r="G32" s="11">
        <v>0.1714</v>
      </c>
      <c r="H32" s="11">
        <v>0.1799</v>
      </c>
      <c r="I32" s="11">
        <v>0.18609999999999999</v>
      </c>
    </row>
    <row r="33" spans="1:9" x14ac:dyDescent="0.3">
      <c r="A33" s="11">
        <v>6.1100000000000002E-2</v>
      </c>
      <c r="B33" s="11">
        <v>9.3799999999999994E-2</v>
      </c>
      <c r="C33" s="11">
        <v>0.11899999999999999</v>
      </c>
      <c r="D33" s="11">
        <v>0.14050000000000001</v>
      </c>
      <c r="E33" s="11">
        <v>0.15529999999999999</v>
      </c>
      <c r="F33" s="11">
        <v>0.16600000000000001</v>
      </c>
      <c r="G33" s="11">
        <v>0.17380000000000001</v>
      </c>
      <c r="H33" s="11">
        <v>0.19539999999999999</v>
      </c>
      <c r="I33" s="11">
        <v>0.19239999999999999</v>
      </c>
    </row>
    <row r="34" spans="1:9" x14ac:dyDescent="0.3">
      <c r="A34" s="11">
        <v>6.8400000000000002E-2</v>
      </c>
      <c r="B34" s="11">
        <v>0.1003</v>
      </c>
      <c r="C34" s="11">
        <v>0.1298</v>
      </c>
      <c r="D34" s="11">
        <v>0.15310000000000001</v>
      </c>
      <c r="E34" s="11">
        <v>0.16550000000000001</v>
      </c>
      <c r="F34" s="11">
        <v>0.17510000000000001</v>
      </c>
      <c r="G34" s="11">
        <v>0.18490000000000001</v>
      </c>
      <c r="H34" s="11">
        <v>0.18909999999999999</v>
      </c>
      <c r="I34" s="11">
        <v>0.2031</v>
      </c>
    </row>
    <row r="35" spans="1:9" x14ac:dyDescent="0.3">
      <c r="A35" s="11">
        <v>6.9000000000000006E-2</v>
      </c>
      <c r="B35" s="11">
        <v>0.1014</v>
      </c>
      <c r="C35" s="11">
        <v>0.13519999999999999</v>
      </c>
      <c r="D35" s="11">
        <v>0.16070000000000001</v>
      </c>
      <c r="E35" s="11">
        <v>0.18190000000000001</v>
      </c>
      <c r="F35" s="11">
        <v>0.18629999999999999</v>
      </c>
      <c r="G35" s="11">
        <v>0.20710000000000001</v>
      </c>
      <c r="H35" s="11">
        <v>0.18479999999999999</v>
      </c>
      <c r="I35" s="11">
        <v>0.20369999999999999</v>
      </c>
    </row>
    <row r="36" spans="1:9" x14ac:dyDescent="0.3">
      <c r="A36" s="11">
        <v>6.83E-2</v>
      </c>
      <c r="B36" s="11">
        <v>0.1028</v>
      </c>
      <c r="C36" s="11">
        <v>0.13109999999999999</v>
      </c>
      <c r="D36" s="11">
        <v>0.16009999999999999</v>
      </c>
      <c r="E36" s="11">
        <v>0.18090000000000001</v>
      </c>
      <c r="F36" s="11">
        <v>0.19189999999999999</v>
      </c>
      <c r="G36" s="11">
        <v>0.19839999999999999</v>
      </c>
      <c r="H36" s="11">
        <v>0.20449999999999999</v>
      </c>
      <c r="I36" s="11">
        <v>0.22170000000000001</v>
      </c>
    </row>
    <row r="37" spans="1:9" x14ac:dyDescent="0.3">
      <c r="A37" s="11">
        <v>6.88E-2</v>
      </c>
      <c r="B37" s="11">
        <v>0.1022</v>
      </c>
      <c r="C37" s="11">
        <v>0.13669999999999999</v>
      </c>
      <c r="D37" s="11">
        <v>0.1633</v>
      </c>
      <c r="E37" s="11">
        <v>0.18099999999999999</v>
      </c>
      <c r="F37" s="11">
        <v>0.2</v>
      </c>
      <c r="G37" s="11">
        <v>0.20300000000000001</v>
      </c>
      <c r="H37" s="11">
        <v>0.20499999999999999</v>
      </c>
      <c r="I37" s="11">
        <v>0.21010000000000001</v>
      </c>
    </row>
    <row r="38" spans="1:9" x14ac:dyDescent="0.3">
      <c r="A38" s="11">
        <v>6.7900000000000002E-2</v>
      </c>
      <c r="B38" s="11">
        <v>0.1033</v>
      </c>
      <c r="C38" s="11">
        <v>0.13020000000000001</v>
      </c>
      <c r="D38" s="11">
        <v>0.15970000000000001</v>
      </c>
      <c r="E38" s="11">
        <v>0.17749999999999999</v>
      </c>
      <c r="F38" s="11">
        <v>0.19520000000000001</v>
      </c>
      <c r="G38" s="11">
        <v>0.2019</v>
      </c>
      <c r="H38" s="11">
        <v>0.20619999999999999</v>
      </c>
      <c r="I38" s="11">
        <v>0.21440000000000001</v>
      </c>
    </row>
    <row r="39" spans="1:9" x14ac:dyDescent="0.3">
      <c r="A39" s="11">
        <v>6.4399999999999999E-2</v>
      </c>
      <c r="B39" s="11">
        <v>9.6799999999999997E-2</v>
      </c>
      <c r="C39" s="11">
        <v>0.127</v>
      </c>
      <c r="D39" s="11">
        <v>0.14879999999999999</v>
      </c>
      <c r="E39" s="11">
        <v>0.17069999999999999</v>
      </c>
      <c r="F39" s="11">
        <v>0.1875</v>
      </c>
      <c r="G39" s="11">
        <v>0.1933</v>
      </c>
      <c r="H39" s="11">
        <v>0.1966</v>
      </c>
      <c r="I39" s="11">
        <v>0.21199999999999999</v>
      </c>
    </row>
    <row r="40" spans="1:9" x14ac:dyDescent="0.3">
      <c r="A40" s="11">
        <v>6.2E-2</v>
      </c>
      <c r="B40" s="11">
        <v>0.1008</v>
      </c>
      <c r="C40" s="11">
        <v>0.1295</v>
      </c>
      <c r="D40" s="11">
        <v>0.1542</v>
      </c>
      <c r="E40" s="11">
        <v>0.1721</v>
      </c>
      <c r="F40" s="11">
        <v>0.18809999999999999</v>
      </c>
      <c r="G40" s="11">
        <v>0.1993</v>
      </c>
      <c r="H40" s="11">
        <v>0.21479999999999999</v>
      </c>
      <c r="I40" s="11">
        <v>0.19670000000000001</v>
      </c>
    </row>
    <row r="41" spans="1:9" x14ac:dyDescent="0.3">
      <c r="A41" s="11">
        <v>6.6199999999999995E-2</v>
      </c>
      <c r="B41" s="11">
        <v>9.4200000000000006E-2</v>
      </c>
      <c r="C41" s="11">
        <v>0.1235</v>
      </c>
      <c r="D41" s="11">
        <v>0.14119999999999999</v>
      </c>
      <c r="E41" s="11">
        <v>0.1608</v>
      </c>
      <c r="F41" s="11">
        <v>0.17730000000000001</v>
      </c>
      <c r="G41" s="11">
        <v>0.18579999999999999</v>
      </c>
      <c r="H41" s="11">
        <v>0.1978</v>
      </c>
      <c r="I41" s="11">
        <v>0.20649999999999999</v>
      </c>
    </row>
    <row r="42" spans="1:9" x14ac:dyDescent="0.3">
      <c r="A42" s="11">
        <v>6.8599999999999994E-2</v>
      </c>
      <c r="B42" s="11">
        <v>0.1007</v>
      </c>
      <c r="C42" s="11">
        <v>0.12559999999999999</v>
      </c>
      <c r="D42" s="11">
        <v>0.14929999999999999</v>
      </c>
      <c r="E42" s="11">
        <v>0.1638</v>
      </c>
      <c r="F42" s="11">
        <v>0.17730000000000001</v>
      </c>
      <c r="G42" s="11">
        <v>0.1875</v>
      </c>
      <c r="H42" s="11">
        <v>0.1973</v>
      </c>
      <c r="I42" s="11">
        <v>0.2051</v>
      </c>
    </row>
    <row r="43" spans="1:9" x14ac:dyDescent="0.3">
      <c r="A43" s="11">
        <v>6.8500000000000005E-2</v>
      </c>
      <c r="B43" s="11">
        <v>9.7299999999999998E-2</v>
      </c>
      <c r="C43" s="11">
        <v>0.1217</v>
      </c>
      <c r="D43" s="11">
        <v>0.1406</v>
      </c>
      <c r="E43" s="11">
        <v>0.1593</v>
      </c>
      <c r="F43" s="11">
        <v>0.1694</v>
      </c>
      <c r="G43" s="11">
        <v>0.1784</v>
      </c>
      <c r="H43" s="11">
        <v>0.18729999999999999</v>
      </c>
      <c r="I43" s="11">
        <v>0.19769999999999999</v>
      </c>
    </row>
    <row r="44" spans="1:9" x14ac:dyDescent="0.3">
      <c r="A44" s="11">
        <v>6.4799999999999996E-2</v>
      </c>
      <c r="B44" s="11">
        <v>9.4700000000000006E-2</v>
      </c>
      <c r="C44" s="11">
        <v>0.11940000000000001</v>
      </c>
      <c r="D44" s="11">
        <v>0.13589999999999999</v>
      </c>
      <c r="E44" s="11">
        <v>0.14979999999999999</v>
      </c>
      <c r="F44" s="11">
        <v>0.1605</v>
      </c>
      <c r="G44" s="11">
        <v>0.16420000000000001</v>
      </c>
      <c r="H44" s="11">
        <v>0.17480000000000001</v>
      </c>
      <c r="I44" s="11">
        <v>0.1779</v>
      </c>
    </row>
    <row r="45" spans="1:9" x14ac:dyDescent="0.3">
      <c r="A45" s="11">
        <v>6.9900000000000004E-2</v>
      </c>
      <c r="B45" s="11">
        <v>9.7900000000000001E-2</v>
      </c>
      <c r="C45" s="11">
        <v>0.1221</v>
      </c>
      <c r="D45" s="11">
        <v>0.14380000000000001</v>
      </c>
      <c r="E45" s="11">
        <v>0.16020000000000001</v>
      </c>
      <c r="F45" s="11">
        <v>0.17530000000000001</v>
      </c>
      <c r="G45" s="11">
        <v>0.1822</v>
      </c>
      <c r="H45" s="11">
        <v>0.189</v>
      </c>
      <c r="I45" s="11">
        <v>0.18629999999999999</v>
      </c>
    </row>
    <row r="46" spans="1:9" x14ac:dyDescent="0.3">
      <c r="A46" s="11">
        <v>7.0000000000000007E-2</v>
      </c>
      <c r="B46" s="11">
        <v>8.5800000000000001E-2</v>
      </c>
      <c r="C46" s="11">
        <v>0.1159</v>
      </c>
      <c r="D46" s="11">
        <v>0.13600000000000001</v>
      </c>
      <c r="E46" s="11">
        <v>0.15129999999999999</v>
      </c>
      <c r="F46" s="11">
        <v>0.1643</v>
      </c>
      <c r="G46" s="11">
        <v>0.1759</v>
      </c>
      <c r="H46" s="11">
        <v>0.18090000000000001</v>
      </c>
      <c r="I46" s="11">
        <v>0.18990000000000001</v>
      </c>
    </row>
    <row r="47" spans="1:9" x14ac:dyDescent="0.3">
      <c r="A47" s="11">
        <v>6.4199999999999993E-2</v>
      </c>
      <c r="B47" s="11">
        <v>9.1399999999999995E-2</v>
      </c>
      <c r="C47" s="11">
        <v>0.1052</v>
      </c>
      <c r="D47" s="11">
        <v>0.13150000000000001</v>
      </c>
      <c r="E47" s="11">
        <v>0.14940000000000001</v>
      </c>
      <c r="F47" s="11">
        <v>0.16089999999999999</v>
      </c>
      <c r="G47" s="11">
        <v>0.1759</v>
      </c>
      <c r="H47" s="11">
        <v>0.1729</v>
      </c>
      <c r="I47" s="11">
        <v>0.17929999999999999</v>
      </c>
    </row>
    <row r="48" spans="1:9" x14ac:dyDescent="0.3">
      <c r="A48" s="11">
        <v>5.8599999999999999E-2</v>
      </c>
      <c r="B48" s="11">
        <v>7.9799999999999996E-2</v>
      </c>
      <c r="C48" s="11">
        <v>0.10390000000000001</v>
      </c>
      <c r="D48" s="11">
        <v>0.1132</v>
      </c>
      <c r="E48" s="11">
        <v>0.13220000000000001</v>
      </c>
      <c r="F48" s="11">
        <v>0.14280000000000001</v>
      </c>
      <c r="G48" s="11">
        <v>0.14990000000000001</v>
      </c>
      <c r="H48" s="11">
        <v>0.15579999999999999</v>
      </c>
      <c r="I48" s="11">
        <v>0.15509999999999999</v>
      </c>
    </row>
    <row r="49" spans="1:9" x14ac:dyDescent="0.3">
      <c r="A49" s="11">
        <v>5.3800000000000001E-2</v>
      </c>
      <c r="B49" s="11">
        <v>8.3199999999999996E-2</v>
      </c>
      <c r="C49" s="11">
        <v>9.9099999999999994E-2</v>
      </c>
      <c r="D49" s="11">
        <v>0.1195</v>
      </c>
      <c r="E49" s="11">
        <v>0.12570000000000001</v>
      </c>
      <c r="F49" s="11">
        <v>0.14399999999999999</v>
      </c>
      <c r="G49" s="11">
        <v>0.15210000000000001</v>
      </c>
      <c r="H49" s="11">
        <v>0.16339999999999999</v>
      </c>
      <c r="I49" s="11">
        <v>0.15679999999999999</v>
      </c>
    </row>
    <row r="50" spans="1:9" x14ac:dyDescent="0.3">
      <c r="A50" s="11">
        <v>5.7599999999999998E-2</v>
      </c>
      <c r="B50" s="11">
        <v>8.6400000000000005E-2</v>
      </c>
      <c r="C50" s="11">
        <v>0.10730000000000001</v>
      </c>
      <c r="D50" s="11">
        <v>0.13020000000000001</v>
      </c>
      <c r="E50" s="11">
        <v>0.14680000000000001</v>
      </c>
      <c r="F50" s="11">
        <v>0.15920000000000001</v>
      </c>
      <c r="G50" s="11">
        <v>0.16209999999999999</v>
      </c>
      <c r="H50" s="11">
        <v>0.17069999999999999</v>
      </c>
      <c r="I50" s="11">
        <v>0.17849999999999999</v>
      </c>
    </row>
    <row r="51" spans="1:9" x14ac:dyDescent="0.3">
      <c r="A51" s="11">
        <v>6.59E-2</v>
      </c>
      <c r="B51" s="11">
        <v>8.8499999999999995E-2</v>
      </c>
      <c r="C51" s="11">
        <v>0.1074</v>
      </c>
      <c r="D51" s="11">
        <v>0.1242</v>
      </c>
      <c r="E51" s="11">
        <v>0.14080000000000001</v>
      </c>
      <c r="F51" s="11">
        <v>0.15640000000000001</v>
      </c>
      <c r="G51" s="11">
        <v>0.15629999999999999</v>
      </c>
      <c r="H51" s="11">
        <v>0.14779999999999999</v>
      </c>
      <c r="I51" s="11">
        <v>0.18579999999999999</v>
      </c>
    </row>
    <row r="52" spans="1:9" x14ac:dyDescent="0.3">
      <c r="A52" s="11">
        <v>6.1800000000000001E-2</v>
      </c>
      <c r="B52" s="11">
        <v>8.3900000000000002E-2</v>
      </c>
      <c r="C52" s="11">
        <v>0.1032</v>
      </c>
      <c r="D52" s="11">
        <v>0.1249</v>
      </c>
      <c r="E52" s="11">
        <v>0.14399999999999999</v>
      </c>
      <c r="F52" s="11">
        <v>0.15659999999999999</v>
      </c>
      <c r="G52" s="11">
        <v>0.1704</v>
      </c>
      <c r="H52" s="11">
        <v>0.18679999999999999</v>
      </c>
      <c r="I52" s="11">
        <v>0.218</v>
      </c>
    </row>
    <row r="53" spans="1:9" x14ac:dyDescent="0.3">
      <c r="A53" s="11">
        <v>6.0900000000000003E-2</v>
      </c>
      <c r="B53" s="11">
        <v>9.3399999999999997E-2</v>
      </c>
      <c r="C53" s="11">
        <v>0.1031</v>
      </c>
      <c r="D53" s="11">
        <v>0.1207</v>
      </c>
      <c r="E53" s="11">
        <v>0.13869999999999999</v>
      </c>
      <c r="F53" s="11">
        <v>0.15440000000000001</v>
      </c>
      <c r="G53" s="11">
        <v>0.17630000000000001</v>
      </c>
      <c r="H53" s="11">
        <v>0.16700000000000001</v>
      </c>
      <c r="I53" s="11">
        <v>0.192</v>
      </c>
    </row>
    <row r="54" spans="1:9" x14ac:dyDescent="0.3">
      <c r="A54" s="11">
        <v>6.3500000000000001E-2</v>
      </c>
      <c r="B54" s="11">
        <v>8.1500000000000003E-2</v>
      </c>
      <c r="C54" s="11">
        <v>0.1027</v>
      </c>
      <c r="D54" s="11">
        <v>0.11</v>
      </c>
      <c r="E54" s="11">
        <v>0.1242</v>
      </c>
      <c r="F54" s="11">
        <v>0.13400000000000001</v>
      </c>
      <c r="G54" s="11">
        <v>0.15570000000000001</v>
      </c>
      <c r="H54" s="11">
        <v>0.16569999999999999</v>
      </c>
      <c r="I54" s="11">
        <v>0.127</v>
      </c>
    </row>
    <row r="55" spans="1:9" x14ac:dyDescent="0.3">
      <c r="A55" s="11">
        <v>5.5899999999999998E-2</v>
      </c>
      <c r="B55" s="11">
        <v>7.5499999999999998E-2</v>
      </c>
      <c r="C55" s="11">
        <v>9.1300000000000006E-2</v>
      </c>
      <c r="D55" s="11">
        <v>0.11219999999999999</v>
      </c>
      <c r="E55" s="11">
        <v>0.12039999999999999</v>
      </c>
      <c r="F55" s="11">
        <v>0.13320000000000001</v>
      </c>
      <c r="G55" s="11">
        <v>0.13750000000000001</v>
      </c>
      <c r="H55" s="11">
        <v>0.1525</v>
      </c>
      <c r="I55" s="11">
        <v>0.13700000000000001</v>
      </c>
    </row>
    <row r="56" spans="1:9" x14ac:dyDescent="0.3">
      <c r="A56" s="11">
        <v>5.4800000000000001E-2</v>
      </c>
      <c r="B56" s="11">
        <v>6.93E-2</v>
      </c>
      <c r="C56" s="11">
        <v>8.77E-2</v>
      </c>
      <c r="D56" s="11">
        <v>0.10199999999999999</v>
      </c>
      <c r="E56" s="11">
        <v>0.1169</v>
      </c>
      <c r="F56" s="11">
        <v>0.1103</v>
      </c>
      <c r="G56" s="11">
        <v>0.128</v>
      </c>
      <c r="H56" s="11">
        <v>0.16400000000000001</v>
      </c>
      <c r="I56" s="11">
        <v>0.17199999999999999</v>
      </c>
    </row>
    <row r="57" spans="1:9" x14ac:dyDescent="0.3">
      <c r="A57" s="11">
        <v>5.4600000000000003E-2</v>
      </c>
      <c r="B57" s="11">
        <v>7.2700000000000001E-2</v>
      </c>
      <c r="C57" s="11">
        <v>8.0500000000000002E-2</v>
      </c>
      <c r="D57" s="11">
        <v>9.2399999999999996E-2</v>
      </c>
      <c r="E57" s="11">
        <v>9.8100000000000007E-2</v>
      </c>
      <c r="F57" s="11">
        <v>0.13120000000000001</v>
      </c>
      <c r="G57" s="11">
        <v>0.15359999999999999</v>
      </c>
      <c r="H57" s="11">
        <v>0.16719999999999999</v>
      </c>
      <c r="I57" s="11">
        <v>0.16919999999999999</v>
      </c>
    </row>
    <row r="58" spans="1:9" x14ac:dyDescent="0.3">
      <c r="A58" s="11">
        <v>5.6500000000000002E-2</v>
      </c>
      <c r="B58" s="11">
        <v>6.0299999999999999E-2</v>
      </c>
      <c r="C58" s="11">
        <v>8.77E-2</v>
      </c>
      <c r="D58" s="11">
        <v>0.10340000000000001</v>
      </c>
      <c r="E58" s="11">
        <v>0.11559999999999999</v>
      </c>
      <c r="F58" s="11">
        <v>0.13150000000000001</v>
      </c>
      <c r="G58" s="11">
        <v>0.14499999999999999</v>
      </c>
      <c r="H58" s="11">
        <v>0.13900000000000001</v>
      </c>
      <c r="I58" s="11">
        <v>0.16200000000000001</v>
      </c>
    </row>
    <row r="59" spans="1:9" x14ac:dyDescent="0.3">
      <c r="A59" s="11">
        <v>4.6100000000000002E-2</v>
      </c>
      <c r="B59" s="11">
        <v>7.5300000000000006E-2</v>
      </c>
      <c r="C59" s="11">
        <v>7.7700000000000005E-2</v>
      </c>
      <c r="D59" s="11">
        <v>0.1038</v>
      </c>
      <c r="E59" s="11">
        <v>0.1101</v>
      </c>
      <c r="F59" s="11">
        <v>0.1138</v>
      </c>
      <c r="G59" s="11">
        <v>0.1439</v>
      </c>
      <c r="H59" s="11">
        <v>0.15770000000000001</v>
      </c>
      <c r="I59" s="11">
        <v>0.15340000000000001</v>
      </c>
    </row>
    <row r="60" spans="1:9" x14ac:dyDescent="0.3">
      <c r="A60" s="11">
        <v>4.3999999999999997E-2</v>
      </c>
      <c r="B60" s="11">
        <v>7.0999999999999994E-2</v>
      </c>
      <c r="C60" s="11">
        <v>8.5400000000000004E-2</v>
      </c>
      <c r="D60" s="11">
        <v>9.2299999999999993E-2</v>
      </c>
      <c r="E60" s="11">
        <v>0.1065</v>
      </c>
      <c r="F60" s="11">
        <v>0.11700000000000001</v>
      </c>
      <c r="G60" s="11">
        <v>0.1095</v>
      </c>
      <c r="H60" s="11">
        <v>0.15609999999999999</v>
      </c>
      <c r="I60" s="11">
        <v>0.15870000000000001</v>
      </c>
    </row>
    <row r="61" spans="1:9" x14ac:dyDescent="0.3">
      <c r="A61" s="11">
        <v>4.5699999999999998E-2</v>
      </c>
      <c r="B61" s="11">
        <v>6.5799999999999997E-2</v>
      </c>
      <c r="C61" s="11">
        <v>7.2099999999999997E-2</v>
      </c>
      <c r="D61" s="11">
        <v>9.6299999999999997E-2</v>
      </c>
      <c r="E61" s="11">
        <v>9.8699999999999996E-2</v>
      </c>
      <c r="F61" s="11">
        <v>0.1123</v>
      </c>
      <c r="G61" s="11">
        <v>0.13600000000000001</v>
      </c>
      <c r="H61" s="11">
        <v>0.15679999999999999</v>
      </c>
      <c r="I61" s="11">
        <v>0.16309999999999999</v>
      </c>
    </row>
    <row r="62" spans="1:9" x14ac:dyDescent="0.3">
      <c r="A62" s="11">
        <v>5.1799999999999999E-2</v>
      </c>
      <c r="B62" s="11">
        <v>7.8399999999999997E-2</v>
      </c>
      <c r="C62" s="11">
        <v>8.7499999999999994E-2</v>
      </c>
      <c r="D62" s="11">
        <v>9.8900000000000002E-2</v>
      </c>
      <c r="E62" s="11">
        <v>0.11020000000000001</v>
      </c>
      <c r="F62" s="11">
        <v>0.1167</v>
      </c>
      <c r="G62" s="11">
        <v>0.12230000000000001</v>
      </c>
      <c r="H62" s="11">
        <v>0.15529999999999999</v>
      </c>
      <c r="I62" s="11">
        <v>0.1613</v>
      </c>
    </row>
    <row r="63" spans="1:9" x14ac:dyDescent="0.3">
      <c r="A63" s="11">
        <v>5.6399999999999999E-2</v>
      </c>
      <c r="B63" s="11">
        <v>7.8899999999999998E-2</v>
      </c>
      <c r="C63" s="11">
        <v>9.3899999999999997E-2</v>
      </c>
      <c r="D63" s="11">
        <v>0.105</v>
      </c>
      <c r="E63" s="11">
        <v>0.1207</v>
      </c>
      <c r="F63" s="11">
        <v>0.1225</v>
      </c>
      <c r="G63" s="11">
        <v>0.13400000000000001</v>
      </c>
      <c r="H63" s="11">
        <v>0.153</v>
      </c>
      <c r="I63" s="11">
        <v>0.15970000000000001</v>
      </c>
    </row>
    <row r="64" spans="1:9" x14ac:dyDescent="0.3">
      <c r="A64" s="11">
        <v>5.8700000000000002E-2</v>
      </c>
      <c r="B64" s="11">
        <v>8.0699999999999994E-2</v>
      </c>
      <c r="C64" s="11">
        <v>9.5600000000000004E-2</v>
      </c>
      <c r="D64" s="11">
        <v>0.1245</v>
      </c>
      <c r="E64" s="11">
        <v>0.1401</v>
      </c>
      <c r="F64" s="11">
        <v>0.15</v>
      </c>
      <c r="G64" s="11">
        <v>0.12920000000000001</v>
      </c>
      <c r="H64" s="11">
        <v>0.16400000000000001</v>
      </c>
      <c r="I64" s="11">
        <v>0.15920000000000001</v>
      </c>
    </row>
    <row r="65" spans="1:9" x14ac:dyDescent="0.3">
      <c r="A65" s="11">
        <v>5.9799999999999999E-2</v>
      </c>
      <c r="B65" s="11">
        <v>7.5399999999999995E-2</v>
      </c>
      <c r="C65" s="11">
        <v>8.6400000000000005E-2</v>
      </c>
      <c r="D65" s="11">
        <v>9.7699999999999995E-2</v>
      </c>
      <c r="E65" s="11">
        <v>0.1022</v>
      </c>
      <c r="F65" s="11">
        <v>0.1086</v>
      </c>
      <c r="G65" s="11">
        <v>0.10780000000000001</v>
      </c>
      <c r="H65" s="11">
        <v>0.157</v>
      </c>
      <c r="I65" s="11">
        <v>0.13</v>
      </c>
    </row>
    <row r="66" spans="1:9" x14ac:dyDescent="0.3">
      <c r="A66" s="11">
        <v>6.3299999999999995E-2</v>
      </c>
      <c r="B66" s="11">
        <v>7.6999999999999999E-2</v>
      </c>
      <c r="C66" s="11">
        <v>8.2400000000000001E-2</v>
      </c>
      <c r="D66" s="11">
        <v>9.1999999999999998E-2</v>
      </c>
      <c r="E66" s="11">
        <v>9.4500000000000001E-2</v>
      </c>
      <c r="F66" s="11">
        <v>0.12130000000000001</v>
      </c>
      <c r="G66" s="11">
        <v>0.13539999999999999</v>
      </c>
      <c r="H66" s="11">
        <v>0.14599999999999999</v>
      </c>
      <c r="I66" s="11">
        <v>0.1547</v>
      </c>
    </row>
    <row r="67" spans="1:9" x14ac:dyDescent="0.3">
      <c r="A67" s="11">
        <v>6.54E-2</v>
      </c>
      <c r="B67" s="11">
        <v>8.1000000000000003E-2</v>
      </c>
      <c r="C67" s="11">
        <v>9.4600000000000004E-2</v>
      </c>
      <c r="D67" s="11">
        <v>0.10199999999999999</v>
      </c>
      <c r="E67" s="11">
        <v>0.1099</v>
      </c>
      <c r="F67" s="11">
        <v>0.11890000000000001</v>
      </c>
      <c r="G67" s="11">
        <v>0.13650000000000001</v>
      </c>
      <c r="H67" s="11">
        <v>0.121</v>
      </c>
      <c r="I67" s="11">
        <v>0.153</v>
      </c>
    </row>
    <row r="68" spans="1:9" x14ac:dyDescent="0.3">
      <c r="A68" s="11">
        <v>6.3E-2</v>
      </c>
      <c r="B68" s="11">
        <v>8.6900000000000005E-2</v>
      </c>
      <c r="C68" s="11">
        <v>0.1028</v>
      </c>
      <c r="D68" s="11">
        <v>0.11600000000000001</v>
      </c>
      <c r="E68" s="11">
        <v>0.1198</v>
      </c>
      <c r="F68" s="11">
        <v>0.12859999999999999</v>
      </c>
      <c r="G68" s="11">
        <v>0.13370000000000001</v>
      </c>
      <c r="H68" s="11">
        <v>0.14369999999999999</v>
      </c>
      <c r="I68" s="11">
        <v>0.15129999999999999</v>
      </c>
    </row>
    <row r="69" spans="1:9" x14ac:dyDescent="0.3">
      <c r="A69" s="11">
        <v>6.1499999999999999E-2</v>
      </c>
      <c r="B69" s="11">
        <v>8.1199999999999994E-2</v>
      </c>
      <c r="C69" s="11">
        <v>9.7299999999999998E-2</v>
      </c>
      <c r="D69" s="11">
        <v>0.1154</v>
      </c>
      <c r="E69" s="11">
        <v>0.13139999999999999</v>
      </c>
      <c r="F69" s="11">
        <v>0.13500000000000001</v>
      </c>
      <c r="G69" s="11">
        <v>0.1399</v>
      </c>
      <c r="H69" s="11">
        <v>0.14099999999999999</v>
      </c>
      <c r="I69" s="11">
        <v>0.14960000000000001</v>
      </c>
    </row>
    <row r="70" spans="1:9" x14ac:dyDescent="0.3">
      <c r="A70" s="11">
        <v>5.8799999999999998E-2</v>
      </c>
      <c r="B70" s="11">
        <v>7.6799999999999993E-2</v>
      </c>
      <c r="C70" s="11">
        <v>0.1033</v>
      </c>
      <c r="D70" s="11">
        <v>0.11459999999999999</v>
      </c>
      <c r="E70" s="11">
        <v>0.1358</v>
      </c>
      <c r="F70" s="11">
        <v>0.13980000000000001</v>
      </c>
      <c r="G70" s="11">
        <v>0.14249999999999999</v>
      </c>
      <c r="H70" s="11">
        <v>0.14069999999999999</v>
      </c>
      <c r="I70" s="11">
        <v>0.1477</v>
      </c>
    </row>
    <row r="71" spans="1:9" x14ac:dyDescent="0.3">
      <c r="A71" s="11">
        <v>4.4499999999999998E-2</v>
      </c>
      <c r="B71" s="11">
        <v>7.6600000000000001E-2</v>
      </c>
      <c r="C71" s="11">
        <v>9.0300000000000005E-2</v>
      </c>
      <c r="D71" s="11">
        <v>0.1111</v>
      </c>
      <c r="E71" s="11">
        <v>0.1149</v>
      </c>
      <c r="F71" s="11">
        <v>0.1419</v>
      </c>
      <c r="G71" s="11">
        <v>0.14549999999999999</v>
      </c>
      <c r="H71" s="11">
        <v>0.128</v>
      </c>
      <c r="I71" s="11">
        <v>0.1295</v>
      </c>
    </row>
    <row r="72" spans="1:9" x14ac:dyDescent="0.3">
      <c r="A72" s="11">
        <v>5.9799999999999999E-2</v>
      </c>
      <c r="B72" s="11">
        <v>7.9600000000000004E-2</v>
      </c>
      <c r="C72" s="11">
        <v>9.9699999999999997E-2</v>
      </c>
      <c r="D72" s="11">
        <v>0.1129</v>
      </c>
      <c r="E72" s="11">
        <v>0.12870000000000001</v>
      </c>
      <c r="F72" s="11">
        <v>0.1525</v>
      </c>
      <c r="G72" s="11">
        <v>0.16</v>
      </c>
      <c r="H72" s="11">
        <v>0.17</v>
      </c>
      <c r="I72" s="11">
        <v>0.20699999999999999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2"/>
  <sheetViews>
    <sheetView workbookViewId="0">
      <selection activeCell="A72" sqref="A72:I72"/>
    </sheetView>
  </sheetViews>
  <sheetFormatPr defaultRowHeight="14.4" x14ac:dyDescent="0.3"/>
  <sheetData>
    <row r="1" spans="1:9" x14ac:dyDescent="0.3">
      <c r="A1" s="33">
        <v>5.7162310807928725E-2</v>
      </c>
      <c r="B1" s="33">
        <v>0.75494029408935015</v>
      </c>
      <c r="C1" s="1">
        <v>0.8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</row>
    <row r="2" spans="1:9" x14ac:dyDescent="0.3">
      <c r="A2">
        <v>5.7162310807928725E-2</v>
      </c>
      <c r="B2">
        <v>0.75494029408935015</v>
      </c>
      <c r="C2">
        <v>0.8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</row>
    <row r="3" spans="1:9" x14ac:dyDescent="0.3">
      <c r="A3">
        <v>5.7162310807928725E-2</v>
      </c>
      <c r="B3">
        <v>0.75494029408935015</v>
      </c>
      <c r="C3">
        <v>0.8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</row>
    <row r="4" spans="1:9" x14ac:dyDescent="0.3">
      <c r="A4">
        <v>5.7162310807928725E-2</v>
      </c>
      <c r="B4">
        <v>0.75494029408935015</v>
      </c>
      <c r="C4">
        <v>0.8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">
      <c r="A5">
        <v>5.7162310807928725E-2</v>
      </c>
      <c r="B5">
        <v>0.75494029408935015</v>
      </c>
      <c r="C5">
        <v>0.8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">
      <c r="A6">
        <v>5.7162310807928725E-2</v>
      </c>
      <c r="B6">
        <v>0.75494029408935015</v>
      </c>
      <c r="C6">
        <v>0.8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</row>
    <row r="7" spans="1:9" x14ac:dyDescent="0.3">
      <c r="A7">
        <v>5.7162310807928725E-2</v>
      </c>
      <c r="B7">
        <v>0.75494029408935015</v>
      </c>
      <c r="C7">
        <v>0.8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3">
      <c r="A8">
        <v>5.7162310807928725E-2</v>
      </c>
      <c r="B8">
        <v>0.75494029408935015</v>
      </c>
      <c r="C8">
        <v>0.8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</row>
    <row r="9" spans="1:9" x14ac:dyDescent="0.3">
      <c r="A9">
        <v>5.7162310807928725E-2</v>
      </c>
      <c r="B9">
        <v>0.75494029408935015</v>
      </c>
      <c r="C9">
        <v>0.8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</row>
    <row r="10" spans="1:9" x14ac:dyDescent="0.3">
      <c r="A10">
        <v>5.7162310807928725E-2</v>
      </c>
      <c r="B10">
        <v>0.75494029408935015</v>
      </c>
      <c r="C10">
        <v>0.8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</row>
    <row r="11" spans="1:9" x14ac:dyDescent="0.3">
      <c r="A11">
        <v>5.7162310807928725E-2</v>
      </c>
      <c r="B11">
        <v>0.75494029408935015</v>
      </c>
      <c r="C11">
        <v>0.8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</row>
    <row r="12" spans="1:9" x14ac:dyDescent="0.3">
      <c r="A12">
        <v>5.7162310807928725E-2</v>
      </c>
      <c r="B12">
        <v>0.75494029408935015</v>
      </c>
      <c r="C12">
        <v>0.8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</row>
    <row r="13" spans="1:9" x14ac:dyDescent="0.3">
      <c r="A13">
        <v>5.7162310807928725E-2</v>
      </c>
      <c r="B13">
        <v>0.75494029408935015</v>
      </c>
      <c r="C13">
        <v>0.8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</row>
    <row r="14" spans="1:9" x14ac:dyDescent="0.3">
      <c r="A14">
        <v>5.7162310807928725E-2</v>
      </c>
      <c r="B14">
        <v>0.75494029408935015</v>
      </c>
      <c r="C14">
        <v>0.8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 x14ac:dyDescent="0.3">
      <c r="A15">
        <v>5.7162310807928725E-2</v>
      </c>
      <c r="B15">
        <v>0.75494029408935015</v>
      </c>
      <c r="C15">
        <v>0.8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9" x14ac:dyDescent="0.3">
      <c r="A16">
        <v>5.7162310807928725E-2</v>
      </c>
      <c r="B16">
        <v>0.75494029408935015</v>
      </c>
      <c r="C16">
        <v>0.8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3">
      <c r="A17">
        <v>5.7162310807928725E-2</v>
      </c>
      <c r="B17">
        <v>0.75494029408935015</v>
      </c>
      <c r="C17">
        <v>0.8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</row>
    <row r="18" spans="1:9" x14ac:dyDescent="0.3">
      <c r="A18">
        <v>5.7162310807928725E-2</v>
      </c>
      <c r="B18">
        <v>0.75494029408935015</v>
      </c>
      <c r="C18">
        <v>0.8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</row>
    <row r="19" spans="1:9" x14ac:dyDescent="0.3">
      <c r="A19">
        <v>5.7162310807928725E-2</v>
      </c>
      <c r="B19">
        <v>0.75494029408935015</v>
      </c>
      <c r="C19">
        <v>0.8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</row>
    <row r="20" spans="1:9" x14ac:dyDescent="0.3">
      <c r="A20">
        <v>5.7162310807928725E-2</v>
      </c>
      <c r="B20">
        <v>0.75494029408935015</v>
      </c>
      <c r="C20">
        <v>0.8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</row>
    <row r="21" spans="1:9" x14ac:dyDescent="0.3">
      <c r="A21">
        <v>5.7162310807928725E-2</v>
      </c>
      <c r="B21">
        <v>0.75494029408935015</v>
      </c>
      <c r="C21">
        <v>0.8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</row>
    <row r="22" spans="1:9" x14ac:dyDescent="0.3">
      <c r="A22">
        <v>5.7162310807928725E-2</v>
      </c>
      <c r="B22">
        <v>0.75494029408935015</v>
      </c>
      <c r="C22">
        <v>0.8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</row>
    <row r="23" spans="1:9" x14ac:dyDescent="0.3">
      <c r="A23">
        <v>5.7162310807928725E-2</v>
      </c>
      <c r="B23">
        <v>0.75494029408935015</v>
      </c>
      <c r="C23">
        <v>0.8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</row>
    <row r="24" spans="1:9" x14ac:dyDescent="0.3">
      <c r="A24">
        <v>5.7162310807928725E-2</v>
      </c>
      <c r="B24">
        <v>0.75494029408935015</v>
      </c>
      <c r="C24">
        <v>0.8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</row>
    <row r="25" spans="1:9" x14ac:dyDescent="0.3">
      <c r="A25">
        <v>5.7162310807928725E-2</v>
      </c>
      <c r="B25">
        <v>0.75494029408935015</v>
      </c>
      <c r="C25">
        <v>0.8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</row>
    <row r="26" spans="1:9" x14ac:dyDescent="0.3">
      <c r="A26">
        <v>5.7162310807928725E-2</v>
      </c>
      <c r="B26">
        <v>0.75494029408935015</v>
      </c>
      <c r="C26">
        <v>0.8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</row>
    <row r="27" spans="1:9" x14ac:dyDescent="0.3">
      <c r="A27">
        <v>5.7162310807928725E-2</v>
      </c>
      <c r="B27">
        <v>0.75494029408935015</v>
      </c>
      <c r="C27">
        <v>0.8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3">
      <c r="A28">
        <v>5.7162310807928725E-2</v>
      </c>
      <c r="B28">
        <v>0.75494029408935015</v>
      </c>
      <c r="C28">
        <v>0.8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9" x14ac:dyDescent="0.3">
      <c r="A29">
        <v>5.7162310807928725E-2</v>
      </c>
      <c r="B29">
        <v>0.75494029408935015</v>
      </c>
      <c r="C29">
        <v>0.8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</row>
    <row r="30" spans="1:9" x14ac:dyDescent="0.3">
      <c r="A30">
        <v>5.7162310807928725E-2</v>
      </c>
      <c r="B30">
        <v>0.75494029408935015</v>
      </c>
      <c r="C30">
        <v>0.8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</row>
    <row r="31" spans="1:9" x14ac:dyDescent="0.3">
      <c r="A31">
        <v>5.7162310807928725E-2</v>
      </c>
      <c r="B31">
        <v>0.75494029408935015</v>
      </c>
      <c r="C31">
        <v>0.8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</row>
    <row r="32" spans="1:9" x14ac:dyDescent="0.3">
      <c r="A32">
        <v>5.7162310807928725E-2</v>
      </c>
      <c r="B32">
        <v>0.75494029408935015</v>
      </c>
      <c r="C32">
        <v>0.8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</row>
    <row r="33" spans="1:9" x14ac:dyDescent="0.3">
      <c r="A33">
        <v>5.7162310807928725E-2</v>
      </c>
      <c r="B33">
        <v>0.75494029408935015</v>
      </c>
      <c r="C33">
        <v>0.8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</row>
    <row r="34" spans="1:9" x14ac:dyDescent="0.3">
      <c r="A34">
        <v>5.7162310807928725E-2</v>
      </c>
      <c r="B34">
        <v>0.75494029408935015</v>
      </c>
      <c r="C34">
        <v>0.8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</row>
    <row r="35" spans="1:9" x14ac:dyDescent="0.3">
      <c r="A35">
        <v>5.7162310807928725E-2</v>
      </c>
      <c r="B35">
        <v>0.75494029408935015</v>
      </c>
      <c r="C35">
        <v>0.8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9" x14ac:dyDescent="0.3">
      <c r="A36">
        <v>5.7162310807928725E-2</v>
      </c>
      <c r="B36">
        <v>0.75494029408935015</v>
      </c>
      <c r="C36">
        <v>0.8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</row>
    <row r="37" spans="1:9" x14ac:dyDescent="0.3">
      <c r="A37">
        <v>5.7162310807928725E-2</v>
      </c>
      <c r="B37">
        <v>0.75494029408935015</v>
      </c>
      <c r="C37">
        <v>0.8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</row>
    <row r="38" spans="1:9" x14ac:dyDescent="0.3">
      <c r="A38">
        <v>5.7162310807928725E-2</v>
      </c>
      <c r="B38">
        <v>0.75494029408935015</v>
      </c>
      <c r="C38">
        <v>0.8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</row>
    <row r="39" spans="1:9" x14ac:dyDescent="0.3">
      <c r="A39">
        <v>5.7162310807928725E-2</v>
      </c>
      <c r="B39">
        <v>0.75494029408935015</v>
      </c>
      <c r="C39">
        <v>0.8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</row>
    <row r="40" spans="1:9" x14ac:dyDescent="0.3">
      <c r="A40">
        <v>5.7162310807928725E-2</v>
      </c>
      <c r="B40">
        <v>0.75494029408935015</v>
      </c>
      <c r="C40">
        <v>0.8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</row>
    <row r="41" spans="1:9" x14ac:dyDescent="0.3">
      <c r="A41">
        <v>5.7162310807928725E-2</v>
      </c>
      <c r="B41">
        <v>0.75494029408935015</v>
      </c>
      <c r="C41">
        <v>0.8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3">
      <c r="A42">
        <v>5.7162310807928725E-2</v>
      </c>
      <c r="B42">
        <v>0.75494029408935015</v>
      </c>
      <c r="C42">
        <v>0.8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 x14ac:dyDescent="0.3">
      <c r="A43">
        <v>5.7162310807928725E-2</v>
      </c>
      <c r="B43">
        <v>0.75494029408935015</v>
      </c>
      <c r="C43">
        <v>0.8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</row>
    <row r="44" spans="1:9" x14ac:dyDescent="0.3">
      <c r="A44">
        <v>5.7162310807928725E-2</v>
      </c>
      <c r="B44">
        <v>0.75494029408935015</v>
      </c>
      <c r="C44">
        <v>0.8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</row>
    <row r="45" spans="1:9" x14ac:dyDescent="0.3">
      <c r="A45">
        <v>5.7162310807928725E-2</v>
      </c>
      <c r="B45">
        <v>0.75494029408935015</v>
      </c>
      <c r="C45">
        <v>0.8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</row>
    <row r="46" spans="1:9" x14ac:dyDescent="0.3">
      <c r="A46">
        <v>5.7162310807928725E-2</v>
      </c>
      <c r="B46">
        <v>0.75494029408935015</v>
      </c>
      <c r="C46">
        <v>0.8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9" x14ac:dyDescent="0.3">
      <c r="A47">
        <v>5.7162310807928725E-2</v>
      </c>
      <c r="B47">
        <v>0.75494029408935015</v>
      </c>
      <c r="C47">
        <v>0.8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 x14ac:dyDescent="0.3">
      <c r="A48">
        <v>5.7162310807928725E-2</v>
      </c>
      <c r="B48">
        <v>0.75494029408935015</v>
      </c>
      <c r="C48">
        <v>0.8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x14ac:dyDescent="0.3">
      <c r="A49">
        <v>5.7162310807928725E-2</v>
      </c>
      <c r="B49">
        <v>0.75494029408935015</v>
      </c>
      <c r="C49">
        <v>0.8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9" x14ac:dyDescent="0.3">
      <c r="A50">
        <v>5.7162310807928725E-2</v>
      </c>
      <c r="B50">
        <v>0.75494029408935015</v>
      </c>
      <c r="C50">
        <v>0.8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</row>
    <row r="51" spans="1:9" x14ac:dyDescent="0.3">
      <c r="A51">
        <v>5.7162310807928725E-2</v>
      </c>
      <c r="B51">
        <v>0.75494029408935015</v>
      </c>
      <c r="C51">
        <v>0.8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</row>
    <row r="52" spans="1:9" x14ac:dyDescent="0.3">
      <c r="A52">
        <v>5.7162310807928725E-2</v>
      </c>
      <c r="B52">
        <v>0.75494029408935015</v>
      </c>
      <c r="C52">
        <v>0.8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 x14ac:dyDescent="0.3">
      <c r="A53">
        <v>5.7162310807928725E-2</v>
      </c>
      <c r="B53">
        <v>0.75494029408935015</v>
      </c>
      <c r="C53">
        <v>0.8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</row>
    <row r="54" spans="1:9" x14ac:dyDescent="0.3">
      <c r="A54">
        <v>5.7162310807928725E-2</v>
      </c>
      <c r="B54">
        <v>0.75494029408935015</v>
      </c>
      <c r="C54">
        <v>0.8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</row>
    <row r="55" spans="1:9" x14ac:dyDescent="0.3">
      <c r="A55">
        <v>5.7162310807928725E-2</v>
      </c>
      <c r="B55">
        <v>0.75494029408935015</v>
      </c>
      <c r="C55">
        <v>0.8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 x14ac:dyDescent="0.3">
      <c r="A56">
        <v>5.7162310807928725E-2</v>
      </c>
      <c r="B56">
        <v>0.75494029408935015</v>
      </c>
      <c r="C56">
        <v>0.8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</row>
    <row r="57" spans="1:9" x14ac:dyDescent="0.3">
      <c r="A57">
        <v>5.7162310807928725E-2</v>
      </c>
      <c r="B57">
        <v>0.75494029408935015</v>
      </c>
      <c r="C57">
        <v>0.8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</row>
    <row r="58" spans="1:9" x14ac:dyDescent="0.3">
      <c r="A58">
        <v>5.7162310807928725E-2</v>
      </c>
      <c r="B58">
        <v>0.75494029408935015</v>
      </c>
      <c r="C58">
        <v>0.8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</row>
    <row r="59" spans="1:9" x14ac:dyDescent="0.3">
      <c r="A59">
        <v>5.7162310807928725E-2</v>
      </c>
      <c r="B59">
        <v>0.75494029408935015</v>
      </c>
      <c r="C59">
        <v>0.8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</row>
    <row r="60" spans="1:9" x14ac:dyDescent="0.3">
      <c r="A60">
        <v>5.7162310807928725E-2</v>
      </c>
      <c r="B60">
        <v>0.75494029408935015</v>
      </c>
      <c r="C60">
        <v>0.8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</row>
    <row r="61" spans="1:9" x14ac:dyDescent="0.3">
      <c r="A61">
        <v>5.7162310807928725E-2</v>
      </c>
      <c r="B61">
        <v>0.75494029408935015</v>
      </c>
      <c r="C61">
        <v>0.8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</row>
    <row r="62" spans="1:9" x14ac:dyDescent="0.3">
      <c r="A62">
        <v>5.7162310807928725E-2</v>
      </c>
      <c r="B62">
        <v>0.75494029408935015</v>
      </c>
      <c r="C62">
        <v>0.8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9" x14ac:dyDescent="0.3">
      <c r="A63">
        <v>5.7162310807928725E-2</v>
      </c>
      <c r="B63">
        <v>0.75494029408935015</v>
      </c>
      <c r="C63">
        <v>0.8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</row>
    <row r="64" spans="1:9" x14ac:dyDescent="0.3">
      <c r="A64">
        <v>5.7162310807928725E-2</v>
      </c>
      <c r="B64">
        <v>0.75494029408935015</v>
      </c>
      <c r="C64">
        <v>0.8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</row>
    <row r="65" spans="1:9" x14ac:dyDescent="0.3">
      <c r="A65">
        <v>5.7162310807928725E-2</v>
      </c>
      <c r="B65">
        <v>0.75494029408935015</v>
      </c>
      <c r="C65">
        <v>0.8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</row>
    <row r="66" spans="1:9" x14ac:dyDescent="0.3">
      <c r="A66">
        <v>5.7162310807928725E-2</v>
      </c>
      <c r="B66">
        <v>0.75494029408935015</v>
      </c>
      <c r="C66">
        <v>0.8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</row>
    <row r="67" spans="1:9" x14ac:dyDescent="0.3">
      <c r="A67">
        <v>5.7162310807928725E-2</v>
      </c>
      <c r="B67">
        <v>0.75494029408935015</v>
      </c>
      <c r="C67">
        <v>0.8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</row>
    <row r="68" spans="1:9" x14ac:dyDescent="0.3">
      <c r="A68">
        <v>5.7162310807928725E-2</v>
      </c>
      <c r="B68">
        <v>0.75494029408935015</v>
      </c>
      <c r="C68">
        <v>0.8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</row>
    <row r="69" spans="1:9" x14ac:dyDescent="0.3">
      <c r="A69">
        <v>5.7162310807928725E-2</v>
      </c>
      <c r="B69">
        <v>0.75494029408935015</v>
      </c>
      <c r="C69">
        <v>0.8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 x14ac:dyDescent="0.3">
      <c r="A70">
        <v>5.7162310807928725E-2</v>
      </c>
      <c r="B70">
        <v>0.75494029408935015</v>
      </c>
      <c r="C70">
        <v>0.8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</row>
    <row r="71" spans="1:9" x14ac:dyDescent="0.3">
      <c r="A71">
        <v>5.7162310807928725E-2</v>
      </c>
      <c r="B71">
        <v>0.75494029408935015</v>
      </c>
      <c r="C71">
        <v>0.8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</row>
    <row r="72" spans="1:9" x14ac:dyDescent="0.3">
      <c r="A72">
        <v>5.7162310807928725E-2</v>
      </c>
      <c r="B72">
        <v>0.75494029408935015</v>
      </c>
      <c r="C72">
        <v>0.8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2"/>
  <sheetViews>
    <sheetView workbookViewId="0">
      <selection activeCell="G10" sqref="G10"/>
    </sheetView>
  </sheetViews>
  <sheetFormatPr defaultRowHeight="14.4" x14ac:dyDescent="0.3"/>
  <sheetData>
    <row r="1" spans="1:9" x14ac:dyDescent="0.3">
      <c r="A1" s="4">
        <v>0.35137465357867287</v>
      </c>
      <c r="B1" s="4">
        <v>0.35137465357867287</v>
      </c>
      <c r="C1" s="4">
        <v>0.35137465357867287</v>
      </c>
      <c r="D1" s="4">
        <v>0.46888289354055462</v>
      </c>
      <c r="E1" s="4">
        <v>0.62568875021526948</v>
      </c>
      <c r="F1" s="4">
        <v>0.8349343035098068</v>
      </c>
      <c r="G1" s="4">
        <v>1.1141566648554289</v>
      </c>
      <c r="H1" s="4">
        <v>1.4867577827663085</v>
      </c>
      <c r="I1" s="24">
        <v>1.4867577827663085</v>
      </c>
    </row>
    <row r="2" spans="1:9" x14ac:dyDescent="0.3">
      <c r="A2" s="4">
        <v>0.35137465357867287</v>
      </c>
      <c r="B2" s="4">
        <v>0.35137465357867287</v>
      </c>
      <c r="C2" s="4">
        <v>0.35137465357867287</v>
      </c>
      <c r="D2" s="4">
        <v>0.46888289354055462</v>
      </c>
      <c r="E2" s="4">
        <v>0.62568875021526948</v>
      </c>
      <c r="F2" s="4">
        <v>0.8349343035098068</v>
      </c>
      <c r="G2" s="4">
        <v>1.1141566648554289</v>
      </c>
      <c r="H2" s="4">
        <v>1.4867577827663085</v>
      </c>
      <c r="I2" s="24">
        <v>1.4867577827663085</v>
      </c>
    </row>
    <row r="3" spans="1:9" x14ac:dyDescent="0.3">
      <c r="A3" s="4">
        <v>0.35137465357867287</v>
      </c>
      <c r="B3" s="4">
        <v>0.35137465357867287</v>
      </c>
      <c r="C3" s="4">
        <v>0.35137465357867287</v>
      </c>
      <c r="D3" s="4">
        <v>0.46888289354055462</v>
      </c>
      <c r="E3" s="4">
        <v>0.62568875021526948</v>
      </c>
      <c r="F3" s="4">
        <v>0.8349343035098068</v>
      </c>
      <c r="G3" s="4">
        <v>1.1141566648554289</v>
      </c>
      <c r="H3" s="4">
        <v>1.4867577827663085</v>
      </c>
      <c r="I3" s="24">
        <v>1.4867577827663085</v>
      </c>
    </row>
    <row r="4" spans="1:9" x14ac:dyDescent="0.3">
      <c r="A4" s="4">
        <v>0.35137465357867287</v>
      </c>
      <c r="B4" s="4">
        <v>0.35137465357867287</v>
      </c>
      <c r="C4" s="4">
        <v>0.35137465357867287</v>
      </c>
      <c r="D4" s="4">
        <v>0.46888289354055462</v>
      </c>
      <c r="E4" s="4">
        <v>0.62568875021526948</v>
      </c>
      <c r="F4" s="4">
        <v>0.8349343035098068</v>
      </c>
      <c r="G4" s="4">
        <v>1.1141566648554289</v>
      </c>
      <c r="H4" s="4">
        <v>1.4867577827663085</v>
      </c>
      <c r="I4" s="24">
        <v>1.4867577827663085</v>
      </c>
    </row>
    <row r="5" spans="1:9" x14ac:dyDescent="0.3">
      <c r="A5" s="4">
        <v>0.35137465357867287</v>
      </c>
      <c r="B5" s="4">
        <v>0.35137465357867287</v>
      </c>
      <c r="C5" s="4">
        <v>0.35137465357867287</v>
      </c>
      <c r="D5" s="4">
        <v>0.46888289354055462</v>
      </c>
      <c r="E5" s="4">
        <v>0.62568875021526948</v>
      </c>
      <c r="F5" s="4">
        <v>0.8349343035098068</v>
      </c>
      <c r="G5" s="4">
        <v>1.1141566648554289</v>
      </c>
      <c r="H5" s="4">
        <v>1.4867577827663085</v>
      </c>
      <c r="I5" s="24">
        <v>1.4867577827663085</v>
      </c>
    </row>
    <row r="6" spans="1:9" x14ac:dyDescent="0.3">
      <c r="A6" s="4">
        <v>0.35137465357867287</v>
      </c>
      <c r="B6" s="4">
        <v>0.35137465357867287</v>
      </c>
      <c r="C6" s="4">
        <v>0.35137465357867287</v>
      </c>
      <c r="D6" s="4">
        <v>0.46888289354055462</v>
      </c>
      <c r="E6" s="4">
        <v>0.62568875021526948</v>
      </c>
      <c r="F6" s="4">
        <v>0.8349343035098068</v>
      </c>
      <c r="G6" s="4">
        <v>1.1141566648554289</v>
      </c>
      <c r="H6" s="4">
        <v>1.4867577827663085</v>
      </c>
      <c r="I6" s="24">
        <v>1.4867577827663085</v>
      </c>
    </row>
    <row r="7" spans="1:9" x14ac:dyDescent="0.3">
      <c r="A7" s="4">
        <v>0.35137465357867287</v>
      </c>
      <c r="B7" s="4">
        <v>0.35137465357867287</v>
      </c>
      <c r="C7" s="4">
        <v>0.35137465357867287</v>
      </c>
      <c r="D7" s="4">
        <v>0.46888289354055462</v>
      </c>
      <c r="E7" s="4">
        <v>0.62568875021526948</v>
      </c>
      <c r="F7" s="4">
        <v>0.8349343035098068</v>
      </c>
      <c r="G7" s="4">
        <v>1.1141566648554289</v>
      </c>
      <c r="H7" s="4">
        <v>1.4867577827663085</v>
      </c>
      <c r="I7" s="24">
        <v>1.4867577827663085</v>
      </c>
    </row>
    <row r="8" spans="1:9" x14ac:dyDescent="0.3">
      <c r="A8" s="4">
        <v>0.35137465357867287</v>
      </c>
      <c r="B8" s="4">
        <v>0.35137465357867287</v>
      </c>
      <c r="C8" s="4">
        <v>0.35137465357867287</v>
      </c>
      <c r="D8" s="4">
        <v>0.46888289354055462</v>
      </c>
      <c r="E8" s="4">
        <v>0.62568875021526948</v>
      </c>
      <c r="F8" s="4">
        <v>0.8349343035098068</v>
      </c>
      <c r="G8" s="4">
        <v>1.1141566648554289</v>
      </c>
      <c r="H8" s="4">
        <v>1.4867577827663085</v>
      </c>
      <c r="I8" s="24">
        <v>1.4867577827663085</v>
      </c>
    </row>
    <row r="9" spans="1:9" x14ac:dyDescent="0.3">
      <c r="A9" s="4">
        <v>0.35137465357867287</v>
      </c>
      <c r="B9" s="4">
        <v>0.35137465357867287</v>
      </c>
      <c r="C9" s="4">
        <v>0.35137465357867287</v>
      </c>
      <c r="D9" s="4">
        <v>0.46888289354055462</v>
      </c>
      <c r="E9" s="4">
        <v>0.62568875021526948</v>
      </c>
      <c r="F9" s="4">
        <v>0.8349343035098068</v>
      </c>
      <c r="G9" s="4">
        <v>1.1141566648554289</v>
      </c>
      <c r="H9" s="4">
        <v>1.4867577827663085</v>
      </c>
      <c r="I9" s="24">
        <v>1.4867577827663085</v>
      </c>
    </row>
    <row r="10" spans="1:9" x14ac:dyDescent="0.3">
      <c r="A10" s="4">
        <v>0.35137465357867287</v>
      </c>
      <c r="B10" s="4">
        <v>0.35137465357867287</v>
      </c>
      <c r="C10" s="4">
        <v>0.35137465357867287</v>
      </c>
      <c r="D10" s="4">
        <v>0.46888289354055462</v>
      </c>
      <c r="E10" s="4">
        <v>0.62568875021526948</v>
      </c>
      <c r="F10" s="4">
        <v>0.8349343035098068</v>
      </c>
      <c r="G10" s="4">
        <v>1.1141566648554289</v>
      </c>
      <c r="H10" s="4">
        <v>1.4867577827663085</v>
      </c>
      <c r="I10" s="24">
        <v>1.4867577827663085</v>
      </c>
    </row>
    <row r="11" spans="1:9" x14ac:dyDescent="0.3">
      <c r="A11" s="4">
        <v>0.35137465357867287</v>
      </c>
      <c r="B11" s="4">
        <v>0.35137465357867287</v>
      </c>
      <c r="C11" s="4">
        <v>0.35137465357867287</v>
      </c>
      <c r="D11" s="4">
        <v>0.46888289354055462</v>
      </c>
      <c r="E11" s="4">
        <v>0.62568875021526948</v>
      </c>
      <c r="F11" s="4">
        <v>0.8349343035098068</v>
      </c>
      <c r="G11" s="4">
        <v>1.1141566648554289</v>
      </c>
      <c r="H11" s="4">
        <v>1.4867577827663085</v>
      </c>
      <c r="I11" s="24">
        <v>1.4867577827663085</v>
      </c>
    </row>
    <row r="12" spans="1:9" x14ac:dyDescent="0.3">
      <c r="A12" s="4">
        <v>0.35137465357867287</v>
      </c>
      <c r="B12" s="4">
        <v>0.35137465357867287</v>
      </c>
      <c r="C12" s="4">
        <v>0.35137465357867287</v>
      </c>
      <c r="D12" s="4">
        <v>0.46888289354055462</v>
      </c>
      <c r="E12" s="4">
        <v>0.62568875021526948</v>
      </c>
      <c r="F12" s="4">
        <v>0.8349343035098068</v>
      </c>
      <c r="G12" s="4">
        <v>1.1141566648554289</v>
      </c>
      <c r="H12" s="4">
        <v>1.4867577827663085</v>
      </c>
      <c r="I12" s="24">
        <v>1.4867577827663085</v>
      </c>
    </row>
    <row r="13" spans="1:9" x14ac:dyDescent="0.3">
      <c r="A13" s="4">
        <v>0.35137465357867287</v>
      </c>
      <c r="B13" s="4">
        <v>0.35137465357867287</v>
      </c>
      <c r="C13" s="4">
        <v>0.35137465357867287</v>
      </c>
      <c r="D13" s="4">
        <v>0.46888289354055462</v>
      </c>
      <c r="E13" s="4">
        <v>0.62568875021526948</v>
      </c>
      <c r="F13" s="4">
        <v>0.8349343035098068</v>
      </c>
      <c r="G13" s="4">
        <v>1.1141566648554289</v>
      </c>
      <c r="H13" s="4">
        <v>1.4867577827663085</v>
      </c>
      <c r="I13" s="24">
        <v>1.4867577827663085</v>
      </c>
    </row>
    <row r="14" spans="1:9" x14ac:dyDescent="0.3">
      <c r="A14" s="4">
        <v>0.35137465357867287</v>
      </c>
      <c r="B14" s="4">
        <v>0.35137465357867287</v>
      </c>
      <c r="C14" s="4">
        <v>0.35137465357867287</v>
      </c>
      <c r="D14" s="4">
        <v>0.46888289354055462</v>
      </c>
      <c r="E14" s="4">
        <v>0.62568875021526948</v>
      </c>
      <c r="F14" s="4">
        <v>0.8349343035098068</v>
      </c>
      <c r="G14" s="4">
        <v>1.1141566648554289</v>
      </c>
      <c r="H14" s="4">
        <v>1.4867577827663085</v>
      </c>
      <c r="I14" s="24">
        <v>1.4867577827663085</v>
      </c>
    </row>
    <row r="15" spans="1:9" x14ac:dyDescent="0.3">
      <c r="A15" s="4">
        <v>0.35137465357867287</v>
      </c>
      <c r="B15" s="4">
        <v>0.35137465357867287</v>
      </c>
      <c r="C15" s="4">
        <v>0.35137465357867287</v>
      </c>
      <c r="D15" s="4">
        <v>0.46888289354055462</v>
      </c>
      <c r="E15" s="4">
        <v>0.62568875021526948</v>
      </c>
      <c r="F15" s="4">
        <v>0.8349343035098068</v>
      </c>
      <c r="G15" s="4">
        <v>1.1141566648554289</v>
      </c>
      <c r="H15" s="4">
        <v>1.4867577827663085</v>
      </c>
      <c r="I15" s="24">
        <v>1.4867577827663085</v>
      </c>
    </row>
    <row r="16" spans="1:9" x14ac:dyDescent="0.3">
      <c r="A16" s="4">
        <v>0.35137465357867287</v>
      </c>
      <c r="B16" s="4">
        <v>0.35137465357867287</v>
      </c>
      <c r="C16" s="4">
        <v>0.35137465357867287</v>
      </c>
      <c r="D16" s="4">
        <v>0.46888289354055462</v>
      </c>
      <c r="E16" s="4">
        <v>0.62568875021526948</v>
      </c>
      <c r="F16" s="4">
        <v>0.8349343035098068</v>
      </c>
      <c r="G16" s="4">
        <v>1.1141566648554289</v>
      </c>
      <c r="H16" s="4">
        <v>1.4867577827663085</v>
      </c>
      <c r="I16" s="24">
        <v>1.4867577827663085</v>
      </c>
    </row>
    <row r="17" spans="1:9" x14ac:dyDescent="0.3">
      <c r="A17" s="4">
        <v>0.35137465357867287</v>
      </c>
      <c r="B17" s="4">
        <v>0.35137465357867287</v>
      </c>
      <c r="C17" s="4">
        <v>0.35137465357867287</v>
      </c>
      <c r="D17" s="4">
        <v>0.46888289354055462</v>
      </c>
      <c r="E17" s="4">
        <v>0.62568875021526948</v>
      </c>
      <c r="F17" s="4">
        <v>0.8349343035098068</v>
      </c>
      <c r="G17" s="4">
        <v>1.1141566648554289</v>
      </c>
      <c r="H17" s="4">
        <v>1.4867577827663085</v>
      </c>
      <c r="I17" s="24">
        <v>1.4867577827663085</v>
      </c>
    </row>
    <row r="18" spans="1:9" x14ac:dyDescent="0.3">
      <c r="A18" s="4">
        <v>0.35137465357867287</v>
      </c>
      <c r="B18" s="4">
        <v>0.35137465357867287</v>
      </c>
      <c r="C18" s="4">
        <v>0.35137465357867287</v>
      </c>
      <c r="D18" s="4">
        <v>0.46888289354055462</v>
      </c>
      <c r="E18" s="4">
        <v>0.62568875021526948</v>
      </c>
      <c r="F18" s="4">
        <v>0.8349343035098068</v>
      </c>
      <c r="G18" s="4">
        <v>1.1141566648554289</v>
      </c>
      <c r="H18" s="4">
        <v>1.4867577827663085</v>
      </c>
      <c r="I18" s="24">
        <v>1.4867577827663085</v>
      </c>
    </row>
    <row r="19" spans="1:9" x14ac:dyDescent="0.3">
      <c r="A19" s="4">
        <v>0.35137465357867287</v>
      </c>
      <c r="B19" s="4">
        <v>0.35137465357867287</v>
      </c>
      <c r="C19" s="4">
        <v>0.35137465357867287</v>
      </c>
      <c r="D19" s="4">
        <v>0.46888289354055462</v>
      </c>
      <c r="E19" s="4">
        <v>0.62568875021526948</v>
      </c>
      <c r="F19" s="4">
        <v>0.8349343035098068</v>
      </c>
      <c r="G19" s="4">
        <v>1.1141566648554289</v>
      </c>
      <c r="H19" s="4">
        <v>1.4867577827663085</v>
      </c>
      <c r="I19" s="24">
        <v>1.4867577827663085</v>
      </c>
    </row>
    <row r="20" spans="1:9" x14ac:dyDescent="0.3">
      <c r="A20" s="4">
        <v>0.35137465357867287</v>
      </c>
      <c r="B20" s="4">
        <v>0.35137465357867287</v>
      </c>
      <c r="C20" s="4">
        <v>0.35137465357867287</v>
      </c>
      <c r="D20" s="4">
        <v>0.46888289354055462</v>
      </c>
      <c r="E20" s="4">
        <v>0.62568875021526948</v>
      </c>
      <c r="F20" s="4">
        <v>0.8349343035098068</v>
      </c>
      <c r="G20" s="4">
        <v>1.1141566648554289</v>
      </c>
      <c r="H20" s="4">
        <v>1.4867577827663085</v>
      </c>
      <c r="I20" s="24">
        <v>1.4867577827663085</v>
      </c>
    </row>
    <row r="21" spans="1:9" x14ac:dyDescent="0.3">
      <c r="A21" s="4">
        <v>0.35137465357867287</v>
      </c>
      <c r="B21" s="4">
        <v>0.35137465357867287</v>
      </c>
      <c r="C21" s="4">
        <v>0.35137465357867287</v>
      </c>
      <c r="D21" s="4">
        <v>0.46888289354055462</v>
      </c>
      <c r="E21" s="4">
        <v>0.62568875021526948</v>
      </c>
      <c r="F21" s="4">
        <v>0.8349343035098068</v>
      </c>
      <c r="G21" s="4">
        <v>1.1141566648554289</v>
      </c>
      <c r="H21" s="4">
        <v>1.4867577827663085</v>
      </c>
      <c r="I21" s="24">
        <v>1.4867577827663085</v>
      </c>
    </row>
    <row r="22" spans="1:9" x14ac:dyDescent="0.3">
      <c r="A22" s="4">
        <v>0.35137465357867287</v>
      </c>
      <c r="B22" s="4">
        <v>0.35137465357867287</v>
      </c>
      <c r="C22" s="4">
        <v>0.35137465357867287</v>
      </c>
      <c r="D22" s="4">
        <v>0.46888289354055462</v>
      </c>
      <c r="E22" s="4">
        <v>0.62568875021526948</v>
      </c>
      <c r="F22" s="4">
        <v>0.8349343035098068</v>
      </c>
      <c r="G22" s="4">
        <v>1.1141566648554289</v>
      </c>
      <c r="H22" s="4">
        <v>1.4867577827663085</v>
      </c>
      <c r="I22" s="24">
        <v>1.4867577827663085</v>
      </c>
    </row>
    <row r="23" spans="1:9" x14ac:dyDescent="0.3">
      <c r="A23" s="4">
        <v>0.35137465357867287</v>
      </c>
      <c r="B23" s="4">
        <v>0.35137465357867287</v>
      </c>
      <c r="C23" s="4">
        <v>0.35137465357867287</v>
      </c>
      <c r="D23" s="4">
        <v>0.46888289354055462</v>
      </c>
      <c r="E23" s="4">
        <v>0.62568875021526948</v>
      </c>
      <c r="F23" s="4">
        <v>0.8349343035098068</v>
      </c>
      <c r="G23" s="4">
        <v>1.1141566648554289</v>
      </c>
      <c r="H23" s="4">
        <v>1.4867577827663085</v>
      </c>
      <c r="I23" s="24">
        <v>1.4867577827663085</v>
      </c>
    </row>
    <row r="24" spans="1:9" x14ac:dyDescent="0.3">
      <c r="A24" s="4">
        <v>0.35137465357867287</v>
      </c>
      <c r="B24" s="4">
        <v>0.35137465357867287</v>
      </c>
      <c r="C24" s="4">
        <v>0.35137465357867287</v>
      </c>
      <c r="D24" s="4">
        <v>0.46888289354055462</v>
      </c>
      <c r="E24" s="4">
        <v>0.62568875021526948</v>
      </c>
      <c r="F24" s="4">
        <v>0.8349343035098068</v>
      </c>
      <c r="G24" s="4">
        <v>1.1141566648554289</v>
      </c>
      <c r="H24" s="4">
        <v>1.4867577827663085</v>
      </c>
      <c r="I24" s="24">
        <v>1.4867577827663085</v>
      </c>
    </row>
    <row r="25" spans="1:9" x14ac:dyDescent="0.3">
      <c r="A25" s="4">
        <v>0.35137465357867287</v>
      </c>
      <c r="B25" s="4">
        <v>0.35137465357867287</v>
      </c>
      <c r="C25" s="4">
        <v>0.35137465357867287</v>
      </c>
      <c r="D25" s="4">
        <v>0.46888289354055462</v>
      </c>
      <c r="E25" s="4">
        <v>0.62568875021526948</v>
      </c>
      <c r="F25" s="4">
        <v>0.8349343035098068</v>
      </c>
      <c r="G25" s="4">
        <v>1.1141566648554289</v>
      </c>
      <c r="H25" s="4">
        <v>1.4867577827663085</v>
      </c>
      <c r="I25" s="24">
        <v>1.4867577827663085</v>
      </c>
    </row>
    <row r="26" spans="1:9" x14ac:dyDescent="0.3">
      <c r="A26" s="4">
        <v>0.35137465357867287</v>
      </c>
      <c r="B26" s="4">
        <v>0.35137465357867287</v>
      </c>
      <c r="C26" s="4">
        <v>0.35137465357867287</v>
      </c>
      <c r="D26" s="4">
        <v>0.46888289354055462</v>
      </c>
      <c r="E26" s="4">
        <v>0.62568875021526948</v>
      </c>
      <c r="F26" s="4">
        <v>0.8349343035098068</v>
      </c>
      <c r="G26" s="4">
        <v>1.1141566648554289</v>
      </c>
      <c r="H26" s="4">
        <v>1.4867577827663085</v>
      </c>
      <c r="I26" s="24">
        <v>1.4867577827663085</v>
      </c>
    </row>
    <row r="27" spans="1:9" x14ac:dyDescent="0.3">
      <c r="A27" s="4">
        <v>0.35137465357867287</v>
      </c>
      <c r="B27" s="4">
        <v>0.35137465357867287</v>
      </c>
      <c r="C27" s="4">
        <v>0.35137465357867287</v>
      </c>
      <c r="D27" s="4">
        <v>0.46888289354055462</v>
      </c>
      <c r="E27" s="4">
        <v>0.62568875021526948</v>
      </c>
      <c r="F27" s="4">
        <v>0.8349343035098068</v>
      </c>
      <c r="G27" s="4">
        <v>1.1141566648554289</v>
      </c>
      <c r="H27" s="4">
        <v>1.4867577827663085</v>
      </c>
      <c r="I27" s="24">
        <v>1.4867577827663085</v>
      </c>
    </row>
    <row r="28" spans="1:9" x14ac:dyDescent="0.3">
      <c r="A28" s="4">
        <v>0.35137465357867287</v>
      </c>
      <c r="B28" s="4">
        <v>0.35137465357867287</v>
      </c>
      <c r="C28" s="4">
        <v>0.35137465357867287</v>
      </c>
      <c r="D28" s="4">
        <v>0.46888289354055462</v>
      </c>
      <c r="E28" s="4">
        <v>0.62568875021526948</v>
      </c>
      <c r="F28" s="4">
        <v>0.8349343035098068</v>
      </c>
      <c r="G28" s="4">
        <v>1.1141566648554289</v>
      </c>
      <c r="H28" s="4">
        <v>1.4867577827663085</v>
      </c>
      <c r="I28" s="24">
        <v>1.4867577827663085</v>
      </c>
    </row>
    <row r="29" spans="1:9" x14ac:dyDescent="0.3">
      <c r="A29" s="4">
        <v>0.35137465357867287</v>
      </c>
      <c r="B29" s="4">
        <v>0.35137465357867287</v>
      </c>
      <c r="C29" s="4">
        <v>0.35137465357867287</v>
      </c>
      <c r="D29" s="4">
        <v>0.46888289354055462</v>
      </c>
      <c r="E29" s="4">
        <v>0.62568875021526948</v>
      </c>
      <c r="F29" s="4">
        <v>0.8349343035098068</v>
      </c>
      <c r="G29" s="4">
        <v>1.1141566648554289</v>
      </c>
      <c r="H29" s="4">
        <v>1.4867577827663085</v>
      </c>
      <c r="I29" s="24">
        <v>1.4867577827663085</v>
      </c>
    </row>
    <row r="30" spans="1:9" x14ac:dyDescent="0.3">
      <c r="A30" s="4">
        <v>0.35137465357867287</v>
      </c>
      <c r="B30" s="4">
        <v>0.35137465357867287</v>
      </c>
      <c r="C30" s="4">
        <v>0.35137465357867287</v>
      </c>
      <c r="D30" s="4">
        <v>0.46888289354055462</v>
      </c>
      <c r="E30" s="4">
        <v>0.62568875021526948</v>
      </c>
      <c r="F30" s="4">
        <v>0.8349343035098068</v>
      </c>
      <c r="G30" s="4">
        <v>1.1141566648554289</v>
      </c>
      <c r="H30" s="4">
        <v>1.4867577827663085</v>
      </c>
      <c r="I30" s="24">
        <v>1.4867577827663085</v>
      </c>
    </row>
    <row r="31" spans="1:9" x14ac:dyDescent="0.3">
      <c r="A31" s="4">
        <v>0.35137465357867287</v>
      </c>
      <c r="B31" s="4">
        <v>0.35137465357867287</v>
      </c>
      <c r="C31" s="4">
        <v>0.35137465357867287</v>
      </c>
      <c r="D31" s="4">
        <v>0.46888289354055462</v>
      </c>
      <c r="E31" s="4">
        <v>0.62568875021526948</v>
      </c>
      <c r="F31" s="4">
        <v>0.8349343035098068</v>
      </c>
      <c r="G31" s="4">
        <v>1.1141566648554289</v>
      </c>
      <c r="H31" s="4">
        <v>1.4867577827663085</v>
      </c>
      <c r="I31" s="24">
        <v>1.4867577827663085</v>
      </c>
    </row>
    <row r="32" spans="1:9" x14ac:dyDescent="0.3">
      <c r="A32" s="4">
        <v>0.35137465357867287</v>
      </c>
      <c r="B32" s="4">
        <v>0.35137465357867287</v>
      </c>
      <c r="C32" s="4">
        <v>0.35137465357867287</v>
      </c>
      <c r="D32" s="4">
        <v>0.46888289354055462</v>
      </c>
      <c r="E32" s="4">
        <v>0.62568875021526948</v>
      </c>
      <c r="F32" s="4">
        <v>0.8349343035098068</v>
      </c>
      <c r="G32" s="4">
        <v>1.1141566648554289</v>
      </c>
      <c r="H32" s="4">
        <v>1.4867577827663085</v>
      </c>
      <c r="I32" s="24">
        <v>1.4867577827663085</v>
      </c>
    </row>
    <row r="33" spans="1:9" x14ac:dyDescent="0.3">
      <c r="A33" s="4">
        <v>0.35137465357867287</v>
      </c>
      <c r="B33" s="4">
        <v>0.35137465357867287</v>
      </c>
      <c r="C33" s="4">
        <v>0.35137465357867287</v>
      </c>
      <c r="D33" s="4">
        <v>0.46888289354055462</v>
      </c>
      <c r="E33" s="4">
        <v>0.62568875021526948</v>
      </c>
      <c r="F33" s="4">
        <v>0.8349343035098068</v>
      </c>
      <c r="G33" s="4">
        <v>1.1141566648554289</v>
      </c>
      <c r="H33" s="4">
        <v>1.4867577827663085</v>
      </c>
      <c r="I33" s="24">
        <v>1.4867577827663085</v>
      </c>
    </row>
    <row r="34" spans="1:9" x14ac:dyDescent="0.3">
      <c r="A34" s="4">
        <v>0.35137465357867287</v>
      </c>
      <c r="B34" s="4">
        <v>0.35137465357867287</v>
      </c>
      <c r="C34" s="4">
        <v>0.35137465357867287</v>
      </c>
      <c r="D34" s="4">
        <v>0.46888289354055462</v>
      </c>
      <c r="E34" s="4">
        <v>0.62568875021526948</v>
      </c>
      <c r="F34" s="4">
        <v>0.8349343035098068</v>
      </c>
      <c r="G34" s="4">
        <v>1.1141566648554289</v>
      </c>
      <c r="H34" s="4">
        <v>1.4867577827663085</v>
      </c>
      <c r="I34" s="24">
        <v>1.4867577827663085</v>
      </c>
    </row>
    <row r="35" spans="1:9" x14ac:dyDescent="0.3">
      <c r="A35" s="4">
        <v>0.35137465357867287</v>
      </c>
      <c r="B35" s="4">
        <v>0.35137465357867287</v>
      </c>
      <c r="C35" s="4">
        <v>0.35137465357867287</v>
      </c>
      <c r="D35" s="4">
        <v>0.46888289354055462</v>
      </c>
      <c r="E35" s="4">
        <v>0.62568875021526948</v>
      </c>
      <c r="F35" s="4">
        <v>0.8349343035098068</v>
      </c>
      <c r="G35" s="4">
        <v>1.1141566648554289</v>
      </c>
      <c r="H35" s="4">
        <v>1.4867577827663085</v>
      </c>
      <c r="I35" s="24">
        <v>1.4867577827663085</v>
      </c>
    </row>
    <row r="36" spans="1:9" x14ac:dyDescent="0.3">
      <c r="A36" s="4">
        <v>0.35137465357867287</v>
      </c>
      <c r="B36" s="4">
        <v>0.35137465357867287</v>
      </c>
      <c r="C36" s="4">
        <v>0.35137465357867287</v>
      </c>
      <c r="D36" s="4">
        <v>0.46888289354055462</v>
      </c>
      <c r="E36" s="4">
        <v>0.62568875021526948</v>
      </c>
      <c r="F36" s="4">
        <v>0.8349343035098068</v>
      </c>
      <c r="G36" s="4">
        <v>1.1141566648554289</v>
      </c>
      <c r="H36" s="4">
        <v>1.4867577827663085</v>
      </c>
      <c r="I36" s="24">
        <v>1.4867577827663085</v>
      </c>
    </row>
    <row r="37" spans="1:9" x14ac:dyDescent="0.3">
      <c r="A37" s="4">
        <v>0.35137465357867287</v>
      </c>
      <c r="B37" s="4">
        <v>0.35137465357867287</v>
      </c>
      <c r="C37" s="4">
        <v>0.35137465357867287</v>
      </c>
      <c r="D37" s="4">
        <v>0.46888289354055462</v>
      </c>
      <c r="E37" s="4">
        <v>0.62568875021526948</v>
      </c>
      <c r="F37" s="4">
        <v>0.8349343035098068</v>
      </c>
      <c r="G37" s="4">
        <v>1.1141566648554289</v>
      </c>
      <c r="H37" s="4">
        <v>1.4867577827663085</v>
      </c>
      <c r="I37" s="24">
        <v>1.4867577827663085</v>
      </c>
    </row>
    <row r="38" spans="1:9" x14ac:dyDescent="0.3">
      <c r="A38" s="4">
        <v>0.35137465357867287</v>
      </c>
      <c r="B38" s="4">
        <v>0.35137465357867287</v>
      </c>
      <c r="C38" s="4">
        <v>0.35137465357867287</v>
      </c>
      <c r="D38" s="4">
        <v>0.46888289354055462</v>
      </c>
      <c r="E38" s="4">
        <v>0.62568875021526948</v>
      </c>
      <c r="F38" s="4">
        <v>0.8349343035098068</v>
      </c>
      <c r="G38" s="4">
        <v>1.1141566648554289</v>
      </c>
      <c r="H38" s="4">
        <v>1.4867577827663085</v>
      </c>
      <c r="I38" s="24">
        <v>1.4867577827663085</v>
      </c>
    </row>
    <row r="39" spans="1:9" x14ac:dyDescent="0.3">
      <c r="A39" s="4">
        <v>0.35137465357867287</v>
      </c>
      <c r="B39" s="4">
        <v>0.35137465357867287</v>
      </c>
      <c r="C39" s="4">
        <v>0.35137465357867287</v>
      </c>
      <c r="D39" s="4">
        <v>0.46888289354055462</v>
      </c>
      <c r="E39" s="4">
        <v>0.62568875021526948</v>
      </c>
      <c r="F39" s="4">
        <v>0.8349343035098068</v>
      </c>
      <c r="G39" s="4">
        <v>1.1141566648554289</v>
      </c>
      <c r="H39" s="4">
        <v>1.4867577827663085</v>
      </c>
      <c r="I39" s="24">
        <v>1.4867577827663085</v>
      </c>
    </row>
    <row r="40" spans="1:9" x14ac:dyDescent="0.3">
      <c r="A40" s="4">
        <v>0.35137465357867287</v>
      </c>
      <c r="B40" s="4">
        <v>0.35137465357867287</v>
      </c>
      <c r="C40" s="4">
        <v>0.35137465357867287</v>
      </c>
      <c r="D40" s="4">
        <v>0.46888289354055462</v>
      </c>
      <c r="E40" s="4">
        <v>0.62568875021526948</v>
      </c>
      <c r="F40" s="4">
        <v>0.8349343035098068</v>
      </c>
      <c r="G40" s="4">
        <v>1.1141566648554289</v>
      </c>
      <c r="H40" s="4">
        <v>1.4867577827663085</v>
      </c>
      <c r="I40" s="24">
        <v>1.4867577827663085</v>
      </c>
    </row>
    <row r="41" spans="1:9" x14ac:dyDescent="0.3">
      <c r="A41" s="4">
        <v>0.35137465357867287</v>
      </c>
      <c r="B41" s="4">
        <v>0.35137465357867287</v>
      </c>
      <c r="C41" s="4">
        <v>0.35137465357867287</v>
      </c>
      <c r="D41" s="4">
        <v>0.46888289354055462</v>
      </c>
      <c r="E41" s="4">
        <v>0.62568875021526948</v>
      </c>
      <c r="F41" s="4">
        <v>0.8349343035098068</v>
      </c>
      <c r="G41" s="4">
        <v>1.1141566648554289</v>
      </c>
      <c r="H41" s="4">
        <v>1.4867577827663085</v>
      </c>
      <c r="I41" s="24">
        <v>1.4867577827663085</v>
      </c>
    </row>
    <row r="42" spans="1:9" x14ac:dyDescent="0.3">
      <c r="A42" s="4">
        <v>0.35137465357867287</v>
      </c>
      <c r="B42" s="4">
        <v>0.35137465357867287</v>
      </c>
      <c r="C42" s="4">
        <v>0.35137465357867287</v>
      </c>
      <c r="D42" s="4">
        <v>0.46888289354055462</v>
      </c>
      <c r="E42" s="4">
        <v>0.62568875021526948</v>
      </c>
      <c r="F42" s="4">
        <v>0.8349343035098068</v>
      </c>
      <c r="G42" s="4">
        <v>1.1141566648554289</v>
      </c>
      <c r="H42" s="4">
        <v>1.4867577827663085</v>
      </c>
      <c r="I42" s="24">
        <v>1.4867577827663085</v>
      </c>
    </row>
    <row r="43" spans="1:9" x14ac:dyDescent="0.3">
      <c r="A43" s="4">
        <v>0.35137465357867287</v>
      </c>
      <c r="B43" s="4">
        <v>0.35137465357867287</v>
      </c>
      <c r="C43" s="4">
        <v>0.35137465357867287</v>
      </c>
      <c r="D43" s="4">
        <v>0.46888289354055462</v>
      </c>
      <c r="E43" s="4">
        <v>0.62568875021526948</v>
      </c>
      <c r="F43" s="4">
        <v>0.8349343035098068</v>
      </c>
      <c r="G43" s="4">
        <v>1.1141566648554289</v>
      </c>
      <c r="H43" s="4">
        <v>1.4867577827663085</v>
      </c>
      <c r="I43" s="24">
        <v>1.4867577827663085</v>
      </c>
    </row>
    <row r="44" spans="1:9" x14ac:dyDescent="0.3">
      <c r="A44" s="4">
        <v>0.35137465357867287</v>
      </c>
      <c r="B44" s="4">
        <v>0.35137465357867287</v>
      </c>
      <c r="C44" s="4">
        <v>0.35137465357867287</v>
      </c>
      <c r="D44" s="4">
        <v>0.46888289354055462</v>
      </c>
      <c r="E44" s="4">
        <v>0.62568875021526948</v>
      </c>
      <c r="F44" s="4">
        <v>0.8349343035098068</v>
      </c>
      <c r="G44" s="4">
        <v>1.1141566648554289</v>
      </c>
      <c r="H44" s="4">
        <v>1.4867577827663085</v>
      </c>
      <c r="I44" s="24">
        <v>1.4867577827663085</v>
      </c>
    </row>
    <row r="45" spans="1:9" x14ac:dyDescent="0.3">
      <c r="A45" s="4">
        <v>0.35137465357867287</v>
      </c>
      <c r="B45" s="4">
        <v>0.35137465357867287</v>
      </c>
      <c r="C45" s="4">
        <v>0.35137465357867287</v>
      </c>
      <c r="D45" s="4">
        <v>0.46888289354055462</v>
      </c>
      <c r="E45" s="4">
        <v>0.62568875021526948</v>
      </c>
      <c r="F45" s="4">
        <v>0.8349343035098068</v>
      </c>
      <c r="G45" s="4">
        <v>1.1141566648554289</v>
      </c>
      <c r="H45" s="4">
        <v>1.4867577827663085</v>
      </c>
      <c r="I45" s="24">
        <v>1.4867577827663085</v>
      </c>
    </row>
    <row r="46" spans="1:9" x14ac:dyDescent="0.3">
      <c r="A46" s="4">
        <v>0.35137465357867287</v>
      </c>
      <c r="B46" s="4">
        <v>0.35137465357867287</v>
      </c>
      <c r="C46" s="4">
        <v>0.35137465357867287</v>
      </c>
      <c r="D46" s="4">
        <v>0.46888289354055462</v>
      </c>
      <c r="E46" s="4">
        <v>0.62568875021526948</v>
      </c>
      <c r="F46" s="4">
        <v>0.8349343035098068</v>
      </c>
      <c r="G46" s="4">
        <v>1.1141566648554289</v>
      </c>
      <c r="H46" s="4">
        <v>1.4867577827663085</v>
      </c>
      <c r="I46" s="24">
        <v>1.4867577827663085</v>
      </c>
    </row>
    <row r="47" spans="1:9" x14ac:dyDescent="0.3">
      <c r="A47" s="4">
        <v>0.35137465357867287</v>
      </c>
      <c r="B47" s="4">
        <v>0.35137465357867287</v>
      </c>
      <c r="C47" s="4">
        <v>0.35137465357867287</v>
      </c>
      <c r="D47" s="4">
        <v>0.46888289354055462</v>
      </c>
      <c r="E47" s="4">
        <v>0.62568875021526948</v>
      </c>
      <c r="F47" s="4">
        <v>0.8349343035098068</v>
      </c>
      <c r="G47" s="4">
        <v>1.1141566648554289</v>
      </c>
      <c r="H47" s="4">
        <v>1.4867577827663085</v>
      </c>
      <c r="I47" s="24">
        <v>1.4867577827663085</v>
      </c>
    </row>
    <row r="48" spans="1:9" x14ac:dyDescent="0.3">
      <c r="A48" s="4">
        <v>0.35137465357867287</v>
      </c>
      <c r="B48" s="4">
        <v>0.35137465357867287</v>
      </c>
      <c r="C48" s="4">
        <v>0.35137465357867287</v>
      </c>
      <c r="D48" s="4">
        <v>0.46888289354055462</v>
      </c>
      <c r="E48" s="4">
        <v>0.62568875021526948</v>
      </c>
      <c r="F48" s="4">
        <v>0.8349343035098068</v>
      </c>
      <c r="G48" s="4">
        <v>1.1141566648554289</v>
      </c>
      <c r="H48" s="4">
        <v>1.4867577827663085</v>
      </c>
      <c r="I48" s="24">
        <v>1.4867577827663085</v>
      </c>
    </row>
    <row r="49" spans="1:9" x14ac:dyDescent="0.3">
      <c r="A49" s="4">
        <v>0.35137465357867287</v>
      </c>
      <c r="B49" s="4">
        <v>0.35137465357867287</v>
      </c>
      <c r="C49" s="4">
        <v>0.35137465357867287</v>
      </c>
      <c r="D49" s="4">
        <v>0.46888289354055462</v>
      </c>
      <c r="E49" s="4">
        <v>0.62568875021526948</v>
      </c>
      <c r="F49" s="4">
        <v>0.8349343035098068</v>
      </c>
      <c r="G49" s="4">
        <v>1.1141566648554289</v>
      </c>
      <c r="H49" s="4">
        <v>1.4867577827663085</v>
      </c>
      <c r="I49" s="24">
        <v>1.4867577827663085</v>
      </c>
    </row>
    <row r="50" spans="1:9" x14ac:dyDescent="0.3">
      <c r="A50" s="4">
        <v>0.35137465357867287</v>
      </c>
      <c r="B50" s="4">
        <v>0.35137465357867287</v>
      </c>
      <c r="C50" s="4">
        <v>0.35137465357867287</v>
      </c>
      <c r="D50" s="4">
        <v>0.46888289354055462</v>
      </c>
      <c r="E50" s="4">
        <v>0.62568875021526948</v>
      </c>
      <c r="F50" s="4">
        <v>0.8349343035098068</v>
      </c>
      <c r="G50" s="4">
        <v>1.1141566648554289</v>
      </c>
      <c r="H50" s="4">
        <v>1.4867577827663085</v>
      </c>
      <c r="I50" s="24">
        <v>1.4867577827663085</v>
      </c>
    </row>
    <row r="51" spans="1:9" x14ac:dyDescent="0.3">
      <c r="A51" s="4">
        <v>0.35137465357867287</v>
      </c>
      <c r="B51" s="4">
        <v>0.35137465357867287</v>
      </c>
      <c r="C51" s="4">
        <v>0.35137465357867287</v>
      </c>
      <c r="D51" s="4">
        <v>0.46888289354055462</v>
      </c>
      <c r="E51" s="4">
        <v>0.62568875021526948</v>
      </c>
      <c r="F51" s="4">
        <v>0.8349343035098068</v>
      </c>
      <c r="G51" s="4">
        <v>1.1141566648554289</v>
      </c>
      <c r="H51" s="4">
        <v>1.4867577827663085</v>
      </c>
      <c r="I51" s="24">
        <v>1.4867577827663085</v>
      </c>
    </row>
    <row r="52" spans="1:9" x14ac:dyDescent="0.3">
      <c r="A52" s="4">
        <v>0.35137465357867287</v>
      </c>
      <c r="B52" s="4">
        <v>0.35137465357867287</v>
      </c>
      <c r="C52" s="4">
        <v>0.35137465357867287</v>
      </c>
      <c r="D52" s="4">
        <v>0.46888289354055462</v>
      </c>
      <c r="E52" s="4">
        <v>0.62568875021526948</v>
      </c>
      <c r="F52" s="4">
        <v>0.8349343035098068</v>
      </c>
      <c r="G52" s="4">
        <v>1.1141566648554289</v>
      </c>
      <c r="H52" s="4">
        <v>1.4867577827663085</v>
      </c>
      <c r="I52" s="24">
        <v>1.4867577827663085</v>
      </c>
    </row>
    <row r="53" spans="1:9" x14ac:dyDescent="0.3">
      <c r="A53" s="4">
        <v>0.35137465357867287</v>
      </c>
      <c r="B53" s="4">
        <v>0.35137465357867287</v>
      </c>
      <c r="C53" s="4">
        <v>0.35137465357867287</v>
      </c>
      <c r="D53" s="4">
        <v>0.46888289354055462</v>
      </c>
      <c r="E53" s="4">
        <v>0.62568875021526948</v>
      </c>
      <c r="F53" s="4">
        <v>0.8349343035098068</v>
      </c>
      <c r="G53" s="4">
        <v>1.1141566648554289</v>
      </c>
      <c r="H53" s="4">
        <v>1.4867577827663085</v>
      </c>
      <c r="I53" s="24">
        <v>1.4867577827663085</v>
      </c>
    </row>
    <row r="54" spans="1:9" x14ac:dyDescent="0.3">
      <c r="A54" s="4">
        <v>0.35137465357867287</v>
      </c>
      <c r="B54" s="4">
        <v>0.35137465357867287</v>
      </c>
      <c r="C54" s="4">
        <v>0.35137465357867287</v>
      </c>
      <c r="D54" s="4">
        <v>0.46888289354055462</v>
      </c>
      <c r="E54" s="4">
        <v>0.62568875021526948</v>
      </c>
      <c r="F54" s="4">
        <v>0.8349343035098068</v>
      </c>
      <c r="G54" s="4">
        <v>1.1141566648554289</v>
      </c>
      <c r="H54" s="4">
        <v>1.4867577827663085</v>
      </c>
      <c r="I54" s="24">
        <v>1.4867577827663085</v>
      </c>
    </row>
    <row r="55" spans="1:9" x14ac:dyDescent="0.3">
      <c r="A55" s="4">
        <v>0.35137465357867287</v>
      </c>
      <c r="B55" s="4">
        <v>0.35137465357867287</v>
      </c>
      <c r="C55" s="4">
        <v>0.35137465357867287</v>
      </c>
      <c r="D55" s="4">
        <v>0.46888289354055462</v>
      </c>
      <c r="E55" s="4">
        <v>0.62568875021526948</v>
      </c>
      <c r="F55" s="4">
        <v>0.8349343035098068</v>
      </c>
      <c r="G55" s="4">
        <v>1.1141566648554289</v>
      </c>
      <c r="H55" s="4">
        <v>1.4867577827663085</v>
      </c>
      <c r="I55" s="24">
        <v>1.4867577827663085</v>
      </c>
    </row>
    <row r="56" spans="1:9" x14ac:dyDescent="0.3">
      <c r="A56" s="4">
        <v>0.35137465357867287</v>
      </c>
      <c r="B56" s="4">
        <v>0.35137465357867287</v>
      </c>
      <c r="C56" s="4">
        <v>0.35137465357867287</v>
      </c>
      <c r="D56" s="4">
        <v>0.46888289354055462</v>
      </c>
      <c r="E56" s="4">
        <v>0.62568875021526948</v>
      </c>
      <c r="F56" s="4">
        <v>0.8349343035098068</v>
      </c>
      <c r="G56" s="4">
        <v>1.1141566648554289</v>
      </c>
      <c r="H56" s="4">
        <v>1.4867577827663085</v>
      </c>
      <c r="I56" s="24">
        <v>1.4867577827663085</v>
      </c>
    </row>
    <row r="57" spans="1:9" x14ac:dyDescent="0.3">
      <c r="A57" s="4">
        <v>0.35137465357867287</v>
      </c>
      <c r="B57" s="4">
        <v>0.35137465357867287</v>
      </c>
      <c r="C57" s="4">
        <v>0.35137465357867287</v>
      </c>
      <c r="D57" s="4">
        <v>0.46888289354055462</v>
      </c>
      <c r="E57" s="4">
        <v>0.62568875021526948</v>
      </c>
      <c r="F57" s="4">
        <v>0.8349343035098068</v>
      </c>
      <c r="G57" s="4">
        <v>1.1141566648554289</v>
      </c>
      <c r="H57" s="4">
        <v>1.4867577827663085</v>
      </c>
      <c r="I57" s="24">
        <v>1.4867577827663085</v>
      </c>
    </row>
    <row r="58" spans="1:9" x14ac:dyDescent="0.3">
      <c r="A58" s="4">
        <v>0.35137465357867287</v>
      </c>
      <c r="B58" s="4">
        <v>0.35137465357867287</v>
      </c>
      <c r="C58" s="4">
        <v>0.35137465357867287</v>
      </c>
      <c r="D58" s="4">
        <v>0.46888289354055462</v>
      </c>
      <c r="E58" s="4">
        <v>0.62568875021526948</v>
      </c>
      <c r="F58" s="4">
        <v>0.8349343035098068</v>
      </c>
      <c r="G58" s="4">
        <v>1.1141566648554289</v>
      </c>
      <c r="H58" s="4">
        <v>1.4867577827663085</v>
      </c>
      <c r="I58" s="24">
        <v>1.4867577827663085</v>
      </c>
    </row>
    <row r="59" spans="1:9" x14ac:dyDescent="0.3">
      <c r="A59" s="4">
        <v>0.35137465357867287</v>
      </c>
      <c r="B59" s="4">
        <v>0.35137465357867287</v>
      </c>
      <c r="C59" s="4">
        <v>0.35137465357867287</v>
      </c>
      <c r="D59" s="4">
        <v>0.46888289354055462</v>
      </c>
      <c r="E59" s="4">
        <v>0.62568875021526948</v>
      </c>
      <c r="F59" s="4">
        <v>0.8349343035098068</v>
      </c>
      <c r="G59" s="4">
        <v>1.1141566648554289</v>
      </c>
      <c r="H59" s="4">
        <v>1.4867577827663085</v>
      </c>
      <c r="I59" s="24">
        <v>1.4867577827663085</v>
      </c>
    </row>
    <row r="60" spans="1:9" x14ac:dyDescent="0.3">
      <c r="A60" s="4">
        <v>0.35137465357867287</v>
      </c>
      <c r="B60" s="4">
        <v>0.35137465357867287</v>
      </c>
      <c r="C60" s="4">
        <v>0.35137465357867287</v>
      </c>
      <c r="D60" s="4">
        <v>0.46888289354055462</v>
      </c>
      <c r="E60" s="4">
        <v>0.62568875021526948</v>
      </c>
      <c r="F60" s="4">
        <v>0.8349343035098068</v>
      </c>
      <c r="G60" s="4">
        <v>1.1141566648554289</v>
      </c>
      <c r="H60" s="4">
        <v>1.4867577827663085</v>
      </c>
      <c r="I60" s="24">
        <v>1.4867577827663085</v>
      </c>
    </row>
    <row r="61" spans="1:9" x14ac:dyDescent="0.3">
      <c r="A61" s="4">
        <v>0.35137465357867287</v>
      </c>
      <c r="B61" s="4">
        <v>0.35137465357867287</v>
      </c>
      <c r="C61" s="4">
        <v>0.35137465357867287</v>
      </c>
      <c r="D61" s="4">
        <v>0.46888289354055462</v>
      </c>
      <c r="E61" s="4">
        <v>0.62568875021526948</v>
      </c>
      <c r="F61" s="4">
        <v>0.8349343035098068</v>
      </c>
      <c r="G61" s="4">
        <v>1.1141566648554289</v>
      </c>
      <c r="H61" s="4">
        <v>1.4867577827663085</v>
      </c>
      <c r="I61" s="24">
        <v>1.4867577827663085</v>
      </c>
    </row>
    <row r="62" spans="1:9" x14ac:dyDescent="0.3">
      <c r="A62" s="4">
        <v>0.35137465357867287</v>
      </c>
      <c r="B62" s="4">
        <v>0.35137465357867287</v>
      </c>
      <c r="C62" s="4">
        <v>0.35137465357867287</v>
      </c>
      <c r="D62" s="4">
        <v>0.46888289354055462</v>
      </c>
      <c r="E62" s="4">
        <v>0.62568875021526948</v>
      </c>
      <c r="F62" s="4">
        <v>0.8349343035098068</v>
      </c>
      <c r="G62" s="4">
        <v>1.1141566648554289</v>
      </c>
      <c r="H62" s="4">
        <v>1.4867577827663085</v>
      </c>
      <c r="I62" s="24">
        <v>1.4867577827663085</v>
      </c>
    </row>
    <row r="63" spans="1:9" x14ac:dyDescent="0.3">
      <c r="A63" s="4">
        <v>0.35137465357867287</v>
      </c>
      <c r="B63" s="4">
        <v>0.35137465357867287</v>
      </c>
      <c r="C63" s="4">
        <v>0.35137465357867287</v>
      </c>
      <c r="D63" s="4">
        <v>0.46888289354055462</v>
      </c>
      <c r="E63" s="4">
        <v>0.62568875021526948</v>
      </c>
      <c r="F63" s="4">
        <v>0.8349343035098068</v>
      </c>
      <c r="G63" s="4">
        <v>1.1141566648554289</v>
      </c>
      <c r="H63" s="4">
        <v>1.4867577827663085</v>
      </c>
      <c r="I63" s="24">
        <v>1.4867577827663085</v>
      </c>
    </row>
    <row r="64" spans="1:9" x14ac:dyDescent="0.3">
      <c r="A64" s="4">
        <v>0.35137465357867287</v>
      </c>
      <c r="B64" s="4">
        <v>0.35137465357867287</v>
      </c>
      <c r="C64" s="4">
        <v>0.35137465357867287</v>
      </c>
      <c r="D64" s="4">
        <v>0.46888289354055462</v>
      </c>
      <c r="E64" s="4">
        <v>0.62568875021526948</v>
      </c>
      <c r="F64" s="4">
        <v>0.8349343035098068</v>
      </c>
      <c r="G64" s="4">
        <v>1.1141566648554289</v>
      </c>
      <c r="H64" s="4">
        <v>1.4867577827663085</v>
      </c>
      <c r="I64" s="24">
        <v>1.4867577827663085</v>
      </c>
    </row>
    <row r="65" spans="1:9" x14ac:dyDescent="0.3">
      <c r="A65" s="4">
        <v>0.35137465357867287</v>
      </c>
      <c r="B65" s="4">
        <v>0.35137465357867287</v>
      </c>
      <c r="C65" s="4">
        <v>0.35137465357867287</v>
      </c>
      <c r="D65" s="4">
        <v>0.46888289354055462</v>
      </c>
      <c r="E65" s="4">
        <v>0.62568875021526948</v>
      </c>
      <c r="F65" s="4">
        <v>0.8349343035098068</v>
      </c>
      <c r="G65" s="4">
        <v>1.1141566648554289</v>
      </c>
      <c r="H65" s="4">
        <v>1.4867577827663085</v>
      </c>
      <c r="I65" s="24">
        <v>1.4867577827663085</v>
      </c>
    </row>
    <row r="66" spans="1:9" x14ac:dyDescent="0.3">
      <c r="A66" s="4">
        <v>0.35137465357867287</v>
      </c>
      <c r="B66" s="4">
        <v>0.35137465357867287</v>
      </c>
      <c r="C66" s="4">
        <v>0.35137465357867287</v>
      </c>
      <c r="D66" s="4">
        <v>0.46888289354055462</v>
      </c>
      <c r="E66" s="4">
        <v>0.62568875021526948</v>
      </c>
      <c r="F66" s="4">
        <v>0.8349343035098068</v>
      </c>
      <c r="G66" s="4">
        <v>1.1141566648554289</v>
      </c>
      <c r="H66" s="4">
        <v>1.4867577827663085</v>
      </c>
      <c r="I66" s="24">
        <v>1.4867577827663085</v>
      </c>
    </row>
    <row r="67" spans="1:9" x14ac:dyDescent="0.3">
      <c r="A67" s="4">
        <v>0.35137465357867287</v>
      </c>
      <c r="B67" s="4">
        <v>0.35137465357867287</v>
      </c>
      <c r="C67" s="4">
        <v>0.35137465357867287</v>
      </c>
      <c r="D67" s="4">
        <v>0.46888289354055462</v>
      </c>
      <c r="E67" s="4">
        <v>0.62568875021526948</v>
      </c>
      <c r="F67" s="4">
        <v>0.8349343035098068</v>
      </c>
      <c r="G67" s="4">
        <v>1.1141566648554289</v>
      </c>
      <c r="H67" s="4">
        <v>1.4867577827663085</v>
      </c>
      <c r="I67" s="24">
        <v>1.4867577827663085</v>
      </c>
    </row>
    <row r="68" spans="1:9" x14ac:dyDescent="0.3">
      <c r="A68" s="4">
        <v>0.35137465357867287</v>
      </c>
      <c r="B68" s="4">
        <v>0.35137465357867287</v>
      </c>
      <c r="C68" s="4">
        <v>0.35137465357867287</v>
      </c>
      <c r="D68" s="4">
        <v>0.46888289354055462</v>
      </c>
      <c r="E68" s="4">
        <v>0.62568875021526948</v>
      </c>
      <c r="F68" s="4">
        <v>0.8349343035098068</v>
      </c>
      <c r="G68" s="4">
        <v>1.1141566648554289</v>
      </c>
      <c r="H68" s="4">
        <v>1.4867577827663085</v>
      </c>
      <c r="I68" s="24">
        <v>1.4867577827663085</v>
      </c>
    </row>
    <row r="69" spans="1:9" x14ac:dyDescent="0.3">
      <c r="A69" s="4">
        <v>0.35137465357867287</v>
      </c>
      <c r="B69" s="4">
        <v>0.35137465357867287</v>
      </c>
      <c r="C69" s="4">
        <v>0.35137465357867287</v>
      </c>
      <c r="D69" s="4">
        <v>0.46888289354055462</v>
      </c>
      <c r="E69" s="4">
        <v>0.62568875021526948</v>
      </c>
      <c r="F69" s="4">
        <v>0.8349343035098068</v>
      </c>
      <c r="G69" s="4">
        <v>1.1141566648554289</v>
      </c>
      <c r="H69" s="4">
        <v>1.4867577827663085</v>
      </c>
      <c r="I69" s="24">
        <v>1.4867577827663085</v>
      </c>
    </row>
    <row r="70" spans="1:9" x14ac:dyDescent="0.3">
      <c r="A70" s="4">
        <v>0.35137465357867287</v>
      </c>
      <c r="B70" s="4">
        <v>0.35137465357867287</v>
      </c>
      <c r="C70" s="4">
        <v>0.35137465357867287</v>
      </c>
      <c r="D70" s="4">
        <v>0.46888289354055462</v>
      </c>
      <c r="E70" s="4">
        <v>0.62568875021526948</v>
      </c>
      <c r="F70" s="4">
        <v>0.8349343035098068</v>
      </c>
      <c r="G70" s="4">
        <v>1.1141566648554289</v>
      </c>
      <c r="H70" s="4">
        <v>1.4867577827663085</v>
      </c>
      <c r="I70" s="24">
        <v>1.4867577827663085</v>
      </c>
    </row>
    <row r="71" spans="1:9" x14ac:dyDescent="0.3">
      <c r="A71" s="4">
        <v>0.35137465357867287</v>
      </c>
      <c r="B71" s="4">
        <v>0.35137465357867287</v>
      </c>
      <c r="C71" s="4">
        <v>0.35137465357867287</v>
      </c>
      <c r="D71" s="4">
        <v>0.46888289354055462</v>
      </c>
      <c r="E71" s="4">
        <v>0.62568875021526948</v>
      </c>
      <c r="F71" s="4">
        <v>0.8349343035098068</v>
      </c>
      <c r="G71" s="4">
        <v>1.1141566648554289</v>
      </c>
      <c r="H71" s="4">
        <v>1.4867577827663085</v>
      </c>
      <c r="I71" s="24">
        <v>1.4867577827663085</v>
      </c>
    </row>
    <row r="72" spans="1:9" x14ac:dyDescent="0.3">
      <c r="A72" s="4">
        <v>0.35137465357867287</v>
      </c>
      <c r="B72" s="4">
        <v>0.35137465357867287</v>
      </c>
      <c r="C72" s="4">
        <v>0.35137465357867287</v>
      </c>
      <c r="D72" s="4">
        <v>0.46888289354055462</v>
      </c>
      <c r="E72" s="4">
        <v>0.62568875021526948</v>
      </c>
      <c r="F72" s="4">
        <v>0.8349343035098068</v>
      </c>
      <c r="G72" s="4">
        <v>1.1141566648554289</v>
      </c>
      <c r="H72" s="4">
        <v>1.4867577827663085</v>
      </c>
      <c r="I72" s="24">
        <v>1.4867577827663085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2"/>
  <sheetViews>
    <sheetView workbookViewId="0">
      <selection activeCell="L32" sqref="L32"/>
    </sheetView>
  </sheetViews>
  <sheetFormatPr defaultRowHeight="14.4" x14ac:dyDescent="0.3"/>
  <sheetData>
    <row r="1" spans="1:9" x14ac:dyDescent="0.3">
      <c r="A1" s="1">
        <v>508</v>
      </c>
      <c r="B1" s="1">
        <v>1519</v>
      </c>
      <c r="C1" s="1">
        <v>1666</v>
      </c>
      <c r="D1" s="1">
        <v>272</v>
      </c>
      <c r="E1" s="1">
        <v>58</v>
      </c>
      <c r="F1" s="1">
        <v>12</v>
      </c>
      <c r="G1" s="1">
        <v>1</v>
      </c>
      <c r="H1" s="1">
        <v>1</v>
      </c>
      <c r="I1" s="1">
        <v>0</v>
      </c>
    </row>
    <row r="2" spans="1:9" x14ac:dyDescent="0.3">
      <c r="A2" s="1">
        <v>97</v>
      </c>
      <c r="B2" s="1">
        <v>1435</v>
      </c>
      <c r="C2" s="1">
        <v>1230</v>
      </c>
      <c r="D2" s="1">
        <v>1824</v>
      </c>
      <c r="E2" s="1">
        <v>245</v>
      </c>
      <c r="F2" s="1">
        <v>72</v>
      </c>
      <c r="G2" s="1">
        <v>16</v>
      </c>
      <c r="H2" s="1">
        <v>2</v>
      </c>
      <c r="I2" s="1">
        <v>0</v>
      </c>
    </row>
    <row r="3" spans="1:9" x14ac:dyDescent="0.3">
      <c r="A3" s="1">
        <v>565</v>
      </c>
      <c r="B3" s="1">
        <v>2220</v>
      </c>
      <c r="C3" s="1">
        <v>1086</v>
      </c>
      <c r="D3" s="1">
        <v>65</v>
      </c>
      <c r="E3" s="1">
        <v>19</v>
      </c>
      <c r="F3" s="1">
        <v>2</v>
      </c>
      <c r="G3" s="1">
        <v>0</v>
      </c>
      <c r="H3" s="1">
        <v>0</v>
      </c>
      <c r="I3" s="1">
        <v>0</v>
      </c>
    </row>
    <row r="4" spans="1:9" x14ac:dyDescent="0.3">
      <c r="A4" s="1">
        <v>163</v>
      </c>
      <c r="B4" s="1">
        <v>3852</v>
      </c>
      <c r="C4" s="1">
        <v>1681</v>
      </c>
      <c r="D4" s="1">
        <v>338</v>
      </c>
      <c r="E4" s="1">
        <v>42</v>
      </c>
      <c r="F4" s="1">
        <v>9</v>
      </c>
      <c r="G4" s="1">
        <v>5</v>
      </c>
      <c r="H4" s="1">
        <v>1</v>
      </c>
      <c r="I4" s="1">
        <v>1</v>
      </c>
    </row>
    <row r="5" spans="1:9" x14ac:dyDescent="0.3">
      <c r="A5" s="1">
        <v>422</v>
      </c>
      <c r="B5" s="1">
        <v>1490</v>
      </c>
      <c r="C5" s="1">
        <v>494</v>
      </c>
      <c r="D5" s="1">
        <v>86</v>
      </c>
      <c r="E5" s="1">
        <v>16</v>
      </c>
      <c r="F5" s="1">
        <v>1</v>
      </c>
      <c r="G5" s="1">
        <v>0</v>
      </c>
      <c r="H5" s="1">
        <v>0</v>
      </c>
      <c r="I5" s="1">
        <v>0</v>
      </c>
    </row>
    <row r="6" spans="1:9" x14ac:dyDescent="0.3">
      <c r="A6" s="1">
        <v>575</v>
      </c>
      <c r="B6" s="1">
        <v>2990</v>
      </c>
      <c r="C6" s="1">
        <v>743</v>
      </c>
      <c r="D6" s="1">
        <v>282</v>
      </c>
      <c r="E6" s="1">
        <v>52</v>
      </c>
      <c r="F6" s="1">
        <v>7</v>
      </c>
      <c r="G6" s="1">
        <v>2</v>
      </c>
      <c r="H6" s="1">
        <v>2</v>
      </c>
      <c r="I6" s="1">
        <v>0</v>
      </c>
    </row>
    <row r="7" spans="1:9" x14ac:dyDescent="0.3">
      <c r="A7" s="1">
        <v>16</v>
      </c>
      <c r="B7" s="1">
        <v>423</v>
      </c>
      <c r="C7" s="1">
        <v>146</v>
      </c>
      <c r="D7" s="1">
        <v>2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 x14ac:dyDescent="0.3">
      <c r="A8" s="1">
        <v>154</v>
      </c>
      <c r="B8" s="1">
        <v>579</v>
      </c>
      <c r="C8" s="1">
        <v>322</v>
      </c>
      <c r="D8" s="1">
        <v>75</v>
      </c>
      <c r="E8" s="1">
        <v>34</v>
      </c>
      <c r="F8" s="1">
        <v>20</v>
      </c>
      <c r="G8" s="1">
        <v>5</v>
      </c>
      <c r="H8" s="1">
        <v>1</v>
      </c>
      <c r="I8" s="1">
        <v>0</v>
      </c>
    </row>
    <row r="9" spans="1:9" x14ac:dyDescent="0.3">
      <c r="A9" s="1">
        <v>155</v>
      </c>
      <c r="B9" s="1">
        <v>1650</v>
      </c>
      <c r="C9" s="1">
        <v>1004</v>
      </c>
      <c r="D9" s="1">
        <v>528</v>
      </c>
      <c r="E9" s="1">
        <v>141</v>
      </c>
      <c r="F9" s="1">
        <v>88</v>
      </c>
      <c r="G9" s="1">
        <v>74</v>
      </c>
      <c r="H9" s="1">
        <v>21</v>
      </c>
      <c r="I9" s="1">
        <v>4</v>
      </c>
    </row>
    <row r="10" spans="1:9" x14ac:dyDescent="0.3">
      <c r="A10" s="1">
        <v>255</v>
      </c>
      <c r="B10" s="1">
        <v>1575</v>
      </c>
      <c r="C10" s="1">
        <v>671</v>
      </c>
      <c r="D10" s="1">
        <v>252</v>
      </c>
      <c r="E10" s="1">
        <v>81</v>
      </c>
      <c r="F10" s="1">
        <v>27</v>
      </c>
      <c r="G10" s="1">
        <v>10</v>
      </c>
      <c r="H10" s="1">
        <v>4</v>
      </c>
      <c r="I10" s="1">
        <v>2</v>
      </c>
    </row>
    <row r="11" spans="1:9" x14ac:dyDescent="0.3">
      <c r="A11" s="1">
        <v>274</v>
      </c>
      <c r="B11" s="1">
        <v>248</v>
      </c>
      <c r="C11" s="1">
        <v>118</v>
      </c>
      <c r="D11" s="1">
        <v>26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3">
      <c r="A12" s="1">
        <v>59</v>
      </c>
      <c r="B12" s="1">
        <v>1031</v>
      </c>
      <c r="C12" s="1">
        <v>130</v>
      </c>
      <c r="D12" s="1">
        <v>31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</row>
    <row r="13" spans="1:9" x14ac:dyDescent="0.3">
      <c r="A13" s="1">
        <v>39</v>
      </c>
      <c r="B13" s="1">
        <v>985</v>
      </c>
      <c r="C13" s="1">
        <v>1110</v>
      </c>
      <c r="D13" s="1">
        <v>106</v>
      </c>
      <c r="E13" s="1">
        <v>14</v>
      </c>
      <c r="F13" s="1">
        <v>4</v>
      </c>
      <c r="G13" s="1">
        <v>0</v>
      </c>
      <c r="H13" s="1">
        <v>0</v>
      </c>
      <c r="I13" s="1">
        <v>0</v>
      </c>
    </row>
    <row r="14" spans="1:9" x14ac:dyDescent="0.3">
      <c r="A14" s="1">
        <v>30</v>
      </c>
      <c r="B14" s="1">
        <v>713</v>
      </c>
      <c r="C14" s="1">
        <v>305</v>
      </c>
      <c r="D14" s="1">
        <v>123</v>
      </c>
      <c r="E14" s="1">
        <v>10</v>
      </c>
      <c r="F14" s="1">
        <v>3</v>
      </c>
      <c r="G14" s="1">
        <v>0</v>
      </c>
      <c r="H14" s="1">
        <v>0</v>
      </c>
      <c r="I14" s="1">
        <v>0</v>
      </c>
    </row>
    <row r="15" spans="1:9" x14ac:dyDescent="0.3">
      <c r="A15" s="1">
        <v>18</v>
      </c>
      <c r="B15" s="1">
        <v>283</v>
      </c>
      <c r="C15" s="1">
        <v>411</v>
      </c>
      <c r="D15" s="1">
        <v>82</v>
      </c>
      <c r="E15" s="1">
        <v>27</v>
      </c>
      <c r="F15" s="1">
        <v>3</v>
      </c>
      <c r="G15" s="1">
        <v>0</v>
      </c>
      <c r="H15" s="1">
        <v>0</v>
      </c>
      <c r="I15" s="1">
        <v>0</v>
      </c>
    </row>
    <row r="16" spans="1:9" x14ac:dyDescent="0.3">
      <c r="A16" s="1">
        <v>1</v>
      </c>
      <c r="B16" s="1">
        <v>124</v>
      </c>
      <c r="C16" s="1">
        <v>100</v>
      </c>
      <c r="D16" s="1">
        <v>64</v>
      </c>
      <c r="E16" s="1">
        <v>8</v>
      </c>
      <c r="F16" s="1">
        <v>3</v>
      </c>
      <c r="G16" s="1">
        <v>0</v>
      </c>
      <c r="H16" s="1">
        <v>0</v>
      </c>
      <c r="I16" s="1">
        <v>0</v>
      </c>
    </row>
    <row r="17" spans="1:9" x14ac:dyDescent="0.3">
      <c r="A17" s="1">
        <v>1</v>
      </c>
      <c r="B17" s="1">
        <v>124</v>
      </c>
      <c r="C17" s="1">
        <v>100</v>
      </c>
      <c r="D17" s="1">
        <v>64</v>
      </c>
      <c r="E17" s="1">
        <v>8</v>
      </c>
      <c r="F17" s="1">
        <v>3</v>
      </c>
      <c r="G17" s="1">
        <v>0</v>
      </c>
      <c r="H17" s="1">
        <v>0</v>
      </c>
      <c r="I17" s="1">
        <v>0</v>
      </c>
    </row>
    <row r="18" spans="1:9" x14ac:dyDescent="0.3">
      <c r="A18" s="1">
        <v>1</v>
      </c>
      <c r="B18" s="1">
        <v>124</v>
      </c>
      <c r="C18" s="1">
        <v>100</v>
      </c>
      <c r="D18" s="1">
        <v>64</v>
      </c>
      <c r="E18" s="1">
        <v>8</v>
      </c>
      <c r="F18" s="1">
        <v>3</v>
      </c>
      <c r="G18" s="1">
        <v>0</v>
      </c>
      <c r="H18" s="1">
        <v>0</v>
      </c>
      <c r="I18" s="1">
        <v>0</v>
      </c>
    </row>
    <row r="19" spans="1:9" x14ac:dyDescent="0.3">
      <c r="A19" s="1">
        <v>1</v>
      </c>
      <c r="B19" s="1">
        <v>124</v>
      </c>
      <c r="C19" s="1">
        <v>100</v>
      </c>
      <c r="D19" s="1">
        <v>64</v>
      </c>
      <c r="E19" s="1">
        <v>8</v>
      </c>
      <c r="F19" s="1">
        <v>3</v>
      </c>
      <c r="G19" s="1">
        <v>0</v>
      </c>
      <c r="H19" s="1">
        <v>0</v>
      </c>
      <c r="I19" s="1">
        <v>0</v>
      </c>
    </row>
    <row r="20" spans="1:9" x14ac:dyDescent="0.3">
      <c r="A20" s="1">
        <v>1</v>
      </c>
      <c r="B20" s="1">
        <v>124</v>
      </c>
      <c r="C20" s="1">
        <v>100</v>
      </c>
      <c r="D20" s="1">
        <v>64</v>
      </c>
      <c r="E20" s="1">
        <v>8</v>
      </c>
      <c r="F20" s="1">
        <v>3</v>
      </c>
      <c r="G20" s="1">
        <v>0</v>
      </c>
      <c r="H20" s="1">
        <v>0</v>
      </c>
      <c r="I20" s="1">
        <v>0</v>
      </c>
    </row>
    <row r="21" spans="1:9" x14ac:dyDescent="0.3">
      <c r="A21" s="1">
        <v>1</v>
      </c>
      <c r="B21" s="1">
        <v>124</v>
      </c>
      <c r="C21" s="1">
        <v>100</v>
      </c>
      <c r="D21" s="1">
        <v>64</v>
      </c>
      <c r="E21" s="1">
        <v>8</v>
      </c>
      <c r="F21" s="1">
        <v>3</v>
      </c>
      <c r="G21" s="1">
        <v>0</v>
      </c>
      <c r="H21" s="1">
        <v>0</v>
      </c>
      <c r="I21" s="1">
        <v>0</v>
      </c>
    </row>
    <row r="22" spans="1:9" x14ac:dyDescent="0.3">
      <c r="A22" s="1">
        <v>51</v>
      </c>
      <c r="B22" s="1">
        <v>291</v>
      </c>
      <c r="C22" s="1">
        <v>756</v>
      </c>
      <c r="D22" s="1">
        <v>387</v>
      </c>
      <c r="E22" s="1">
        <v>55</v>
      </c>
      <c r="F22" s="1">
        <v>18</v>
      </c>
      <c r="G22" s="1">
        <v>12</v>
      </c>
      <c r="H22" s="1">
        <v>1</v>
      </c>
      <c r="I22" s="1">
        <v>0</v>
      </c>
    </row>
    <row r="23" spans="1:9" x14ac:dyDescent="0.3">
      <c r="A23" s="1">
        <v>18</v>
      </c>
      <c r="B23" s="1">
        <v>833</v>
      </c>
      <c r="C23" s="1">
        <v>768</v>
      </c>
      <c r="D23" s="1">
        <v>1146</v>
      </c>
      <c r="E23" s="1">
        <v>361</v>
      </c>
      <c r="F23" s="1">
        <v>58</v>
      </c>
      <c r="G23" s="1">
        <v>13</v>
      </c>
      <c r="H23" s="1">
        <v>3</v>
      </c>
      <c r="I23" s="1">
        <v>0</v>
      </c>
    </row>
    <row r="24" spans="1:9" x14ac:dyDescent="0.3">
      <c r="A24" s="1">
        <v>436</v>
      </c>
      <c r="B24" s="1">
        <v>2379</v>
      </c>
      <c r="C24" s="1">
        <v>1352</v>
      </c>
      <c r="D24" s="1">
        <v>784</v>
      </c>
      <c r="E24" s="1">
        <v>504</v>
      </c>
      <c r="F24" s="1">
        <v>126</v>
      </c>
      <c r="G24" s="1">
        <v>12</v>
      </c>
      <c r="H24" s="1">
        <v>2</v>
      </c>
      <c r="I24" s="1">
        <v>1</v>
      </c>
    </row>
    <row r="25" spans="1:9" x14ac:dyDescent="0.3">
      <c r="A25" s="1">
        <v>60</v>
      </c>
      <c r="B25" s="1">
        <v>5445</v>
      </c>
      <c r="C25" s="1">
        <v>2087</v>
      </c>
      <c r="D25" s="1">
        <v>1255</v>
      </c>
      <c r="E25" s="1">
        <v>863</v>
      </c>
      <c r="F25" s="1">
        <v>524</v>
      </c>
      <c r="G25" s="1">
        <v>131</v>
      </c>
      <c r="H25" s="1">
        <v>17</v>
      </c>
      <c r="I25" s="1">
        <v>1</v>
      </c>
    </row>
    <row r="26" spans="1:9" x14ac:dyDescent="0.3">
      <c r="A26" s="1">
        <v>19</v>
      </c>
      <c r="B26" s="1">
        <v>827</v>
      </c>
      <c r="C26" s="1">
        <v>4861</v>
      </c>
      <c r="D26" s="1">
        <v>2273</v>
      </c>
      <c r="E26" s="1">
        <v>1402</v>
      </c>
      <c r="F26" s="1">
        <v>833</v>
      </c>
      <c r="G26" s="1">
        <v>284</v>
      </c>
      <c r="H26" s="1">
        <v>44</v>
      </c>
      <c r="I26" s="1">
        <v>1</v>
      </c>
    </row>
    <row r="27" spans="1:9" x14ac:dyDescent="0.3">
      <c r="A27" s="1">
        <v>37</v>
      </c>
      <c r="B27" s="1">
        <v>850</v>
      </c>
      <c r="C27" s="1">
        <v>2156</v>
      </c>
      <c r="D27" s="1">
        <v>2660</v>
      </c>
      <c r="E27" s="1">
        <v>897</v>
      </c>
      <c r="F27" s="1">
        <v>345</v>
      </c>
      <c r="G27" s="1">
        <v>131</v>
      </c>
      <c r="H27" s="1">
        <v>24</v>
      </c>
      <c r="I27" s="1">
        <v>4</v>
      </c>
    </row>
    <row r="28" spans="1:9" x14ac:dyDescent="0.3">
      <c r="A28" s="1">
        <v>70</v>
      </c>
      <c r="B28" s="1">
        <v>3338</v>
      </c>
      <c r="C28" s="1">
        <v>1572</v>
      </c>
      <c r="D28" s="1">
        <v>1384</v>
      </c>
      <c r="E28" s="1">
        <v>1699</v>
      </c>
      <c r="F28" s="1">
        <v>425</v>
      </c>
      <c r="G28" s="1">
        <v>136</v>
      </c>
      <c r="H28" s="1">
        <v>22</v>
      </c>
      <c r="I28" s="1">
        <v>11</v>
      </c>
    </row>
    <row r="29" spans="1:9" x14ac:dyDescent="0.3">
      <c r="A29" s="1">
        <v>30</v>
      </c>
      <c r="B29" s="1">
        <v>537</v>
      </c>
      <c r="C29" s="1">
        <v>2114</v>
      </c>
      <c r="D29" s="1">
        <v>706</v>
      </c>
      <c r="E29" s="1">
        <v>557</v>
      </c>
      <c r="F29" s="1">
        <v>414</v>
      </c>
      <c r="G29" s="1">
        <v>71</v>
      </c>
      <c r="H29" s="1">
        <v>22</v>
      </c>
      <c r="I29" s="1">
        <v>5</v>
      </c>
    </row>
    <row r="30" spans="1:9" x14ac:dyDescent="0.3">
      <c r="A30" s="1">
        <v>86</v>
      </c>
      <c r="B30" s="1">
        <v>1317</v>
      </c>
      <c r="C30" s="1">
        <v>472</v>
      </c>
      <c r="D30" s="1">
        <v>874</v>
      </c>
      <c r="E30" s="1">
        <v>320</v>
      </c>
      <c r="F30" s="1">
        <v>247</v>
      </c>
      <c r="G30" s="1">
        <v>117</v>
      </c>
      <c r="H30" s="1">
        <v>17</v>
      </c>
      <c r="I30" s="1">
        <v>4</v>
      </c>
    </row>
    <row r="31" spans="1:9" x14ac:dyDescent="0.3">
      <c r="A31" s="1">
        <v>138</v>
      </c>
      <c r="B31" s="1">
        <v>1420</v>
      </c>
      <c r="C31" s="1">
        <v>1232</v>
      </c>
      <c r="D31" s="1">
        <v>475</v>
      </c>
      <c r="E31" s="1">
        <v>614</v>
      </c>
      <c r="F31" s="1">
        <v>284</v>
      </c>
      <c r="G31" s="1">
        <v>114</v>
      </c>
      <c r="H31" s="1">
        <v>21</v>
      </c>
      <c r="I31" s="1">
        <v>0</v>
      </c>
    </row>
    <row r="32" spans="1:9" x14ac:dyDescent="0.3">
      <c r="A32" s="1">
        <v>160</v>
      </c>
      <c r="B32" s="1">
        <v>1215</v>
      </c>
      <c r="C32" s="1">
        <v>1504</v>
      </c>
      <c r="D32" s="1">
        <v>1690</v>
      </c>
      <c r="E32" s="1">
        <v>376</v>
      </c>
      <c r="F32" s="1">
        <v>700</v>
      </c>
      <c r="G32" s="1">
        <v>167</v>
      </c>
      <c r="H32" s="1">
        <v>81</v>
      </c>
      <c r="I32" s="1">
        <v>16</v>
      </c>
    </row>
    <row r="33" spans="1:9" x14ac:dyDescent="0.3">
      <c r="A33" s="1">
        <v>135</v>
      </c>
      <c r="B33" s="1">
        <v>725</v>
      </c>
      <c r="C33" s="1">
        <v>782</v>
      </c>
      <c r="D33" s="1">
        <v>838</v>
      </c>
      <c r="E33" s="1">
        <v>822</v>
      </c>
      <c r="F33" s="1">
        <v>179</v>
      </c>
      <c r="G33" s="1">
        <v>229</v>
      </c>
      <c r="H33" s="1">
        <v>36</v>
      </c>
      <c r="I33" s="1">
        <v>30</v>
      </c>
    </row>
    <row r="34" spans="1:9" x14ac:dyDescent="0.3">
      <c r="A34" s="1">
        <v>890</v>
      </c>
      <c r="B34" s="1">
        <v>1283</v>
      </c>
      <c r="C34" s="1">
        <v>475</v>
      </c>
      <c r="D34" s="1">
        <v>395</v>
      </c>
      <c r="E34" s="1">
        <v>511</v>
      </c>
      <c r="F34" s="1">
        <v>384</v>
      </c>
      <c r="G34" s="1">
        <v>67</v>
      </c>
      <c r="H34" s="1">
        <v>53</v>
      </c>
      <c r="I34" s="1">
        <v>10</v>
      </c>
    </row>
    <row r="35" spans="1:9" x14ac:dyDescent="0.3">
      <c r="A35" s="1">
        <v>753</v>
      </c>
      <c r="B35" s="1">
        <v>1695</v>
      </c>
      <c r="C35" s="1">
        <v>446</v>
      </c>
      <c r="D35" s="1">
        <v>114</v>
      </c>
      <c r="E35" s="1">
        <v>83</v>
      </c>
      <c r="F35" s="1">
        <v>99</v>
      </c>
      <c r="G35" s="1">
        <v>53</v>
      </c>
      <c r="H35" s="1">
        <v>4</v>
      </c>
      <c r="I35" s="1">
        <v>7</v>
      </c>
    </row>
    <row r="36" spans="1:9" x14ac:dyDescent="0.3">
      <c r="A36" s="1">
        <v>157</v>
      </c>
      <c r="B36" s="1">
        <v>2094</v>
      </c>
      <c r="C36" s="1">
        <v>1233</v>
      </c>
      <c r="D36" s="1">
        <v>344</v>
      </c>
      <c r="E36" s="1">
        <v>130</v>
      </c>
      <c r="F36" s="1">
        <v>93</v>
      </c>
      <c r="G36" s="1">
        <v>73</v>
      </c>
      <c r="H36" s="1">
        <v>24</v>
      </c>
      <c r="I36" s="1">
        <v>3</v>
      </c>
    </row>
    <row r="37" spans="1:9" x14ac:dyDescent="0.3">
      <c r="A37" s="1">
        <v>760</v>
      </c>
      <c r="B37" s="1">
        <v>813</v>
      </c>
      <c r="C37" s="1">
        <v>1759</v>
      </c>
      <c r="D37" s="1">
        <v>1351</v>
      </c>
      <c r="E37" s="1">
        <v>376</v>
      </c>
      <c r="F37" s="1">
        <v>132</v>
      </c>
      <c r="G37" s="1">
        <v>81</v>
      </c>
      <c r="H37" s="1">
        <v>56</v>
      </c>
      <c r="I37" s="1">
        <v>20</v>
      </c>
    </row>
    <row r="38" spans="1:9" x14ac:dyDescent="0.3">
      <c r="A38" s="1">
        <v>191</v>
      </c>
      <c r="B38" s="1">
        <v>4575</v>
      </c>
      <c r="C38" s="1">
        <v>606</v>
      </c>
      <c r="D38" s="1">
        <v>1304</v>
      </c>
      <c r="E38" s="1">
        <v>883</v>
      </c>
      <c r="F38" s="1">
        <v>273</v>
      </c>
      <c r="G38" s="1">
        <v>70</v>
      </c>
      <c r="H38" s="1">
        <v>39</v>
      </c>
      <c r="I38" s="1">
        <v>18</v>
      </c>
    </row>
    <row r="39" spans="1:9" x14ac:dyDescent="0.3">
      <c r="A39" s="1">
        <v>146</v>
      </c>
      <c r="B39" s="1">
        <v>904</v>
      </c>
      <c r="C39" s="1">
        <v>3690</v>
      </c>
      <c r="D39" s="1">
        <v>418</v>
      </c>
      <c r="E39" s="1">
        <v>580</v>
      </c>
      <c r="F39" s="1">
        <v>295</v>
      </c>
      <c r="G39" s="1">
        <v>45</v>
      </c>
      <c r="H39" s="1">
        <v>14</v>
      </c>
      <c r="I39" s="1">
        <v>2</v>
      </c>
    </row>
    <row r="40" spans="1:9" x14ac:dyDescent="0.3">
      <c r="A40" s="1">
        <v>33</v>
      </c>
      <c r="B40" s="1">
        <v>1862</v>
      </c>
      <c r="C40" s="1">
        <v>884</v>
      </c>
      <c r="D40" s="1">
        <v>3540</v>
      </c>
      <c r="E40" s="1">
        <v>344</v>
      </c>
      <c r="F40" s="1">
        <v>452</v>
      </c>
      <c r="G40" s="1">
        <v>136</v>
      </c>
      <c r="H40" s="1">
        <v>19</v>
      </c>
      <c r="I40" s="1">
        <v>6</v>
      </c>
    </row>
    <row r="41" spans="1:9" x14ac:dyDescent="0.3">
      <c r="A41" s="1">
        <v>482</v>
      </c>
      <c r="B41" s="1">
        <v>1566</v>
      </c>
      <c r="C41" s="1">
        <v>1568</v>
      </c>
      <c r="D41" s="1">
        <v>821</v>
      </c>
      <c r="E41" s="1">
        <v>2643</v>
      </c>
      <c r="F41" s="1">
        <v>248</v>
      </c>
      <c r="G41" s="1">
        <v>279</v>
      </c>
      <c r="H41" s="1">
        <v>50</v>
      </c>
      <c r="I41" s="1">
        <v>3</v>
      </c>
    </row>
    <row r="42" spans="1:9" x14ac:dyDescent="0.3">
      <c r="A42" s="1">
        <v>97</v>
      </c>
      <c r="B42" s="1">
        <v>2895</v>
      </c>
      <c r="C42" s="1">
        <v>705</v>
      </c>
      <c r="D42" s="1">
        <v>974</v>
      </c>
      <c r="E42" s="1">
        <v>437</v>
      </c>
      <c r="F42" s="1">
        <v>1183</v>
      </c>
      <c r="G42" s="1">
        <v>142</v>
      </c>
      <c r="H42" s="1">
        <v>87</v>
      </c>
      <c r="I42" s="1">
        <v>15</v>
      </c>
    </row>
    <row r="43" spans="1:9" x14ac:dyDescent="0.3">
      <c r="A43" s="1">
        <v>214</v>
      </c>
      <c r="B43" s="1">
        <v>1528</v>
      </c>
      <c r="C43" s="1">
        <v>2255</v>
      </c>
      <c r="D43" s="1">
        <v>380</v>
      </c>
      <c r="E43" s="1">
        <v>416</v>
      </c>
      <c r="F43" s="1">
        <v>226</v>
      </c>
      <c r="G43" s="1">
        <v>423</v>
      </c>
      <c r="H43" s="1">
        <v>51</v>
      </c>
      <c r="I43" s="1">
        <v>31</v>
      </c>
    </row>
    <row r="44" spans="1:9" x14ac:dyDescent="0.3">
      <c r="A44" s="1">
        <v>183</v>
      </c>
      <c r="B44" s="1">
        <v>1396</v>
      </c>
      <c r="C44" s="1">
        <v>1648</v>
      </c>
      <c r="D44" s="1">
        <v>2202</v>
      </c>
      <c r="E44" s="1">
        <v>524</v>
      </c>
      <c r="F44" s="1">
        <v>318</v>
      </c>
      <c r="G44" s="1">
        <v>334</v>
      </c>
      <c r="H44" s="1">
        <v>98</v>
      </c>
      <c r="I44" s="1">
        <v>15</v>
      </c>
    </row>
    <row r="45" spans="1:9" x14ac:dyDescent="0.3">
      <c r="A45" s="1">
        <v>40</v>
      </c>
      <c r="B45" s="1">
        <v>646</v>
      </c>
      <c r="C45" s="1">
        <v>1200</v>
      </c>
      <c r="D45" s="1">
        <v>1023</v>
      </c>
      <c r="E45" s="1">
        <v>1277</v>
      </c>
      <c r="F45" s="1">
        <v>334</v>
      </c>
      <c r="G45" s="1">
        <v>220</v>
      </c>
      <c r="H45" s="1">
        <v>155</v>
      </c>
      <c r="I45" s="1">
        <v>35</v>
      </c>
    </row>
    <row r="46" spans="1:9" x14ac:dyDescent="0.3">
      <c r="A46" s="1">
        <v>1122</v>
      </c>
      <c r="B46" s="1">
        <v>1537</v>
      </c>
      <c r="C46" s="1">
        <v>907</v>
      </c>
      <c r="D46" s="1">
        <v>1412</v>
      </c>
      <c r="E46" s="1">
        <v>928</v>
      </c>
      <c r="F46" s="1">
        <v>955</v>
      </c>
      <c r="G46" s="1">
        <v>203</v>
      </c>
      <c r="H46" s="1">
        <v>84</v>
      </c>
      <c r="I46" s="1">
        <v>60</v>
      </c>
    </row>
    <row r="47" spans="1:9" x14ac:dyDescent="0.3">
      <c r="A47" s="1">
        <v>144</v>
      </c>
      <c r="B47" s="1">
        <v>4068</v>
      </c>
      <c r="C47" s="1">
        <v>478</v>
      </c>
      <c r="D47" s="1">
        <v>268</v>
      </c>
      <c r="E47" s="1">
        <v>395</v>
      </c>
      <c r="F47" s="1">
        <v>293</v>
      </c>
      <c r="G47" s="1">
        <v>197</v>
      </c>
      <c r="H47" s="1">
        <v>32</v>
      </c>
      <c r="I47" s="1">
        <v>20</v>
      </c>
    </row>
    <row r="48" spans="1:9" x14ac:dyDescent="0.3">
      <c r="A48" s="1">
        <v>119</v>
      </c>
      <c r="B48" s="1">
        <v>1154</v>
      </c>
      <c r="C48" s="1">
        <v>3499</v>
      </c>
      <c r="D48" s="1">
        <v>435</v>
      </c>
      <c r="E48" s="1">
        <v>236</v>
      </c>
      <c r="F48" s="1">
        <v>353</v>
      </c>
      <c r="G48" s="1">
        <v>209</v>
      </c>
      <c r="H48" s="1">
        <v>110</v>
      </c>
      <c r="I48" s="1">
        <v>37</v>
      </c>
    </row>
    <row r="49" spans="1:9" x14ac:dyDescent="0.3">
      <c r="A49" s="1">
        <v>70</v>
      </c>
      <c r="B49" s="1">
        <v>969</v>
      </c>
      <c r="C49" s="1">
        <v>1150</v>
      </c>
      <c r="D49" s="1">
        <v>2168</v>
      </c>
      <c r="E49" s="1">
        <v>484</v>
      </c>
      <c r="F49" s="1">
        <v>156</v>
      </c>
      <c r="G49" s="1">
        <v>94</v>
      </c>
      <c r="H49" s="1">
        <v>43</v>
      </c>
      <c r="I49" s="1">
        <v>17</v>
      </c>
    </row>
    <row r="50" spans="1:9" x14ac:dyDescent="0.3">
      <c r="A50" s="1">
        <v>278</v>
      </c>
      <c r="B50" s="1">
        <v>1118</v>
      </c>
      <c r="C50" s="1">
        <v>976</v>
      </c>
      <c r="D50" s="1">
        <v>1018</v>
      </c>
      <c r="E50" s="1">
        <v>1616</v>
      </c>
      <c r="F50" s="1">
        <v>216</v>
      </c>
      <c r="G50" s="1">
        <v>76</v>
      </c>
      <c r="H50" s="1">
        <v>44</v>
      </c>
      <c r="I50" s="1">
        <v>12</v>
      </c>
    </row>
    <row r="51" spans="1:9" x14ac:dyDescent="0.3">
      <c r="A51" s="1">
        <v>165</v>
      </c>
      <c r="B51" s="1">
        <v>1074</v>
      </c>
      <c r="C51" s="1">
        <v>475</v>
      </c>
      <c r="D51" s="1">
        <v>197</v>
      </c>
      <c r="E51" s="1">
        <v>178</v>
      </c>
      <c r="F51" s="1">
        <v>222</v>
      </c>
      <c r="G51" s="1">
        <v>31</v>
      </c>
      <c r="H51" s="1">
        <v>5</v>
      </c>
      <c r="I51" s="1">
        <v>5</v>
      </c>
    </row>
    <row r="52" spans="1:9" x14ac:dyDescent="0.3">
      <c r="A52" s="1">
        <v>368</v>
      </c>
      <c r="B52" s="1">
        <v>2662</v>
      </c>
      <c r="C52" s="1">
        <v>1191</v>
      </c>
      <c r="D52" s="1">
        <v>525</v>
      </c>
      <c r="E52" s="1">
        <v>222</v>
      </c>
      <c r="F52" s="1">
        <v>267</v>
      </c>
      <c r="G52" s="1">
        <v>251</v>
      </c>
      <c r="H52" s="1">
        <v>27</v>
      </c>
      <c r="I52" s="1">
        <v>3</v>
      </c>
    </row>
    <row r="53" spans="1:9" x14ac:dyDescent="0.3">
      <c r="A53" s="1">
        <v>96</v>
      </c>
      <c r="B53" s="1">
        <v>2206</v>
      </c>
      <c r="C53" s="1">
        <v>2141</v>
      </c>
      <c r="D53" s="1">
        <v>908</v>
      </c>
      <c r="E53" s="1">
        <v>277</v>
      </c>
      <c r="F53" s="1">
        <v>139</v>
      </c>
      <c r="G53" s="1">
        <v>145</v>
      </c>
      <c r="H53" s="1">
        <v>90</v>
      </c>
      <c r="I53" s="1">
        <v>8</v>
      </c>
    </row>
    <row r="54" spans="1:9" x14ac:dyDescent="0.3">
      <c r="A54" s="1">
        <v>391</v>
      </c>
      <c r="B54" s="1">
        <v>1321</v>
      </c>
      <c r="C54" s="1">
        <v>2629</v>
      </c>
      <c r="D54" s="1">
        <v>1158</v>
      </c>
      <c r="E54" s="1">
        <v>444</v>
      </c>
      <c r="F54" s="1">
        <v>156</v>
      </c>
      <c r="G54" s="1">
        <v>45</v>
      </c>
      <c r="H54" s="1">
        <v>25</v>
      </c>
      <c r="I54" s="1">
        <v>6</v>
      </c>
    </row>
    <row r="55" spans="1:9" x14ac:dyDescent="0.3">
      <c r="A55" s="1">
        <v>157</v>
      </c>
      <c r="B55" s="1">
        <v>1659</v>
      </c>
      <c r="C55" s="1">
        <v>993</v>
      </c>
      <c r="D55" s="1">
        <v>974</v>
      </c>
      <c r="E55" s="1">
        <v>380</v>
      </c>
      <c r="F55" s="1">
        <v>132</v>
      </c>
      <c r="G55" s="1">
        <v>34</v>
      </c>
      <c r="H55" s="1">
        <v>3</v>
      </c>
      <c r="I55" s="1">
        <v>5</v>
      </c>
    </row>
    <row r="56" spans="1:9" x14ac:dyDescent="0.3">
      <c r="A56" s="1">
        <v>174</v>
      </c>
      <c r="B56" s="1">
        <v>430</v>
      </c>
      <c r="C56" s="1">
        <v>387</v>
      </c>
      <c r="D56" s="1">
        <v>91</v>
      </c>
      <c r="E56" s="1">
        <v>62</v>
      </c>
      <c r="F56" s="1">
        <v>9</v>
      </c>
      <c r="G56" s="1">
        <v>1</v>
      </c>
      <c r="H56" s="1">
        <v>0</v>
      </c>
      <c r="I56" s="1">
        <v>0</v>
      </c>
    </row>
    <row r="57" spans="1:9" x14ac:dyDescent="0.3">
      <c r="A57" s="1">
        <v>7</v>
      </c>
      <c r="B57" s="1">
        <v>303</v>
      </c>
      <c r="C57" s="1">
        <v>211</v>
      </c>
      <c r="D57" s="1">
        <v>66</v>
      </c>
      <c r="E57" s="1">
        <v>11</v>
      </c>
      <c r="F57" s="1">
        <v>4</v>
      </c>
      <c r="G57" s="1">
        <v>0</v>
      </c>
      <c r="H57" s="1">
        <v>0</v>
      </c>
      <c r="I57" s="1">
        <v>0</v>
      </c>
    </row>
    <row r="58" spans="1:9" x14ac:dyDescent="0.3">
      <c r="A58" s="1">
        <v>54</v>
      </c>
      <c r="B58" s="1">
        <v>255</v>
      </c>
      <c r="C58" s="1">
        <v>559</v>
      </c>
      <c r="D58" s="1">
        <v>119</v>
      </c>
      <c r="E58" s="1">
        <v>32</v>
      </c>
      <c r="F58" s="1">
        <v>8</v>
      </c>
      <c r="G58" s="1">
        <v>6</v>
      </c>
      <c r="H58" s="1">
        <v>1</v>
      </c>
      <c r="I58" s="1">
        <v>1</v>
      </c>
    </row>
    <row r="59" spans="1:9" x14ac:dyDescent="0.3">
      <c r="A59" s="1">
        <v>44</v>
      </c>
      <c r="B59" s="1">
        <v>1204</v>
      </c>
      <c r="C59" s="1">
        <v>284</v>
      </c>
      <c r="D59" s="1">
        <v>230</v>
      </c>
      <c r="E59" s="1">
        <v>41</v>
      </c>
      <c r="F59" s="1">
        <v>10</v>
      </c>
      <c r="G59" s="1">
        <v>0</v>
      </c>
      <c r="H59" s="1">
        <v>0</v>
      </c>
      <c r="I59" s="1">
        <v>0</v>
      </c>
    </row>
    <row r="60" spans="1:9" x14ac:dyDescent="0.3">
      <c r="A60" s="1">
        <v>356</v>
      </c>
      <c r="B60" s="1">
        <v>597</v>
      </c>
      <c r="C60" s="1">
        <v>859</v>
      </c>
      <c r="D60" s="1">
        <v>105</v>
      </c>
      <c r="E60" s="1">
        <v>91</v>
      </c>
      <c r="F60" s="1">
        <v>14</v>
      </c>
      <c r="G60" s="1">
        <v>2</v>
      </c>
      <c r="H60" s="1">
        <v>0</v>
      </c>
      <c r="I60" s="1">
        <v>0</v>
      </c>
    </row>
    <row r="61" spans="1:9" x14ac:dyDescent="0.3">
      <c r="A61" s="1">
        <v>62</v>
      </c>
      <c r="B61" s="1">
        <v>806</v>
      </c>
      <c r="C61" s="1">
        <v>270</v>
      </c>
      <c r="D61" s="1">
        <v>123</v>
      </c>
      <c r="E61" s="1">
        <v>12</v>
      </c>
      <c r="F61" s="1">
        <v>6</v>
      </c>
      <c r="G61" s="1">
        <v>0</v>
      </c>
      <c r="H61" s="1">
        <v>0</v>
      </c>
      <c r="I61" s="1">
        <v>0</v>
      </c>
    </row>
    <row r="62" spans="1:9" x14ac:dyDescent="0.3">
      <c r="A62" s="1">
        <v>19</v>
      </c>
      <c r="B62" s="1">
        <v>168</v>
      </c>
      <c r="C62" s="1">
        <v>561</v>
      </c>
      <c r="D62" s="1">
        <v>93</v>
      </c>
      <c r="E62" s="1">
        <v>53</v>
      </c>
      <c r="F62" s="1">
        <v>6</v>
      </c>
      <c r="G62" s="1">
        <v>3</v>
      </c>
      <c r="H62" s="1">
        <v>0</v>
      </c>
      <c r="I62" s="1">
        <v>0</v>
      </c>
    </row>
    <row r="63" spans="1:9" x14ac:dyDescent="0.3">
      <c r="A63" s="1">
        <v>15</v>
      </c>
      <c r="B63" s="1">
        <v>106</v>
      </c>
      <c r="C63" s="1">
        <v>66</v>
      </c>
      <c r="D63" s="1">
        <v>209</v>
      </c>
      <c r="E63" s="1">
        <v>22</v>
      </c>
      <c r="F63" s="1">
        <v>20</v>
      </c>
      <c r="G63" s="1">
        <v>2</v>
      </c>
      <c r="H63" s="1">
        <v>0</v>
      </c>
      <c r="I63" s="1">
        <v>0</v>
      </c>
    </row>
    <row r="64" spans="1:9" x14ac:dyDescent="0.3">
      <c r="A64" s="1">
        <v>8</v>
      </c>
      <c r="B64" s="1">
        <v>209</v>
      </c>
      <c r="C64" s="1">
        <v>41</v>
      </c>
      <c r="D64" s="1">
        <v>8</v>
      </c>
      <c r="E64" s="1">
        <v>9</v>
      </c>
      <c r="F64" s="1">
        <v>2</v>
      </c>
      <c r="G64" s="1">
        <v>0</v>
      </c>
      <c r="H64" s="1">
        <v>1</v>
      </c>
      <c r="I64" s="1">
        <v>0</v>
      </c>
    </row>
    <row r="65" spans="1:9" x14ac:dyDescent="0.3">
      <c r="A65" s="1">
        <v>217</v>
      </c>
      <c r="B65" s="1">
        <v>368</v>
      </c>
      <c r="C65" s="1">
        <v>781</v>
      </c>
      <c r="D65" s="1">
        <v>105</v>
      </c>
      <c r="E65" s="1">
        <v>27</v>
      </c>
      <c r="F65" s="1">
        <v>43</v>
      </c>
      <c r="G65" s="1">
        <v>6</v>
      </c>
      <c r="H65" s="1">
        <v>0</v>
      </c>
      <c r="I65" s="1">
        <v>1</v>
      </c>
    </row>
    <row r="66" spans="1:9" x14ac:dyDescent="0.3">
      <c r="A66" s="1">
        <v>46</v>
      </c>
      <c r="B66" s="1">
        <v>754</v>
      </c>
      <c r="C66" s="1">
        <v>195</v>
      </c>
      <c r="D66" s="1">
        <v>144</v>
      </c>
      <c r="E66" s="1">
        <v>16</v>
      </c>
      <c r="F66" s="1">
        <v>3</v>
      </c>
      <c r="G66" s="1">
        <v>5</v>
      </c>
      <c r="H66" s="1">
        <v>1</v>
      </c>
      <c r="I66" s="1">
        <v>0</v>
      </c>
    </row>
    <row r="67" spans="1:9" x14ac:dyDescent="0.3">
      <c r="A67" s="1">
        <v>27</v>
      </c>
      <c r="B67" s="1">
        <v>81</v>
      </c>
      <c r="C67" s="1">
        <v>703</v>
      </c>
      <c r="D67" s="1">
        <v>140</v>
      </c>
      <c r="E67" s="1">
        <v>87</v>
      </c>
      <c r="F67" s="1">
        <v>17</v>
      </c>
      <c r="G67" s="1">
        <v>2</v>
      </c>
      <c r="H67" s="1">
        <v>2</v>
      </c>
      <c r="I67" s="1">
        <v>0</v>
      </c>
    </row>
    <row r="68" spans="1:9" x14ac:dyDescent="0.3">
      <c r="A68" s="1">
        <v>73</v>
      </c>
      <c r="B68" s="1">
        <v>182</v>
      </c>
      <c r="C68" s="1">
        <v>149</v>
      </c>
      <c r="D68" s="1">
        <v>775</v>
      </c>
      <c r="E68" s="1">
        <v>132</v>
      </c>
      <c r="F68" s="1">
        <v>48</v>
      </c>
      <c r="G68" s="1">
        <v>7</v>
      </c>
      <c r="H68" s="1">
        <v>3</v>
      </c>
      <c r="I68" s="1">
        <v>0</v>
      </c>
    </row>
    <row r="69" spans="1:9" x14ac:dyDescent="0.3">
      <c r="A69" s="1">
        <v>63</v>
      </c>
      <c r="B69" s="1">
        <v>575</v>
      </c>
      <c r="C69" s="1">
        <v>111</v>
      </c>
      <c r="D69" s="1">
        <v>56</v>
      </c>
      <c r="E69" s="1">
        <v>265</v>
      </c>
      <c r="F69" s="1">
        <v>46</v>
      </c>
      <c r="G69" s="1">
        <v>21</v>
      </c>
      <c r="H69" s="1">
        <v>3</v>
      </c>
      <c r="I69" s="1">
        <v>0</v>
      </c>
    </row>
    <row r="70" spans="1:9" x14ac:dyDescent="0.3">
      <c r="A70" s="1">
        <v>177</v>
      </c>
      <c r="B70" s="1">
        <v>270</v>
      </c>
      <c r="C70" s="1">
        <v>340</v>
      </c>
      <c r="D70" s="1">
        <v>46</v>
      </c>
      <c r="E70" s="1">
        <v>24</v>
      </c>
      <c r="F70" s="1">
        <v>98</v>
      </c>
      <c r="G70" s="1">
        <v>22</v>
      </c>
      <c r="H70" s="1">
        <v>4</v>
      </c>
      <c r="I70" s="1">
        <v>0</v>
      </c>
    </row>
    <row r="71" spans="1:9" x14ac:dyDescent="0.3">
      <c r="A71" s="1">
        <v>177</v>
      </c>
      <c r="B71" s="1">
        <v>545</v>
      </c>
      <c r="C71" s="1">
        <v>139</v>
      </c>
      <c r="D71" s="1">
        <v>121</v>
      </c>
      <c r="E71" s="1">
        <v>14</v>
      </c>
      <c r="F71" s="1">
        <v>9</v>
      </c>
      <c r="G71" s="1">
        <v>13</v>
      </c>
      <c r="H71" s="1">
        <v>3</v>
      </c>
      <c r="I71" s="1">
        <v>2</v>
      </c>
    </row>
    <row r="72" spans="1:9" x14ac:dyDescent="0.3">
      <c r="A72" s="1">
        <v>57</v>
      </c>
      <c r="B72" s="1">
        <v>227</v>
      </c>
      <c r="C72" s="1">
        <v>339</v>
      </c>
      <c r="D72" s="1">
        <v>69</v>
      </c>
      <c r="E72" s="1">
        <v>75</v>
      </c>
      <c r="F72" s="1">
        <v>4</v>
      </c>
      <c r="G72" s="1">
        <v>1</v>
      </c>
      <c r="H72" s="1">
        <v>4</v>
      </c>
      <c r="I72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2"/>
  <sheetViews>
    <sheetView workbookViewId="0"/>
  </sheetViews>
  <sheetFormatPr defaultRowHeight="14.4" x14ac:dyDescent="0.3"/>
  <sheetData>
    <row r="1" spans="1:1" x14ac:dyDescent="0.3">
      <c r="A1" s="5">
        <v>19.597000000000001</v>
      </c>
    </row>
    <row r="2" spans="1:1" x14ac:dyDescent="0.3">
      <c r="A2" s="5">
        <v>13.31</v>
      </c>
    </row>
    <row r="3" spans="1:1" x14ac:dyDescent="0.3">
      <c r="A3" s="5">
        <v>39.570999999999998</v>
      </c>
    </row>
    <row r="4" spans="1:1" x14ac:dyDescent="0.3">
      <c r="A4" s="5">
        <v>20.648</v>
      </c>
    </row>
    <row r="5" spans="1:1" x14ac:dyDescent="0.3">
      <c r="A5" s="5">
        <v>15.112</v>
      </c>
    </row>
    <row r="6" spans="1:1" x14ac:dyDescent="0.3">
      <c r="A6" s="5">
        <v>27.183</v>
      </c>
    </row>
    <row r="7" spans="1:1" x14ac:dyDescent="0.3">
      <c r="A7" s="5">
        <v>44.113999999999997</v>
      </c>
    </row>
    <row r="8" spans="1:1" x14ac:dyDescent="0.3">
      <c r="A8" s="5">
        <v>18.986000000000001</v>
      </c>
    </row>
    <row r="9" spans="1:1" x14ac:dyDescent="0.3">
      <c r="A9" s="5">
        <v>12.978999999999999</v>
      </c>
    </row>
    <row r="10" spans="1:1" x14ac:dyDescent="0.3">
      <c r="A10" s="5">
        <v>6.0149999999999997</v>
      </c>
    </row>
    <row r="11" spans="1:1" x14ac:dyDescent="0.3">
      <c r="A11" s="5">
        <v>10.555999999999999</v>
      </c>
    </row>
    <row r="12" spans="1:1" x14ac:dyDescent="0.3">
      <c r="A12" s="5">
        <v>34.47</v>
      </c>
    </row>
    <row r="13" spans="1:1" x14ac:dyDescent="0.3">
      <c r="A13" s="5">
        <v>11.244999999999999</v>
      </c>
    </row>
    <row r="14" spans="1:1" x14ac:dyDescent="0.3">
      <c r="A14" s="5">
        <v>22.760999999999999</v>
      </c>
    </row>
    <row r="15" spans="1:1" x14ac:dyDescent="0.3">
      <c r="A15" s="5">
        <v>11.891</v>
      </c>
    </row>
    <row r="16" spans="1:1" x14ac:dyDescent="0.3">
      <c r="A16" s="5">
        <v>3.722</v>
      </c>
    </row>
    <row r="17" spans="1:1" x14ac:dyDescent="0.3">
      <c r="A17" s="5">
        <v>4.8129999999999997</v>
      </c>
    </row>
    <row r="18" spans="1:1" x14ac:dyDescent="0.3">
      <c r="A18" s="5">
        <v>11.029</v>
      </c>
    </row>
    <row r="19" spans="1:1" x14ac:dyDescent="0.3">
      <c r="A19" s="5">
        <v>10.465</v>
      </c>
    </row>
    <row r="20" spans="1:1" x14ac:dyDescent="0.3">
      <c r="A20" s="5">
        <v>26.911999999999999</v>
      </c>
    </row>
    <row r="21" spans="1:1" x14ac:dyDescent="0.3">
      <c r="A21" s="5">
        <v>36.206000000000003</v>
      </c>
    </row>
    <row r="22" spans="1:1" x14ac:dyDescent="0.3">
      <c r="A22" s="5">
        <v>41.856999999999999</v>
      </c>
    </row>
    <row r="23" spans="1:1" x14ac:dyDescent="0.3">
      <c r="A23" s="5">
        <v>19.481000000000002</v>
      </c>
    </row>
    <row r="24" spans="1:1" x14ac:dyDescent="0.3">
      <c r="A24" s="5">
        <v>25.54</v>
      </c>
    </row>
    <row r="25" spans="1:1" x14ac:dyDescent="0.3">
      <c r="A25" s="5">
        <v>49.149000000000001</v>
      </c>
    </row>
    <row r="26" spans="1:1" x14ac:dyDescent="0.3">
      <c r="A26" s="5">
        <v>65.728999999999999</v>
      </c>
    </row>
    <row r="27" spans="1:1" x14ac:dyDescent="0.3">
      <c r="A27" s="5">
        <v>58.679000000000002</v>
      </c>
    </row>
    <row r="28" spans="1:1" x14ac:dyDescent="0.3">
      <c r="A28" s="5">
        <v>45.606999999999999</v>
      </c>
    </row>
    <row r="29" spans="1:1" x14ac:dyDescent="0.3">
      <c r="A29" s="5">
        <v>68.340999999999994</v>
      </c>
    </row>
    <row r="30" spans="1:1" x14ac:dyDescent="0.3">
      <c r="A30" s="5">
        <v>62.308</v>
      </c>
    </row>
    <row r="31" spans="1:1" x14ac:dyDescent="0.3">
      <c r="A31" s="5">
        <v>51.929000000000002</v>
      </c>
    </row>
    <row r="32" spans="1:1" x14ac:dyDescent="0.3">
      <c r="A32" s="5">
        <v>33.482999999999997</v>
      </c>
    </row>
    <row r="33" spans="1:1" x14ac:dyDescent="0.3">
      <c r="A33" s="5">
        <v>16.771000000000001</v>
      </c>
    </row>
    <row r="34" spans="1:1" x14ac:dyDescent="0.3">
      <c r="A34" s="5">
        <v>24.087</v>
      </c>
    </row>
    <row r="35" spans="1:1" x14ac:dyDescent="0.3">
      <c r="A35" s="5">
        <v>29.59</v>
      </c>
    </row>
    <row r="36" spans="1:1" x14ac:dyDescent="0.3">
      <c r="A36" s="5">
        <v>39.514000000000003</v>
      </c>
    </row>
    <row r="37" spans="1:1" x14ac:dyDescent="0.3">
      <c r="A37" s="5">
        <v>16.858000000000001</v>
      </c>
    </row>
    <row r="38" spans="1:1" x14ac:dyDescent="0.3">
      <c r="A38" s="5">
        <v>46.241999999999997</v>
      </c>
    </row>
    <row r="39" spans="1:1" x14ac:dyDescent="0.3">
      <c r="A39" s="5">
        <v>47.718000000000004</v>
      </c>
    </row>
    <row r="40" spans="1:1" x14ac:dyDescent="0.3">
      <c r="A40" s="5">
        <v>46.97</v>
      </c>
    </row>
    <row r="41" spans="1:1" x14ac:dyDescent="0.3">
      <c r="A41" s="5">
        <v>30.052</v>
      </c>
    </row>
    <row r="42" spans="1:1" x14ac:dyDescent="0.3">
      <c r="A42" s="5">
        <v>42.366</v>
      </c>
    </row>
    <row r="43" spans="1:1" x14ac:dyDescent="0.3">
      <c r="A43" s="5">
        <v>36.918999999999997</v>
      </c>
    </row>
    <row r="44" spans="1:1" x14ac:dyDescent="0.3">
      <c r="A44" s="5">
        <v>25.248999999999999</v>
      </c>
    </row>
    <row r="45" spans="1:1" x14ac:dyDescent="0.3">
      <c r="A45" s="5">
        <v>27.128</v>
      </c>
    </row>
    <row r="46" spans="1:1" x14ac:dyDescent="0.3">
      <c r="A46" s="5">
        <v>33.121000000000002</v>
      </c>
    </row>
    <row r="47" spans="1:1" x14ac:dyDescent="0.3">
      <c r="A47" s="5">
        <v>45.362000000000002</v>
      </c>
    </row>
    <row r="48" spans="1:1" x14ac:dyDescent="0.3">
      <c r="A48" s="5">
        <v>41.011000000000003</v>
      </c>
    </row>
    <row r="49" spans="1:1" x14ac:dyDescent="0.3">
      <c r="A49" s="5">
        <v>19.734000000000002</v>
      </c>
    </row>
    <row r="50" spans="1:1" x14ac:dyDescent="0.3">
      <c r="A50" s="5">
        <v>12.798999999999999</v>
      </c>
    </row>
    <row r="51" spans="1:1" x14ac:dyDescent="0.3">
      <c r="A51" s="5">
        <v>13.414</v>
      </c>
    </row>
    <row r="52" spans="1:1" x14ac:dyDescent="0.3">
      <c r="A52" s="5">
        <v>21.242000000000001</v>
      </c>
    </row>
    <row r="53" spans="1:1" x14ac:dyDescent="0.3">
      <c r="A53" s="5">
        <v>31.396999999999998</v>
      </c>
    </row>
    <row r="54" spans="1:1" x14ac:dyDescent="0.3">
      <c r="A54" s="5">
        <v>16.431999999999999</v>
      </c>
    </row>
    <row r="55" spans="1:1" x14ac:dyDescent="0.3">
      <c r="A55" s="5">
        <v>9.6639999999999997</v>
      </c>
    </row>
    <row r="56" spans="1:1" x14ac:dyDescent="0.3">
      <c r="A56" s="5">
        <v>2.875</v>
      </c>
    </row>
    <row r="57" spans="1:1" x14ac:dyDescent="0.3">
      <c r="A57" s="5">
        <v>2.246</v>
      </c>
    </row>
    <row r="58" spans="1:1" x14ac:dyDescent="0.3">
      <c r="A58" s="5">
        <v>2.7389999999999999</v>
      </c>
    </row>
    <row r="59" spans="1:1" x14ac:dyDescent="0.3">
      <c r="A59" s="5">
        <v>10.606999999999999</v>
      </c>
    </row>
    <row r="60" spans="1:1" x14ac:dyDescent="0.3">
      <c r="A60" s="5">
        <v>2.464</v>
      </c>
    </row>
    <row r="61" spans="1:1" x14ac:dyDescent="0.3">
      <c r="A61" s="5">
        <v>9.6630000000000003</v>
      </c>
    </row>
    <row r="62" spans="1:1" x14ac:dyDescent="0.3">
      <c r="A62" s="5">
        <v>5.407</v>
      </c>
    </row>
    <row r="63" spans="1:1" x14ac:dyDescent="0.3">
      <c r="A63" s="5">
        <v>12.257999999999999</v>
      </c>
    </row>
    <row r="64" spans="1:1" x14ac:dyDescent="0.3">
      <c r="A64" s="5">
        <v>13.936999999999999</v>
      </c>
    </row>
    <row r="65" spans="1:1" x14ac:dyDescent="0.3">
      <c r="A65" s="5">
        <v>11.323</v>
      </c>
    </row>
    <row r="66" spans="1:1" x14ac:dyDescent="0.3">
      <c r="A66" s="5">
        <v>20.527999999999999</v>
      </c>
    </row>
    <row r="67" spans="1:1" x14ac:dyDescent="0.3">
      <c r="A67" s="5">
        <v>16.475999999999999</v>
      </c>
    </row>
    <row r="68" spans="1:1" x14ac:dyDescent="0.3">
      <c r="A68" s="5">
        <v>28.106999999999999</v>
      </c>
    </row>
    <row r="69" spans="1:1" x14ac:dyDescent="0.3">
      <c r="A69" s="5">
        <v>17.03</v>
      </c>
    </row>
    <row r="70" spans="1:1" x14ac:dyDescent="0.3">
      <c r="A70" s="5">
        <v>18.760999999999999</v>
      </c>
    </row>
    <row r="71" spans="1:1" x14ac:dyDescent="0.3">
      <c r="A71" s="5">
        <v>29.338999999999999</v>
      </c>
    </row>
    <row r="72" spans="1:1" x14ac:dyDescent="0.3">
      <c r="A72" s="5">
        <v>23.707000000000001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1"/>
  <sheetViews>
    <sheetView workbookViewId="0">
      <selection activeCell="A72" sqref="A72"/>
    </sheetView>
  </sheetViews>
  <sheetFormatPr defaultRowHeight="14.4" x14ac:dyDescent="0.3"/>
  <sheetData>
    <row r="1" spans="1:1" x14ac:dyDescent="0.3">
      <c r="A1" s="5">
        <v>23.380395459554833</v>
      </c>
    </row>
    <row r="2" spans="1:1" x14ac:dyDescent="0.3">
      <c r="A2" s="5">
        <v>8.7826669938731463</v>
      </c>
    </row>
    <row r="3" spans="1:1" x14ac:dyDescent="0.3">
      <c r="A3" s="5">
        <v>19.286993357921951</v>
      </c>
    </row>
    <row r="4" spans="1:1" x14ac:dyDescent="0.3">
      <c r="A4" s="5">
        <v>19.514546794219125</v>
      </c>
    </row>
    <row r="5" spans="1:1" x14ac:dyDescent="0.3">
      <c r="A5" s="5">
        <v>24.518558890421218</v>
      </c>
    </row>
    <row r="6" spans="1:1" x14ac:dyDescent="0.3">
      <c r="A6" s="5">
        <v>22.589098896803542</v>
      </c>
    </row>
    <row r="7" spans="1:1" x14ac:dyDescent="0.3">
      <c r="A7" s="5">
        <v>27.301549651379659</v>
      </c>
    </row>
    <row r="8" spans="1:1" x14ac:dyDescent="0.3">
      <c r="A8" s="5">
        <v>33.00712137810158</v>
      </c>
    </row>
    <row r="9" spans="1:1" x14ac:dyDescent="0.3">
      <c r="A9" s="5">
        <v>16.865013860344799</v>
      </c>
    </row>
    <row r="10" spans="1:1" x14ac:dyDescent="0.3">
      <c r="A10" s="5">
        <v>6.3197814824402609</v>
      </c>
    </row>
    <row r="11" spans="1:1" x14ac:dyDescent="0.3">
      <c r="A11" s="5">
        <v>6.2570403107503321</v>
      </c>
    </row>
    <row r="12" spans="1:1" x14ac:dyDescent="0.3">
      <c r="A12" s="5">
        <v>12.013251698887803</v>
      </c>
    </row>
    <row r="13" spans="1:1" x14ac:dyDescent="0.3">
      <c r="A13" s="5">
        <v>11.377786054458213</v>
      </c>
    </row>
    <row r="14" spans="1:1" x14ac:dyDescent="0.3">
      <c r="A14" s="5">
        <v>11.817436658593181</v>
      </c>
    </row>
    <row r="15" spans="1:1" x14ac:dyDescent="0.3">
      <c r="A15" s="5">
        <v>10.571222132154876</v>
      </c>
    </row>
    <row r="16" spans="1:1" x14ac:dyDescent="0.3">
      <c r="A16" s="5">
        <v>8.9915498817934694</v>
      </c>
    </row>
    <row r="17" spans="1:1" x14ac:dyDescent="0.3">
      <c r="A17" s="5">
        <v>3.9264071265149258</v>
      </c>
    </row>
    <row r="18" spans="1:1" x14ac:dyDescent="0.3">
      <c r="A18" s="5">
        <v>7.2203454440627963</v>
      </c>
    </row>
    <row r="19" spans="1:1" x14ac:dyDescent="0.3">
      <c r="A19" s="5">
        <v>10.836718536828442</v>
      </c>
    </row>
    <row r="20" spans="1:1" x14ac:dyDescent="0.3">
      <c r="A20" s="5">
        <v>20.061270952793006</v>
      </c>
    </row>
    <row r="21" spans="1:1" x14ac:dyDescent="0.3">
      <c r="A21" s="5">
        <v>36.564645473142647</v>
      </c>
    </row>
    <row r="22" spans="1:1" x14ac:dyDescent="0.3">
      <c r="A22" s="5">
        <v>49.465080435979061</v>
      </c>
    </row>
    <row r="23" spans="1:1" x14ac:dyDescent="0.3">
      <c r="A23" s="5">
        <v>42.624711408534246</v>
      </c>
    </row>
    <row r="24" spans="1:1" x14ac:dyDescent="0.3">
      <c r="A24" s="5">
        <v>43.139438117808794</v>
      </c>
    </row>
    <row r="25" spans="1:1" x14ac:dyDescent="0.3">
      <c r="A25" s="5">
        <v>60.998382481709093</v>
      </c>
    </row>
    <row r="26" spans="1:1" x14ac:dyDescent="0.3">
      <c r="A26" s="5">
        <v>62.349911012281545</v>
      </c>
    </row>
    <row r="27" spans="1:1" x14ac:dyDescent="0.3">
      <c r="A27" s="5">
        <v>59.776779076753151</v>
      </c>
    </row>
    <row r="28" spans="1:1" x14ac:dyDescent="0.3">
      <c r="A28" s="5">
        <v>51.349048384131343</v>
      </c>
    </row>
    <row r="29" spans="1:1" x14ac:dyDescent="0.3">
      <c r="A29" s="5">
        <v>47.556394131938752</v>
      </c>
    </row>
    <row r="30" spans="1:1" x14ac:dyDescent="0.3">
      <c r="A30" s="5">
        <v>45.367029906298811</v>
      </c>
    </row>
    <row r="31" spans="1:1" x14ac:dyDescent="0.3">
      <c r="A31" s="5">
        <v>41.858311516099349</v>
      </c>
    </row>
    <row r="32" spans="1:1" x14ac:dyDescent="0.3">
      <c r="A32" s="5">
        <v>32.682248835892189</v>
      </c>
    </row>
    <row r="33" spans="1:1" x14ac:dyDescent="0.3">
      <c r="A33" s="5">
        <v>23.503963889181506</v>
      </c>
    </row>
    <row r="34" spans="1:1" x14ac:dyDescent="0.3">
      <c r="A34" s="5">
        <v>18.158150332014138</v>
      </c>
    </row>
    <row r="35" spans="1:1" x14ac:dyDescent="0.3">
      <c r="A35" s="5">
        <v>23.268057298325054</v>
      </c>
    </row>
    <row r="36" spans="1:1" x14ac:dyDescent="0.3">
      <c r="A36" s="5">
        <v>33.307349178590115</v>
      </c>
    </row>
    <row r="37" spans="1:1" x14ac:dyDescent="0.3">
      <c r="A37" s="5">
        <v>30.769696436170367</v>
      </c>
    </row>
    <row r="38" spans="1:1" x14ac:dyDescent="0.3">
      <c r="A38" s="5">
        <v>41.440440339647921</v>
      </c>
    </row>
    <row r="39" spans="1:1" x14ac:dyDescent="0.3">
      <c r="A39" s="5">
        <v>43.90785577376667</v>
      </c>
    </row>
    <row r="40" spans="1:1" x14ac:dyDescent="0.3">
      <c r="A40" s="5">
        <v>41.500562746795211</v>
      </c>
    </row>
    <row r="41" spans="1:1" x14ac:dyDescent="0.3">
      <c r="A41" s="5">
        <v>30.224075537868465</v>
      </c>
    </row>
    <row r="42" spans="1:1" x14ac:dyDescent="0.3">
      <c r="A42" s="5">
        <v>33.39939331820446</v>
      </c>
    </row>
    <row r="43" spans="1:1" x14ac:dyDescent="0.3">
      <c r="A43" s="5">
        <v>33.435421326418776</v>
      </c>
    </row>
    <row r="44" spans="1:1" x14ac:dyDescent="0.3">
      <c r="A44" s="5">
        <v>29.804307874343003</v>
      </c>
    </row>
    <row r="45" spans="1:1" x14ac:dyDescent="0.3">
      <c r="A45" s="5">
        <v>28.847041939760807</v>
      </c>
    </row>
    <row r="46" spans="1:1" x14ac:dyDescent="0.3">
      <c r="A46" s="5">
        <v>27.102339761688199</v>
      </c>
    </row>
    <row r="47" spans="1:1" x14ac:dyDescent="0.3">
      <c r="A47" s="5">
        <v>30.309212608602479</v>
      </c>
    </row>
    <row r="48" spans="1:1" x14ac:dyDescent="0.3">
      <c r="A48" s="5">
        <v>29.175714139333618</v>
      </c>
    </row>
    <row r="49" spans="1:1" x14ac:dyDescent="0.3">
      <c r="A49" s="5">
        <v>20.904968583143159</v>
      </c>
    </row>
    <row r="50" spans="1:1" x14ac:dyDescent="0.3">
      <c r="A50" s="5">
        <v>16.491300417503396</v>
      </c>
    </row>
    <row r="51" spans="1:1" x14ac:dyDescent="0.3">
      <c r="A51" s="5">
        <v>14.768917550746544</v>
      </c>
    </row>
    <row r="52" spans="1:1" x14ac:dyDescent="0.3">
      <c r="A52" s="5">
        <v>16.004541910176645</v>
      </c>
    </row>
    <row r="53" spans="1:1" x14ac:dyDescent="0.3">
      <c r="A53" s="5">
        <v>16.659319006838707</v>
      </c>
    </row>
    <row r="54" spans="1:1" x14ac:dyDescent="0.3">
      <c r="A54" s="5">
        <v>11.266768500962025</v>
      </c>
    </row>
    <row r="55" spans="1:1" x14ac:dyDescent="0.3">
      <c r="A55" s="5">
        <v>5.8305588323658988</v>
      </c>
    </row>
    <row r="56" spans="1:1" x14ac:dyDescent="0.3">
      <c r="A56" s="5">
        <v>4.2792633018106381</v>
      </c>
    </row>
    <row r="57" spans="1:1" x14ac:dyDescent="0.3">
      <c r="A57" s="5">
        <v>4.438202056651968</v>
      </c>
    </row>
    <row r="58" spans="1:1" x14ac:dyDescent="0.3">
      <c r="A58" s="5">
        <v>4.0922396213893277</v>
      </c>
    </row>
    <row r="59" spans="1:1" x14ac:dyDescent="0.3">
      <c r="A59" s="5">
        <v>6.1978379986758698</v>
      </c>
    </row>
    <row r="60" spans="1:1" x14ac:dyDescent="0.3">
      <c r="A60" s="5">
        <v>5.9399748890927571</v>
      </c>
    </row>
    <row r="61" spans="1:1" x14ac:dyDescent="0.3">
      <c r="A61" s="5">
        <v>8.7563737186452713</v>
      </c>
    </row>
    <row r="62" spans="1:1" x14ac:dyDescent="0.3">
      <c r="A62" s="5">
        <v>9.661131103860999</v>
      </c>
    </row>
    <row r="63" spans="1:1" x14ac:dyDescent="0.3">
      <c r="A63" s="5">
        <v>7.31405475662892</v>
      </c>
    </row>
    <row r="64" spans="1:1" x14ac:dyDescent="0.3">
      <c r="A64" s="5">
        <v>13.149508407328897</v>
      </c>
    </row>
    <row r="65" spans="1:1" x14ac:dyDescent="0.3">
      <c r="A65" s="5">
        <v>15.587793000111549</v>
      </c>
    </row>
    <row r="66" spans="1:1" x14ac:dyDescent="0.3">
      <c r="A66" s="5">
        <v>25.303609061117449</v>
      </c>
    </row>
    <row r="67" spans="1:1" x14ac:dyDescent="0.3">
      <c r="A67" s="5">
        <v>28.610969494820793</v>
      </c>
    </row>
    <row r="68" spans="1:1" x14ac:dyDescent="0.3">
      <c r="A68" s="5">
        <v>23.205615215944494</v>
      </c>
    </row>
    <row r="69" spans="1:1" x14ac:dyDescent="0.3">
      <c r="A69" s="5">
        <v>18.119968232361362</v>
      </c>
    </row>
    <row r="70" spans="1:1" x14ac:dyDescent="0.3">
      <c r="A70" s="5">
        <v>17.411527424287694</v>
      </c>
    </row>
    <row r="71" spans="1:1" x14ac:dyDescent="0.3">
      <c r="A71" s="5">
        <v>20.758955523633816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2"/>
  <sheetViews>
    <sheetView workbookViewId="0">
      <selection activeCell="F14" sqref="F14"/>
    </sheetView>
  </sheetViews>
  <sheetFormatPr defaultRowHeight="14.4" x14ac:dyDescent="0.3"/>
  <sheetData>
    <row r="1" spans="1:1" x14ac:dyDescent="0.3">
      <c r="A1">
        <v>0.45473073047508927</v>
      </c>
    </row>
    <row r="2" spans="1:1" x14ac:dyDescent="0.3">
      <c r="A2">
        <v>0.5344173708558011</v>
      </c>
    </row>
    <row r="3" spans="1:1" x14ac:dyDescent="0.3">
      <c r="A3">
        <v>0.61604491766464986</v>
      </c>
    </row>
    <row r="4" spans="1:1" x14ac:dyDescent="0.3">
      <c r="A4">
        <v>0.54441777023234894</v>
      </c>
    </row>
    <row r="5" spans="1:1" x14ac:dyDescent="0.3">
      <c r="A5">
        <v>0.59001987455995442</v>
      </c>
    </row>
    <row r="6" spans="1:1" x14ac:dyDescent="0.3">
      <c r="A6">
        <v>0.4572144395926932</v>
      </c>
    </row>
    <row r="7" spans="1:1" x14ac:dyDescent="0.3">
      <c r="A7">
        <v>0.37436630761621048</v>
      </c>
    </row>
    <row r="8" spans="1:1" x14ac:dyDescent="0.3">
      <c r="A8">
        <v>0.26119478593975937</v>
      </c>
    </row>
    <row r="9" spans="1:1" x14ac:dyDescent="0.3">
      <c r="A9">
        <v>0.29647791072171464</v>
      </c>
    </row>
    <row r="10" spans="1:1" x14ac:dyDescent="0.3">
      <c r="A10">
        <v>0.3886849348544118</v>
      </c>
    </row>
    <row r="11" spans="1:1" x14ac:dyDescent="0.3">
      <c r="A11">
        <v>0.48775405524351434</v>
      </c>
    </row>
    <row r="12" spans="1:1" x14ac:dyDescent="0.3">
      <c r="A12">
        <v>0.57175118866040675</v>
      </c>
    </row>
    <row r="13" spans="1:1" x14ac:dyDescent="0.3">
      <c r="A13">
        <v>0.50475862972622665</v>
      </c>
    </row>
    <row r="14" spans="1:1" x14ac:dyDescent="0.3">
      <c r="A14">
        <v>0.52521676516759497</v>
      </c>
    </row>
    <row r="15" spans="1:1" x14ac:dyDescent="0.3">
      <c r="A15">
        <v>0.49348777951308964</v>
      </c>
    </row>
    <row r="16" spans="1:1" x14ac:dyDescent="0.3">
      <c r="A16">
        <v>0.38206692066492615</v>
      </c>
    </row>
    <row r="17" spans="1:1" x14ac:dyDescent="0.3">
      <c r="A17">
        <v>0.47011639898628327</v>
      </c>
    </row>
    <row r="18" spans="1:1" x14ac:dyDescent="0.3">
      <c r="A18">
        <v>0.59174260933919554</v>
      </c>
    </row>
    <row r="19" spans="1:1" x14ac:dyDescent="0.3">
      <c r="A19">
        <v>0.59676917770520421</v>
      </c>
    </row>
    <row r="20" spans="1:1" x14ac:dyDescent="0.3">
      <c r="A20">
        <v>0.55764890915459442</v>
      </c>
    </row>
    <row r="21" spans="1:1" x14ac:dyDescent="0.3">
      <c r="A21">
        <v>0.57252023599950408</v>
      </c>
    </row>
    <row r="22" spans="1:1" x14ac:dyDescent="0.3">
      <c r="A22">
        <v>0.53210692575321938</v>
      </c>
    </row>
    <row r="23" spans="1:1" x14ac:dyDescent="0.3">
      <c r="A23">
        <v>0.36448055918517736</v>
      </c>
    </row>
    <row r="24" spans="1:1" x14ac:dyDescent="0.3">
      <c r="A24">
        <v>0.22109179129411854</v>
      </c>
    </row>
    <row r="25" spans="1:1" x14ac:dyDescent="0.3">
      <c r="A25">
        <v>0.17241288479761299</v>
      </c>
    </row>
    <row r="26" spans="1:1" x14ac:dyDescent="0.3">
      <c r="A26">
        <v>0.26730150044160972</v>
      </c>
    </row>
    <row r="27" spans="1:1" x14ac:dyDescent="0.3">
      <c r="A27">
        <v>0.31114857232706611</v>
      </c>
    </row>
    <row r="28" spans="1:1" x14ac:dyDescent="0.3">
      <c r="A28">
        <v>0.31392715829886181</v>
      </c>
    </row>
    <row r="29" spans="1:1" x14ac:dyDescent="0.3">
      <c r="A29">
        <v>0.35833633527565989</v>
      </c>
    </row>
    <row r="30" spans="1:1" x14ac:dyDescent="0.3">
      <c r="A30">
        <v>0.40172384256776755</v>
      </c>
    </row>
    <row r="31" spans="1:1" x14ac:dyDescent="0.3">
      <c r="A31">
        <v>0.4443507945937637</v>
      </c>
    </row>
    <row r="32" spans="1:1" x14ac:dyDescent="0.3">
      <c r="A32">
        <v>0.42610554459792555</v>
      </c>
    </row>
    <row r="33" spans="1:1" x14ac:dyDescent="0.3">
      <c r="A33">
        <v>0.44919086720888168</v>
      </c>
    </row>
    <row r="34" spans="1:1" x14ac:dyDescent="0.3">
      <c r="A34">
        <v>0.41451738531122539</v>
      </c>
    </row>
    <row r="35" spans="1:1" x14ac:dyDescent="0.3">
      <c r="A35">
        <v>0.41417567481024792</v>
      </c>
    </row>
    <row r="36" spans="1:1" x14ac:dyDescent="0.3">
      <c r="A36">
        <v>0.40279899387574003</v>
      </c>
    </row>
    <row r="37" spans="1:1" x14ac:dyDescent="0.3">
      <c r="A37">
        <v>0.34382595420149265</v>
      </c>
    </row>
    <row r="38" spans="1:1" x14ac:dyDescent="0.3">
      <c r="A38">
        <v>0.3634356738728261</v>
      </c>
    </row>
    <row r="39" spans="1:1" x14ac:dyDescent="0.3">
      <c r="A39">
        <v>0.35481559805137364</v>
      </c>
    </row>
    <row r="40" spans="1:1" x14ac:dyDescent="0.3">
      <c r="A40">
        <v>0.36878718998491</v>
      </c>
    </row>
    <row r="41" spans="1:1" x14ac:dyDescent="0.3">
      <c r="A41">
        <v>0.36445510466345316</v>
      </c>
    </row>
    <row r="42" spans="1:1" x14ac:dyDescent="0.3">
      <c r="A42">
        <v>0.39650465110767252</v>
      </c>
    </row>
    <row r="43" spans="1:1" x14ac:dyDescent="0.3">
      <c r="A43">
        <v>0.38525967359540403</v>
      </c>
    </row>
    <row r="44" spans="1:1" x14ac:dyDescent="0.3">
      <c r="A44">
        <v>0.37268655288603875</v>
      </c>
    </row>
    <row r="45" spans="1:1" x14ac:dyDescent="0.3">
      <c r="A45">
        <v>0.32078971628276531</v>
      </c>
    </row>
    <row r="46" spans="1:1" x14ac:dyDescent="0.3">
      <c r="A46">
        <v>0.36840292714177181</v>
      </c>
    </row>
    <row r="47" spans="1:1" x14ac:dyDescent="0.3">
      <c r="A47">
        <v>0.38820591805865989</v>
      </c>
    </row>
    <row r="48" spans="1:1" x14ac:dyDescent="0.3">
      <c r="A48">
        <v>0.54840143625366788</v>
      </c>
    </row>
    <row r="49" spans="1:1" x14ac:dyDescent="0.3">
      <c r="A49">
        <v>0.54285071185017186</v>
      </c>
    </row>
    <row r="50" spans="1:1" x14ac:dyDescent="0.3">
      <c r="A50">
        <v>0.59494093613117272</v>
      </c>
    </row>
    <row r="51" spans="1:1" x14ac:dyDescent="0.3">
      <c r="A51">
        <v>0.58209753834315636</v>
      </c>
    </row>
    <row r="52" spans="1:1" x14ac:dyDescent="0.3">
      <c r="A52">
        <v>0.53625322617637439</v>
      </c>
    </row>
    <row r="53" spans="1:1" x14ac:dyDescent="0.3">
      <c r="A53">
        <v>0.53612450855401184</v>
      </c>
    </row>
    <row r="54" spans="1:1" x14ac:dyDescent="0.3">
      <c r="A54">
        <v>0.63716099372253088</v>
      </c>
    </row>
    <row r="55" spans="1:1" x14ac:dyDescent="0.3">
      <c r="A55">
        <v>0.85027347116526109</v>
      </c>
    </row>
    <row r="56" spans="1:1" x14ac:dyDescent="0.3">
      <c r="A56">
        <v>1.5754188886849303</v>
      </c>
    </row>
    <row r="57" spans="1:1" x14ac:dyDescent="0.3">
      <c r="A57">
        <v>1.6467435073545333</v>
      </c>
    </row>
    <row r="58" spans="1:1" x14ac:dyDescent="0.3">
      <c r="A58">
        <v>1.4705109149626794</v>
      </c>
    </row>
    <row r="59" spans="1:1" x14ac:dyDescent="0.3">
      <c r="A59">
        <v>0.89182273760683184</v>
      </c>
    </row>
    <row r="60" spans="1:1" x14ac:dyDescent="0.3">
      <c r="A60">
        <v>1.6961039502964119</v>
      </c>
    </row>
    <row r="61" spans="1:1" x14ac:dyDescent="0.3">
      <c r="A61">
        <v>0.89406151726385152</v>
      </c>
    </row>
    <row r="62" spans="1:1" x14ac:dyDescent="0.3">
      <c r="A62">
        <v>1.1590111686138105</v>
      </c>
    </row>
    <row r="63" spans="1:1" x14ac:dyDescent="0.3">
      <c r="A63">
        <v>0.88977066137259464</v>
      </c>
    </row>
    <row r="64" spans="1:1" x14ac:dyDescent="0.3">
      <c r="A64">
        <v>0.89954749165546066</v>
      </c>
    </row>
    <row r="65" spans="1:1" x14ac:dyDescent="0.3">
      <c r="A65">
        <v>1.0315733230348942</v>
      </c>
    </row>
    <row r="66" spans="1:1" x14ac:dyDescent="0.3">
      <c r="A66">
        <v>0.77446823204510906</v>
      </c>
    </row>
    <row r="67" spans="1:1" x14ac:dyDescent="0.3">
      <c r="A67">
        <v>0.79565784527858674</v>
      </c>
    </row>
    <row r="68" spans="1:1" x14ac:dyDescent="0.3">
      <c r="A68">
        <v>0.65526794206310734</v>
      </c>
    </row>
    <row r="69" spans="1:1" x14ac:dyDescent="0.3">
      <c r="A69">
        <v>0.83636349217050832</v>
      </c>
    </row>
    <row r="70" spans="1:1" x14ac:dyDescent="0.3">
      <c r="A70">
        <v>0.84393379852405337</v>
      </c>
    </row>
    <row r="71" spans="1:1" x14ac:dyDescent="0.3">
      <c r="A71">
        <v>0.73271590526286734</v>
      </c>
    </row>
    <row r="72" spans="1:1" x14ac:dyDescent="0.3">
      <c r="A72">
        <v>0.8543591090407805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BBE0D51AF98349A74E4BD055F7C917" ma:contentTypeVersion="11" ma:contentTypeDescription="Create a new document." ma:contentTypeScope="" ma:versionID="8bdf83dbcb157f3739ced839f8097c7b">
  <xsd:schema xmlns:xsd="http://www.w3.org/2001/XMLSchema" xmlns:xs="http://www.w3.org/2001/XMLSchema" xmlns:p="http://schemas.microsoft.com/office/2006/metadata/properties" xmlns:ns3="7552bfc7-aaf6-4fe3-a365-a05ba1769228" targetNamespace="http://schemas.microsoft.com/office/2006/metadata/properties" ma:root="true" ma:fieldsID="a54c07b5422ecfea5548a0ea20f6b3ac" ns3:_="">
    <xsd:import namespace="7552bfc7-aaf6-4fe3-a365-a05ba17692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52bfc7-aaf6-4fe3-a365-a05ba1769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0041FE-06B3-45EA-8CBB-91AE2C7FB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52bfc7-aaf6-4fe3-a365-a05ba17692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9BD53-93A0-469C-A507-91C6B0F71F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7552bfc7-aaf6-4fe3-a365-a05ba176922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73C5EF-04F7-46AA-892C-CF90918ED3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17</vt:i4>
      </vt:variant>
    </vt:vector>
  </HeadingPairs>
  <TitlesOfParts>
    <vt:vector size="28" baseType="lpstr">
      <vt:lpstr>herring</vt:lpstr>
      <vt:lpstr>obsCat</vt:lpstr>
      <vt:lpstr>obsSCat</vt:lpstr>
      <vt:lpstr>SSLbaseQ</vt:lpstr>
      <vt:lpstr>wat</vt:lpstr>
      <vt:lpstr>pmat</vt:lpstr>
      <vt:lpstr>Mat</vt:lpstr>
      <vt:lpstr>Nagedt</vt:lpstr>
      <vt:lpstr>obsSSB</vt:lpstr>
      <vt:lpstr>vpaSSB</vt:lpstr>
      <vt:lpstr>vpaMt</vt:lpstr>
      <vt:lpstr>ahv</vt:lpstr>
      <vt:lpstr>have</vt:lpstr>
      <vt:lpstr>initN</vt:lpstr>
      <vt:lpstr>lnq</vt:lpstr>
      <vt:lpstr>Maxussl</vt:lpstr>
      <vt:lpstr>pqm</vt:lpstr>
      <vt:lpstr>pqsd</vt:lpstr>
      <vt:lpstr>q</vt:lpstr>
      <vt:lpstr>qfree</vt:lpstr>
      <vt:lpstr>Rec</vt:lpstr>
      <vt:lpstr>Relm</vt:lpstr>
      <vt:lpstr>sdv</vt:lpstr>
      <vt:lpstr>sdve</vt:lpstr>
      <vt:lpstr>SSLQmult</vt:lpstr>
      <vt:lpstr>SSQ</vt:lpstr>
      <vt:lpstr>Su</vt:lpstr>
      <vt:lpstr>tanasMsl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</dc:creator>
  <cp:lastModifiedBy>Rho L</cp:lastModifiedBy>
  <dcterms:created xsi:type="dcterms:W3CDTF">2023-05-18T13:48:35Z</dcterms:created>
  <dcterms:modified xsi:type="dcterms:W3CDTF">2026-03-19T04:46:50Z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0x01010047BBE0D51AF98349A74E4BD055F7C917</vt:lpwstr>
  </property>
</Properties>
</file>
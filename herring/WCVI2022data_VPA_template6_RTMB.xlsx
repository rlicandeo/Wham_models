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P:\pCloud Sync\_wham\"/>
    </mc:Choice>
  </mc:AlternateContent>
  <xr:revisionPtr revIDLastSave="0" documentId="8_{2D41D8A5-877E-47FB-9E7F-4D27D6C893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m fit" sheetId="7" r:id="rId1"/>
    <sheet name="WCVI2022data" sheetId="8" r:id="rId2"/>
  </sheets>
  <definedNames>
    <definedName name="like_cat_dm">'relm fit'!$B$16</definedName>
    <definedName name="neffective">'relm fit'!$B$14</definedName>
    <definedName name="qspawn">'relm fit'!$B$4</definedName>
    <definedName name="Relm">'relm fit'!$BW$2:$BW$73</definedName>
    <definedName name="solver_adj" localSheetId="0" hidden="1">'relm fit'!$B$1,'relm fit'!$BW$2:$BW$73,'relm fit'!$B$15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'relm fit'!$B$5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'relm fit'!$B$20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pq" localSheetId="0">'relm fit'!$B$3</definedName>
    <definedName name="SSLQmult" localSheetId="0">'relm fit'!$B$2</definedName>
    <definedName name="Ssrelm">'relm fit'!$B$11</definedName>
    <definedName name="Ssspawn">'relm fit'!$B$10</definedName>
    <definedName name="sstot_dm">'relm fit'!$B$20</definedName>
    <definedName name="sstot_mult">'relm fit'!$B$19</definedName>
    <definedName name="Su" localSheetId="0">'relm fit'!$B$1</definedName>
    <definedName name="tanasMsl" localSheetId="0">'relm fit'!$CA$6</definedName>
    <definedName name="theta_dm">'relm fit'!$B$15</definedName>
    <definedName name="va" localSheetId="0">'relm fit'!$BZ$2:$CG$2</definedName>
    <definedName name="varrelm">'relm fit'!$B$13</definedName>
    <definedName name="varssb">'relm fit'!$B$12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2" i="7" l="1"/>
  <c r="CM2" i="7"/>
  <c r="BM2" i="7"/>
  <c r="W2" i="7"/>
  <c r="M2" i="7"/>
  <c r="E2" i="7"/>
  <c r="L2" i="7"/>
  <c r="B13" i="7" l="1"/>
  <c r="B11" i="7"/>
  <c r="CN2" i="7"/>
  <c r="CA5" i="7"/>
  <c r="BZ5" i="7"/>
  <c r="J2" i="7"/>
  <c r="AP2" i="7"/>
  <c r="BD2" i="7" s="1"/>
  <c r="AZ2" i="7"/>
  <c r="L3" i="7"/>
  <c r="EI2" i="7" l="1"/>
  <c r="H2" i="7"/>
  <c r="FC2" i="7" l="1"/>
  <c r="FG2" i="7"/>
  <c r="FB2" i="7"/>
  <c r="EJ2" i="7"/>
  <c r="CK3" i="7"/>
  <c r="CK4" i="7"/>
  <c r="CK5" i="7"/>
  <c r="CK6" i="7"/>
  <c r="CK7" i="7"/>
  <c r="CK8" i="7"/>
  <c r="CK9" i="7"/>
  <c r="CK10" i="7"/>
  <c r="CK11" i="7"/>
  <c r="CK12" i="7"/>
  <c r="CK13" i="7"/>
  <c r="CK14" i="7"/>
  <c r="CK15" i="7"/>
  <c r="CK16" i="7"/>
  <c r="CK17" i="7"/>
  <c r="CK18" i="7"/>
  <c r="CK19" i="7"/>
  <c r="CK20" i="7"/>
  <c r="CK21" i="7"/>
  <c r="CK22" i="7"/>
  <c r="CK23" i="7"/>
  <c r="CK24" i="7"/>
  <c r="CK25" i="7"/>
  <c r="CK26" i="7"/>
  <c r="CK27" i="7"/>
  <c r="CK28" i="7"/>
  <c r="CK29" i="7"/>
  <c r="CK30" i="7"/>
  <c r="CK31" i="7"/>
  <c r="CK32" i="7"/>
  <c r="CK33" i="7"/>
  <c r="CK34" i="7"/>
  <c r="CK35" i="7"/>
  <c r="CK36" i="7"/>
  <c r="CK37" i="7"/>
  <c r="CK38" i="7"/>
  <c r="CK39" i="7"/>
  <c r="CK40" i="7"/>
  <c r="CK41" i="7"/>
  <c r="CK42" i="7"/>
  <c r="CK43" i="7"/>
  <c r="CK44" i="7"/>
  <c r="CK45" i="7"/>
  <c r="CK46" i="7"/>
  <c r="CK47" i="7"/>
  <c r="CK48" i="7"/>
  <c r="CK49" i="7"/>
  <c r="CK50" i="7"/>
  <c r="CK51" i="7"/>
  <c r="CK52" i="7"/>
  <c r="CK53" i="7"/>
  <c r="CK54" i="7"/>
  <c r="CK55" i="7"/>
  <c r="CK56" i="7"/>
  <c r="CK57" i="7"/>
  <c r="CK58" i="7"/>
  <c r="CK59" i="7"/>
  <c r="CK60" i="7"/>
  <c r="CK61" i="7"/>
  <c r="CK62" i="7"/>
  <c r="CK63" i="7"/>
  <c r="CK64" i="7"/>
  <c r="CK65" i="7"/>
  <c r="CK66" i="7"/>
  <c r="CK67" i="7"/>
  <c r="CK68" i="7"/>
  <c r="CK69" i="7"/>
  <c r="CK70" i="7"/>
  <c r="CK71" i="7"/>
  <c r="CK72" i="7"/>
  <c r="CK73" i="7"/>
  <c r="EI59" i="7" l="1"/>
  <c r="CR59" i="7"/>
  <c r="CQ59" i="7"/>
  <c r="CS59" i="7"/>
  <c r="EI58" i="7"/>
  <c r="CR58" i="7"/>
  <c r="CQ58" i="7"/>
  <c r="CS58" i="7"/>
  <c r="EI24" i="7"/>
  <c r="CR24" i="7"/>
  <c r="CQ24" i="7"/>
  <c r="CS24" i="7"/>
  <c r="EI22" i="7"/>
  <c r="CQ22" i="7"/>
  <c r="CS22" i="7"/>
  <c r="CR22" i="7"/>
  <c r="EI53" i="7"/>
  <c r="CQ53" i="7"/>
  <c r="CR53" i="7"/>
  <c r="CS53" i="7"/>
  <c r="EI51" i="7"/>
  <c r="CQ51" i="7"/>
  <c r="CS51" i="7"/>
  <c r="CR51" i="7"/>
  <c r="EI18" i="7"/>
  <c r="CR18" i="7"/>
  <c r="CS18" i="7"/>
  <c r="CQ18" i="7"/>
  <c r="EI49" i="7"/>
  <c r="CR49" i="7"/>
  <c r="CQ49" i="7"/>
  <c r="CS49" i="7"/>
  <c r="EI48" i="7"/>
  <c r="CS48" i="7"/>
  <c r="CQ48" i="7"/>
  <c r="CR48" i="7"/>
  <c r="EI15" i="7"/>
  <c r="CR15" i="7"/>
  <c r="CQ15" i="7"/>
  <c r="CS15" i="7"/>
  <c r="EI45" i="7"/>
  <c r="CQ45" i="7"/>
  <c r="CS45" i="7"/>
  <c r="CR45" i="7"/>
  <c r="EI12" i="7"/>
  <c r="CS12" i="7"/>
  <c r="CR12" i="7"/>
  <c r="CQ12" i="7"/>
  <c r="EI10" i="7"/>
  <c r="CS10" i="7"/>
  <c r="CQ10" i="7"/>
  <c r="CR10" i="7"/>
  <c r="EI8" i="7"/>
  <c r="CS8" i="7"/>
  <c r="CR8" i="7"/>
  <c r="CQ8" i="7"/>
  <c r="EI44" i="7"/>
  <c r="CS44" i="7"/>
  <c r="CR44" i="7"/>
  <c r="CQ44" i="7"/>
  <c r="EI27" i="7"/>
  <c r="CR27" i="7"/>
  <c r="CS27" i="7"/>
  <c r="CQ27" i="7"/>
  <c r="EI57" i="7"/>
  <c r="CQ57" i="7"/>
  <c r="CS57" i="7"/>
  <c r="CR57" i="7"/>
  <c r="EI55" i="7"/>
  <c r="CQ55" i="7"/>
  <c r="CR55" i="7"/>
  <c r="CS55" i="7"/>
  <c r="EI20" i="7"/>
  <c r="CQ20" i="7"/>
  <c r="CS20" i="7"/>
  <c r="CR20" i="7"/>
  <c r="EI43" i="7"/>
  <c r="CS43" i="7"/>
  <c r="CR43" i="7"/>
  <c r="CQ43" i="7"/>
  <c r="EI25" i="7"/>
  <c r="CR25" i="7"/>
  <c r="CQ25" i="7"/>
  <c r="CS25" i="7"/>
  <c r="EI54" i="7"/>
  <c r="CQ54" i="7"/>
  <c r="CR54" i="7"/>
  <c r="CS54" i="7"/>
  <c r="EI19" i="7"/>
  <c r="CQ19" i="7"/>
  <c r="CR19" i="7"/>
  <c r="CS19" i="7"/>
  <c r="EI16" i="7"/>
  <c r="CQ16" i="7"/>
  <c r="CR16" i="7"/>
  <c r="CS16" i="7"/>
  <c r="EI46" i="7"/>
  <c r="CR46" i="7"/>
  <c r="CS46" i="7"/>
  <c r="CQ46" i="7"/>
  <c r="EI11" i="7"/>
  <c r="CQ11" i="7"/>
  <c r="CS11" i="7"/>
  <c r="CR11" i="7"/>
  <c r="EI41" i="7"/>
  <c r="CQ41" i="7"/>
  <c r="CS41" i="7"/>
  <c r="CR41" i="7"/>
  <c r="EI7" i="7"/>
  <c r="CS7" i="7"/>
  <c r="CR7" i="7"/>
  <c r="CQ7" i="7"/>
  <c r="EI5" i="7"/>
  <c r="CS5" i="7"/>
  <c r="CR5" i="7"/>
  <c r="CQ5" i="7"/>
  <c r="EI32" i="7"/>
  <c r="CR32" i="7"/>
  <c r="CQ32" i="7"/>
  <c r="CS32" i="7"/>
  <c r="EI31" i="7"/>
  <c r="CR31" i="7"/>
  <c r="CS31" i="7"/>
  <c r="CQ31" i="7"/>
  <c r="EI61" i="7"/>
  <c r="CS61" i="7"/>
  <c r="CR61" i="7"/>
  <c r="CQ61" i="7"/>
  <c r="EI29" i="7"/>
  <c r="CQ29" i="7"/>
  <c r="CR29" i="7"/>
  <c r="CS29" i="7"/>
  <c r="EI26" i="7"/>
  <c r="CR26" i="7"/>
  <c r="CQ26" i="7"/>
  <c r="CS26" i="7"/>
  <c r="EI56" i="7"/>
  <c r="CS56" i="7"/>
  <c r="CR56" i="7"/>
  <c r="CQ56" i="7"/>
  <c r="EI23" i="7"/>
  <c r="CQ23" i="7"/>
  <c r="CS23" i="7"/>
  <c r="CR23" i="7"/>
  <c r="EI21" i="7"/>
  <c r="CQ21" i="7"/>
  <c r="CS21" i="7"/>
  <c r="CR21" i="7"/>
  <c r="EI52" i="7"/>
  <c r="CQ52" i="7"/>
  <c r="CS52" i="7"/>
  <c r="CR52" i="7"/>
  <c r="EI50" i="7"/>
  <c r="CQ50" i="7"/>
  <c r="CS50" i="7"/>
  <c r="CR50" i="7"/>
  <c r="EI17" i="7"/>
  <c r="CR17" i="7"/>
  <c r="CS17" i="7"/>
  <c r="CQ17" i="7"/>
  <c r="EI47" i="7"/>
  <c r="CS47" i="7"/>
  <c r="CR47" i="7"/>
  <c r="CQ47" i="7"/>
  <c r="EI14" i="7"/>
  <c r="CR14" i="7"/>
  <c r="CS14" i="7"/>
  <c r="CQ14" i="7"/>
  <c r="EI13" i="7"/>
  <c r="CQ13" i="7"/>
  <c r="CS13" i="7"/>
  <c r="CR13" i="7"/>
  <c r="EI42" i="7"/>
  <c r="CS42" i="7"/>
  <c r="CR42" i="7"/>
  <c r="CQ42" i="7"/>
  <c r="EI73" i="7"/>
  <c r="CQ73" i="7"/>
  <c r="CS73" i="7"/>
  <c r="CR73" i="7"/>
  <c r="EI9" i="7"/>
  <c r="CS9" i="7"/>
  <c r="CQ9" i="7"/>
  <c r="CR9" i="7"/>
  <c r="EI72" i="7"/>
  <c r="CS72" i="7"/>
  <c r="CR72" i="7"/>
  <c r="CQ72" i="7"/>
  <c r="EI40" i="7"/>
  <c r="CQ40" i="7"/>
  <c r="CS40" i="7"/>
  <c r="CR40" i="7"/>
  <c r="EI71" i="7"/>
  <c r="CQ71" i="7"/>
  <c r="CS71" i="7"/>
  <c r="CR71" i="7"/>
  <c r="EI39" i="7"/>
  <c r="CS39" i="7"/>
  <c r="CR39" i="7"/>
  <c r="CQ39" i="7"/>
  <c r="EI70" i="7"/>
  <c r="CQ70" i="7"/>
  <c r="CS70" i="7"/>
  <c r="CR70" i="7"/>
  <c r="EI38" i="7"/>
  <c r="CQ38" i="7"/>
  <c r="CS38" i="7"/>
  <c r="CR38" i="7"/>
  <c r="EI6" i="7"/>
  <c r="CS6" i="7"/>
  <c r="CR6" i="7"/>
  <c r="CQ6" i="7"/>
  <c r="EI69" i="7"/>
  <c r="CR69" i="7"/>
  <c r="CQ69" i="7"/>
  <c r="CS69" i="7"/>
  <c r="EI37" i="7"/>
  <c r="CS37" i="7"/>
  <c r="CR37" i="7"/>
  <c r="CQ37" i="7"/>
  <c r="EI68" i="7"/>
  <c r="CS68" i="7"/>
  <c r="CR68" i="7"/>
  <c r="CQ68" i="7"/>
  <c r="EI36" i="7"/>
  <c r="CS36" i="7"/>
  <c r="CR36" i="7"/>
  <c r="CQ36" i="7"/>
  <c r="EI4" i="7"/>
  <c r="CS4" i="7"/>
  <c r="CR4" i="7"/>
  <c r="CQ4" i="7"/>
  <c r="EI67" i="7"/>
  <c r="CR67" i="7"/>
  <c r="CS67" i="7"/>
  <c r="CQ67" i="7"/>
  <c r="EI35" i="7"/>
  <c r="CS35" i="7"/>
  <c r="CR35" i="7"/>
  <c r="CQ35" i="7"/>
  <c r="EI3" i="7"/>
  <c r="CS3" i="7"/>
  <c r="CR3" i="7"/>
  <c r="CM3" i="7"/>
  <c r="CQ3" i="7"/>
  <c r="EI66" i="7"/>
  <c r="CS66" i="7"/>
  <c r="CR66" i="7"/>
  <c r="CQ66" i="7"/>
  <c r="EI34" i="7"/>
  <c r="CS34" i="7"/>
  <c r="CR34" i="7"/>
  <c r="CQ34" i="7"/>
  <c r="EI65" i="7"/>
  <c r="CS65" i="7"/>
  <c r="CR65" i="7"/>
  <c r="CQ65" i="7"/>
  <c r="EI33" i="7"/>
  <c r="CS33" i="7"/>
  <c r="CR33" i="7"/>
  <c r="CQ33" i="7"/>
  <c r="EI64" i="7"/>
  <c r="CR64" i="7"/>
  <c r="CQ64" i="7"/>
  <c r="CS64" i="7"/>
  <c r="EI63" i="7"/>
  <c r="CR63" i="7"/>
  <c r="CQ63" i="7"/>
  <c r="CS63" i="7"/>
  <c r="EI62" i="7"/>
  <c r="CQ62" i="7"/>
  <c r="CR62" i="7"/>
  <c r="CS62" i="7"/>
  <c r="EI30" i="7"/>
  <c r="CR30" i="7"/>
  <c r="CQ30" i="7"/>
  <c r="CS30" i="7"/>
  <c r="EI60" i="7"/>
  <c r="CR60" i="7"/>
  <c r="CQ60" i="7"/>
  <c r="CS60" i="7"/>
  <c r="EI28" i="7"/>
  <c r="CR28" i="7"/>
  <c r="CQ28" i="7"/>
  <c r="CS28" i="7"/>
  <c r="FD2" i="7"/>
  <c r="B12" i="7" l="1"/>
  <c r="DM3" i="7" l="1"/>
  <c r="DX3" i="7" s="1"/>
  <c r="DM4" i="7"/>
  <c r="DX4" i="7" s="1"/>
  <c r="DM5" i="7"/>
  <c r="DX5" i="7" s="1"/>
  <c r="DM6" i="7"/>
  <c r="DX6" i="7" s="1"/>
  <c r="DM7" i="7"/>
  <c r="DX7" i="7" s="1"/>
  <c r="DM8" i="7"/>
  <c r="DX8" i="7" s="1"/>
  <c r="DM9" i="7"/>
  <c r="DX9" i="7" s="1"/>
  <c r="DM10" i="7"/>
  <c r="DX10" i="7" s="1"/>
  <c r="DM11" i="7"/>
  <c r="DX11" i="7" s="1"/>
  <c r="DM12" i="7"/>
  <c r="DX12" i="7" s="1"/>
  <c r="DM13" i="7"/>
  <c r="DX13" i="7" s="1"/>
  <c r="DM14" i="7"/>
  <c r="DX14" i="7" s="1"/>
  <c r="DM15" i="7"/>
  <c r="DX15" i="7" s="1"/>
  <c r="DM16" i="7"/>
  <c r="DX16" i="7" s="1"/>
  <c r="DM17" i="7"/>
  <c r="DX17" i="7" s="1"/>
  <c r="DM18" i="7"/>
  <c r="DX18" i="7" s="1"/>
  <c r="DM19" i="7"/>
  <c r="DX19" i="7" s="1"/>
  <c r="DM20" i="7"/>
  <c r="DX20" i="7" s="1"/>
  <c r="DM21" i="7"/>
  <c r="DX21" i="7" s="1"/>
  <c r="DM22" i="7"/>
  <c r="DX22" i="7" s="1"/>
  <c r="DM23" i="7"/>
  <c r="DX23" i="7" s="1"/>
  <c r="DM24" i="7"/>
  <c r="DX24" i="7" s="1"/>
  <c r="DM25" i="7"/>
  <c r="DX25" i="7" s="1"/>
  <c r="DM26" i="7"/>
  <c r="DX26" i="7" s="1"/>
  <c r="DM27" i="7"/>
  <c r="DX27" i="7" s="1"/>
  <c r="DM28" i="7"/>
  <c r="DX28" i="7" s="1"/>
  <c r="DM29" i="7"/>
  <c r="DX29" i="7" s="1"/>
  <c r="DM30" i="7"/>
  <c r="DX30" i="7" s="1"/>
  <c r="DM31" i="7"/>
  <c r="DX31" i="7" s="1"/>
  <c r="DM32" i="7"/>
  <c r="DX32" i="7" s="1"/>
  <c r="DM33" i="7"/>
  <c r="DX33" i="7" s="1"/>
  <c r="DM34" i="7"/>
  <c r="DX34" i="7" s="1"/>
  <c r="DM35" i="7"/>
  <c r="DX35" i="7" s="1"/>
  <c r="DM36" i="7"/>
  <c r="DX36" i="7" s="1"/>
  <c r="DM37" i="7"/>
  <c r="DX37" i="7" s="1"/>
  <c r="DM38" i="7"/>
  <c r="DX38" i="7" s="1"/>
  <c r="DM39" i="7"/>
  <c r="DX39" i="7" s="1"/>
  <c r="DM40" i="7"/>
  <c r="DX40" i="7" s="1"/>
  <c r="DM41" i="7"/>
  <c r="DX41" i="7" s="1"/>
  <c r="DM42" i="7"/>
  <c r="DX42" i="7" s="1"/>
  <c r="DM43" i="7"/>
  <c r="DX43" i="7" s="1"/>
  <c r="DM44" i="7"/>
  <c r="DX44" i="7" s="1"/>
  <c r="DM45" i="7"/>
  <c r="DX45" i="7" s="1"/>
  <c r="DM46" i="7"/>
  <c r="DX46" i="7" s="1"/>
  <c r="DM47" i="7"/>
  <c r="DX47" i="7" s="1"/>
  <c r="DM48" i="7"/>
  <c r="DX48" i="7" s="1"/>
  <c r="DM49" i="7"/>
  <c r="DX49" i="7" s="1"/>
  <c r="DM50" i="7"/>
  <c r="DX50" i="7" s="1"/>
  <c r="DM51" i="7"/>
  <c r="DX51" i="7" s="1"/>
  <c r="DM52" i="7"/>
  <c r="DX52" i="7" s="1"/>
  <c r="DM53" i="7"/>
  <c r="DX53" i="7" s="1"/>
  <c r="DM54" i="7"/>
  <c r="DX54" i="7" s="1"/>
  <c r="DM55" i="7"/>
  <c r="DX55" i="7" s="1"/>
  <c r="DM56" i="7"/>
  <c r="DX56" i="7" s="1"/>
  <c r="DM57" i="7"/>
  <c r="DX57" i="7" s="1"/>
  <c r="DM58" i="7"/>
  <c r="DX58" i="7" s="1"/>
  <c r="DM59" i="7"/>
  <c r="DX59" i="7" s="1"/>
  <c r="DM60" i="7"/>
  <c r="DX60" i="7" s="1"/>
  <c r="DM61" i="7"/>
  <c r="DX61" i="7" s="1"/>
  <c r="DM62" i="7"/>
  <c r="DX62" i="7" s="1"/>
  <c r="DM63" i="7"/>
  <c r="DX63" i="7" s="1"/>
  <c r="DM64" i="7"/>
  <c r="DX64" i="7" s="1"/>
  <c r="DM65" i="7"/>
  <c r="DX65" i="7" s="1"/>
  <c r="DM66" i="7"/>
  <c r="DX66" i="7" s="1"/>
  <c r="DM67" i="7"/>
  <c r="DX67" i="7" s="1"/>
  <c r="DM68" i="7"/>
  <c r="DX68" i="7" s="1"/>
  <c r="DM69" i="7"/>
  <c r="DX69" i="7" s="1"/>
  <c r="DM70" i="7"/>
  <c r="DX70" i="7" s="1"/>
  <c r="DM71" i="7"/>
  <c r="DX71" i="7" s="1"/>
  <c r="DM72" i="7"/>
  <c r="DX72" i="7" s="1"/>
  <c r="DM73" i="7"/>
  <c r="DX73" i="7" s="1"/>
  <c r="DM2" i="7"/>
  <c r="DX2" i="7" s="1"/>
  <c r="DC3" i="7" l="1"/>
  <c r="DC4" i="7"/>
  <c r="DC5" i="7"/>
  <c r="DC6" i="7"/>
  <c r="DC7" i="7"/>
  <c r="DC8" i="7"/>
  <c r="DC9" i="7"/>
  <c r="DC10" i="7"/>
  <c r="DC11" i="7"/>
  <c r="DC12" i="7"/>
  <c r="DC13" i="7"/>
  <c r="DC14" i="7"/>
  <c r="DC15" i="7"/>
  <c r="DC16" i="7"/>
  <c r="DC17" i="7"/>
  <c r="DC23" i="7"/>
  <c r="DC24" i="7"/>
  <c r="DC25" i="7"/>
  <c r="DC26" i="7"/>
  <c r="DC27" i="7"/>
  <c r="DC28" i="7"/>
  <c r="DC29" i="7"/>
  <c r="DC30" i="7"/>
  <c r="DC31" i="7"/>
  <c r="DC32" i="7"/>
  <c r="DC33" i="7"/>
  <c r="DC34" i="7"/>
  <c r="DC35" i="7"/>
  <c r="DC36" i="7"/>
  <c r="DC37" i="7"/>
  <c r="DC38" i="7"/>
  <c r="DC39" i="7"/>
  <c r="DC40" i="7"/>
  <c r="DC41" i="7"/>
  <c r="DC42" i="7"/>
  <c r="DC43" i="7"/>
  <c r="DC44" i="7"/>
  <c r="DC45" i="7"/>
  <c r="DC46" i="7"/>
  <c r="DC47" i="7"/>
  <c r="DC48" i="7"/>
  <c r="DC49" i="7"/>
  <c r="DC50" i="7"/>
  <c r="DC51" i="7"/>
  <c r="DC52" i="7"/>
  <c r="DC53" i="7"/>
  <c r="DC54" i="7"/>
  <c r="DC55" i="7"/>
  <c r="DC56" i="7"/>
  <c r="DC57" i="7"/>
  <c r="DC58" i="7"/>
  <c r="DC59" i="7"/>
  <c r="DC60" i="7"/>
  <c r="DC61" i="7"/>
  <c r="DC62" i="7"/>
  <c r="DC63" i="7"/>
  <c r="DC64" i="7"/>
  <c r="DC66" i="7"/>
  <c r="DC67" i="7"/>
  <c r="DC68" i="7"/>
  <c r="DC69" i="7"/>
  <c r="DC70" i="7"/>
  <c r="DC71" i="7"/>
  <c r="DC72" i="7"/>
  <c r="DC73" i="7"/>
  <c r="DC2" i="7"/>
  <c r="CN35" i="7" l="1"/>
  <c r="CM4" i="7"/>
  <c r="CN5" i="7"/>
  <c r="CN6" i="7"/>
  <c r="CP7" i="7"/>
  <c r="CN8" i="7"/>
  <c r="CM10" i="7"/>
  <c r="CM11" i="7"/>
  <c r="CM12" i="7"/>
  <c r="CM13" i="7"/>
  <c r="CO14" i="7"/>
  <c r="CM15" i="7"/>
  <c r="CM17" i="7"/>
  <c r="CM19" i="7"/>
  <c r="CM20" i="7"/>
  <c r="CN21" i="7"/>
  <c r="CN22" i="7"/>
  <c r="CP23" i="7"/>
  <c r="CN24" i="7"/>
  <c r="CM26" i="7"/>
  <c r="CM27" i="7"/>
  <c r="CM28" i="7"/>
  <c r="CM29" i="7"/>
  <c r="CO30" i="7"/>
  <c r="CM31" i="7"/>
  <c r="CM33" i="7"/>
  <c r="CM35" i="7"/>
  <c r="CM36" i="7"/>
  <c r="CN37" i="7"/>
  <c r="CN38" i="7"/>
  <c r="CP39" i="7"/>
  <c r="CN40" i="7"/>
  <c r="CM42" i="7"/>
  <c r="CM43" i="7"/>
  <c r="CM44" i="7"/>
  <c r="CM45" i="7"/>
  <c r="CO46" i="7"/>
  <c r="CM47" i="7"/>
  <c r="CM49" i="7"/>
  <c r="CM51" i="7"/>
  <c r="CM52" i="7"/>
  <c r="CN53" i="7"/>
  <c r="CN54" i="7"/>
  <c r="CP55" i="7"/>
  <c r="CN56" i="7"/>
  <c r="CM58" i="7"/>
  <c r="CM59" i="7"/>
  <c r="CM60" i="7"/>
  <c r="CM61" i="7"/>
  <c r="CO62" i="7"/>
  <c r="CM63" i="7"/>
  <c r="CM65" i="7"/>
  <c r="CM67" i="7"/>
  <c r="CM68" i="7"/>
  <c r="CN69" i="7"/>
  <c r="CN70" i="7"/>
  <c r="CP71" i="7"/>
  <c r="CN72" i="7"/>
  <c r="CN27" i="7" l="1"/>
  <c r="CN67" i="7"/>
  <c r="CN59" i="7"/>
  <c r="CN51" i="7"/>
  <c r="CN43" i="7"/>
  <c r="CM18" i="7"/>
  <c r="CO8" i="7"/>
  <c r="CO72" i="7"/>
  <c r="CM34" i="7"/>
  <c r="CO24" i="7"/>
  <c r="CM8" i="7"/>
  <c r="CP67" i="7"/>
  <c r="CM72" i="7"/>
  <c r="CM66" i="7"/>
  <c r="CO56" i="7"/>
  <c r="CM50" i="7"/>
  <c r="CO40" i="7"/>
  <c r="CM24" i="7"/>
  <c r="CP16" i="7"/>
  <c r="CM56" i="7"/>
  <c r="CM40" i="7"/>
  <c r="CP32" i="7"/>
  <c r="CO16" i="7"/>
  <c r="CO7" i="7"/>
  <c r="CO71" i="7"/>
  <c r="CP64" i="7"/>
  <c r="CP48" i="7"/>
  <c r="CO32" i="7"/>
  <c r="CO23" i="7"/>
  <c r="CN7" i="7"/>
  <c r="CN71" i="7"/>
  <c r="CO64" i="7"/>
  <c r="CO55" i="7"/>
  <c r="CO48" i="7"/>
  <c r="CO39" i="7"/>
  <c r="CN23" i="7"/>
  <c r="CN55" i="7"/>
  <c r="CN39" i="7"/>
  <c r="CN14" i="7"/>
  <c r="CM6" i="7"/>
  <c r="CM70" i="7"/>
  <c r="CN30" i="7"/>
  <c r="CM22" i="7"/>
  <c r="CM14" i="7"/>
  <c r="CM5" i="7"/>
  <c r="CN62" i="7"/>
  <c r="CM54" i="7"/>
  <c r="CN46" i="7"/>
  <c r="CM38" i="7"/>
  <c r="CM30" i="7"/>
  <c r="CM21" i="7"/>
  <c r="CP69" i="7"/>
  <c r="CM62" i="7"/>
  <c r="CM46" i="7"/>
  <c r="CM37" i="7"/>
  <c r="CO4" i="7"/>
  <c r="CP51" i="7"/>
  <c r="CM69" i="7"/>
  <c r="CM53" i="7"/>
  <c r="CO20" i="7"/>
  <c r="CO12" i="7"/>
  <c r="CO36" i="7"/>
  <c r="CO28" i="7"/>
  <c r="CP3" i="7"/>
  <c r="CO68" i="7"/>
  <c r="CO60" i="7"/>
  <c r="CO52" i="7"/>
  <c r="CO44" i="7"/>
  <c r="CP19" i="7"/>
  <c r="CN3" i="7"/>
  <c r="CP35" i="7"/>
  <c r="CN19" i="7"/>
  <c r="CN11" i="7"/>
  <c r="CP57" i="7"/>
  <c r="CO73" i="7"/>
  <c r="CM71" i="7"/>
  <c r="CP66" i="7"/>
  <c r="CN64" i="7"/>
  <c r="CO57" i="7"/>
  <c r="CM55" i="7"/>
  <c r="CP50" i="7"/>
  <c r="CN48" i="7"/>
  <c r="CO41" i="7"/>
  <c r="CM39" i="7"/>
  <c r="CP34" i="7"/>
  <c r="CN32" i="7"/>
  <c r="CO25" i="7"/>
  <c r="CM23" i="7"/>
  <c r="CP18" i="7"/>
  <c r="CN16" i="7"/>
  <c r="CO9" i="7"/>
  <c r="CM7" i="7"/>
  <c r="CP73" i="7"/>
  <c r="CN73" i="7"/>
  <c r="CO66" i="7"/>
  <c r="CM64" i="7"/>
  <c r="CP59" i="7"/>
  <c r="CN57" i="7"/>
  <c r="CO50" i="7"/>
  <c r="CM48" i="7"/>
  <c r="CP43" i="7"/>
  <c r="CN41" i="7"/>
  <c r="CO34" i="7"/>
  <c r="CM32" i="7"/>
  <c r="CP27" i="7"/>
  <c r="CN25" i="7"/>
  <c r="CO18" i="7"/>
  <c r="CM16" i="7"/>
  <c r="CP11" i="7"/>
  <c r="CN9" i="7"/>
  <c r="CP41" i="7"/>
  <c r="CP25" i="7"/>
  <c r="CP9" i="7"/>
  <c r="CM73" i="7"/>
  <c r="CP68" i="7"/>
  <c r="CN66" i="7"/>
  <c r="CO59" i="7"/>
  <c r="CM57" i="7"/>
  <c r="CP52" i="7"/>
  <c r="CN50" i="7"/>
  <c r="CO43" i="7"/>
  <c r="CM41" i="7"/>
  <c r="CP36" i="7"/>
  <c r="CN34" i="7"/>
  <c r="CO27" i="7"/>
  <c r="CM25" i="7"/>
  <c r="CP20" i="7"/>
  <c r="CN18" i="7"/>
  <c r="CO11" i="7"/>
  <c r="CM9" i="7"/>
  <c r="CP4" i="7"/>
  <c r="CP45" i="7"/>
  <c r="CP13" i="7"/>
  <c r="CP70" i="7"/>
  <c r="CN68" i="7"/>
  <c r="CO61" i="7"/>
  <c r="CP54" i="7"/>
  <c r="CN52" i="7"/>
  <c r="CO45" i="7"/>
  <c r="CP38" i="7"/>
  <c r="CN36" i="7"/>
  <c r="CO29" i="7"/>
  <c r="CP22" i="7"/>
  <c r="CN20" i="7"/>
  <c r="CO13" i="7"/>
  <c r="CP6" i="7"/>
  <c r="CN4" i="7"/>
  <c r="CP61" i="7"/>
  <c r="CO70" i="7"/>
  <c r="CP63" i="7"/>
  <c r="CN61" i="7"/>
  <c r="CO54" i="7"/>
  <c r="CP47" i="7"/>
  <c r="CN45" i="7"/>
  <c r="CO38" i="7"/>
  <c r="CP31" i="7"/>
  <c r="CN29" i="7"/>
  <c r="CO22" i="7"/>
  <c r="CP15" i="7"/>
  <c r="CN13" i="7"/>
  <c r="CO6" i="7"/>
  <c r="CP29" i="7"/>
  <c r="CP72" i="7"/>
  <c r="CO63" i="7"/>
  <c r="CP56" i="7"/>
  <c r="CO47" i="7"/>
  <c r="CP40" i="7"/>
  <c r="CO31" i="7"/>
  <c r="CP24" i="7"/>
  <c r="CO15" i="7"/>
  <c r="CP8" i="7"/>
  <c r="CS2" i="7"/>
  <c r="CP65" i="7"/>
  <c r="CN63" i="7"/>
  <c r="CP49" i="7"/>
  <c r="CN47" i="7"/>
  <c r="CP33" i="7"/>
  <c r="CN31" i="7"/>
  <c r="CP17" i="7"/>
  <c r="CN15" i="7"/>
  <c r="CR2" i="7"/>
  <c r="CO65" i="7"/>
  <c r="CP58" i="7"/>
  <c r="CO49" i="7"/>
  <c r="CP42" i="7"/>
  <c r="CO33" i="7"/>
  <c r="CP26" i="7"/>
  <c r="CO17" i="7"/>
  <c r="CP10" i="7"/>
  <c r="CN65" i="7"/>
  <c r="CO58" i="7"/>
  <c r="CN49" i="7"/>
  <c r="CO42" i="7"/>
  <c r="CN33" i="7"/>
  <c r="CO26" i="7"/>
  <c r="CN17" i="7"/>
  <c r="CO10" i="7"/>
  <c r="CP2" i="7"/>
  <c r="CO67" i="7"/>
  <c r="CP60" i="7"/>
  <c r="CN58" i="7"/>
  <c r="CO51" i="7"/>
  <c r="CP44" i="7"/>
  <c r="CN42" i="7"/>
  <c r="CO35" i="7"/>
  <c r="CP28" i="7"/>
  <c r="CN26" i="7"/>
  <c r="CO19" i="7"/>
  <c r="CP12" i="7"/>
  <c r="CN10" i="7"/>
  <c r="CO3" i="7"/>
  <c r="CQ2" i="7"/>
  <c r="CO2" i="7"/>
  <c r="CP53" i="7"/>
  <c r="CP5" i="7"/>
  <c r="CO69" i="7"/>
  <c r="CP62" i="7"/>
  <c r="CN60" i="7"/>
  <c r="CO53" i="7"/>
  <c r="CP46" i="7"/>
  <c r="CN44" i="7"/>
  <c r="CO37" i="7"/>
  <c r="CP30" i="7"/>
  <c r="CN28" i="7"/>
  <c r="CO21" i="7"/>
  <c r="CP14" i="7"/>
  <c r="CN12" i="7"/>
  <c r="CO5" i="7"/>
  <c r="CP37" i="7"/>
  <c r="CP21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DA2" i="7" l="1" a="1"/>
  <c r="DA2" i="7" s="1"/>
  <c r="B9" i="7" s="1"/>
  <c r="BA73" i="7"/>
  <c r="AZ73" i="7"/>
  <c r="J73" i="7"/>
  <c r="BA72" i="7"/>
  <c r="AZ72" i="7"/>
  <c r="J72" i="7"/>
  <c r="BA71" i="7"/>
  <c r="AZ71" i="7"/>
  <c r="J71" i="7"/>
  <c r="BA70" i="7"/>
  <c r="AZ70" i="7"/>
  <c r="J70" i="7"/>
  <c r="BA69" i="7"/>
  <c r="AZ69" i="7"/>
  <c r="J69" i="7"/>
  <c r="BA68" i="7"/>
  <c r="AZ68" i="7"/>
  <c r="J68" i="7"/>
  <c r="BA67" i="7"/>
  <c r="AZ67" i="7"/>
  <c r="J67" i="7"/>
  <c r="BA66" i="7"/>
  <c r="AZ66" i="7"/>
  <c r="J66" i="7"/>
  <c r="BA65" i="7"/>
  <c r="AZ65" i="7"/>
  <c r="J65" i="7"/>
  <c r="BA64" i="7"/>
  <c r="AZ64" i="7"/>
  <c r="J64" i="7"/>
  <c r="BA63" i="7"/>
  <c r="AZ63" i="7"/>
  <c r="J63" i="7"/>
  <c r="BA62" i="7"/>
  <c r="AZ62" i="7"/>
  <c r="J62" i="7"/>
  <c r="BA61" i="7"/>
  <c r="AZ61" i="7"/>
  <c r="J61" i="7"/>
  <c r="BA60" i="7"/>
  <c r="AZ60" i="7"/>
  <c r="J60" i="7"/>
  <c r="BA59" i="7"/>
  <c r="AZ59" i="7"/>
  <c r="J59" i="7"/>
  <c r="BA58" i="7"/>
  <c r="AZ58" i="7"/>
  <c r="J58" i="7"/>
  <c r="BA57" i="7"/>
  <c r="AZ57" i="7"/>
  <c r="J57" i="7"/>
  <c r="BA56" i="7"/>
  <c r="AZ56" i="7"/>
  <c r="J56" i="7"/>
  <c r="BA55" i="7"/>
  <c r="AZ55" i="7"/>
  <c r="J55" i="7"/>
  <c r="BA54" i="7"/>
  <c r="AZ54" i="7"/>
  <c r="J54" i="7"/>
  <c r="BA53" i="7"/>
  <c r="AZ53" i="7"/>
  <c r="J53" i="7"/>
  <c r="BA52" i="7"/>
  <c r="AZ52" i="7"/>
  <c r="J52" i="7"/>
  <c r="BA51" i="7"/>
  <c r="AZ51" i="7"/>
  <c r="J51" i="7"/>
  <c r="BA50" i="7"/>
  <c r="AZ50" i="7"/>
  <c r="J50" i="7"/>
  <c r="BA49" i="7"/>
  <c r="AZ49" i="7"/>
  <c r="J49" i="7"/>
  <c r="BA48" i="7"/>
  <c r="AZ48" i="7"/>
  <c r="J48" i="7"/>
  <c r="BA47" i="7"/>
  <c r="AZ47" i="7"/>
  <c r="J47" i="7"/>
  <c r="BA46" i="7"/>
  <c r="AZ46" i="7"/>
  <c r="J46" i="7"/>
  <c r="BA45" i="7"/>
  <c r="AZ45" i="7"/>
  <c r="J45" i="7"/>
  <c r="BA44" i="7"/>
  <c r="AZ44" i="7"/>
  <c r="J44" i="7"/>
  <c r="BA43" i="7"/>
  <c r="AZ43" i="7"/>
  <c r="J43" i="7"/>
  <c r="BA42" i="7"/>
  <c r="AZ42" i="7"/>
  <c r="J42" i="7"/>
  <c r="BA41" i="7"/>
  <c r="AZ41" i="7"/>
  <c r="J41" i="7"/>
  <c r="BA40" i="7"/>
  <c r="AZ40" i="7"/>
  <c r="J40" i="7"/>
  <c r="BA39" i="7"/>
  <c r="AZ39" i="7"/>
  <c r="J39" i="7"/>
  <c r="BA38" i="7"/>
  <c r="AZ38" i="7"/>
  <c r="J38" i="7"/>
  <c r="BA37" i="7"/>
  <c r="AZ37" i="7"/>
  <c r="J37" i="7"/>
  <c r="BA36" i="7"/>
  <c r="AZ36" i="7"/>
  <c r="J36" i="7"/>
  <c r="BA35" i="7"/>
  <c r="AZ35" i="7"/>
  <c r="J35" i="7"/>
  <c r="BA34" i="7"/>
  <c r="AZ34" i="7"/>
  <c r="J34" i="7"/>
  <c r="BA33" i="7"/>
  <c r="AZ33" i="7"/>
  <c r="J33" i="7"/>
  <c r="BA32" i="7"/>
  <c r="AZ32" i="7"/>
  <c r="J32" i="7"/>
  <c r="BA31" i="7"/>
  <c r="AZ31" i="7"/>
  <c r="J31" i="7"/>
  <c r="BA30" i="7"/>
  <c r="AZ30" i="7"/>
  <c r="J30" i="7"/>
  <c r="BA29" i="7"/>
  <c r="AZ29" i="7"/>
  <c r="J29" i="7"/>
  <c r="BA28" i="7"/>
  <c r="AZ28" i="7"/>
  <c r="J28" i="7"/>
  <c r="BA27" i="7"/>
  <c r="AZ27" i="7"/>
  <c r="J27" i="7"/>
  <c r="BA26" i="7"/>
  <c r="AZ26" i="7"/>
  <c r="J26" i="7"/>
  <c r="BA25" i="7"/>
  <c r="AZ25" i="7"/>
  <c r="J25" i="7"/>
  <c r="BA24" i="7"/>
  <c r="AZ24" i="7"/>
  <c r="J24" i="7"/>
  <c r="BA23" i="7"/>
  <c r="AZ23" i="7"/>
  <c r="J23" i="7"/>
  <c r="BA22" i="7"/>
  <c r="AZ22" i="7"/>
  <c r="J22" i="7"/>
  <c r="BA21" i="7"/>
  <c r="AZ21" i="7"/>
  <c r="J21" i="7"/>
  <c r="BA20" i="7"/>
  <c r="AZ20" i="7"/>
  <c r="J20" i="7"/>
  <c r="BA19" i="7"/>
  <c r="AZ19" i="7"/>
  <c r="J19" i="7"/>
  <c r="BA18" i="7"/>
  <c r="AZ18" i="7"/>
  <c r="J18" i="7"/>
  <c r="BA17" i="7"/>
  <c r="AZ17" i="7"/>
  <c r="J17" i="7"/>
  <c r="BA16" i="7"/>
  <c r="AZ16" i="7"/>
  <c r="J16" i="7"/>
  <c r="BA15" i="7"/>
  <c r="AZ15" i="7"/>
  <c r="J15" i="7"/>
  <c r="BA14" i="7"/>
  <c r="AZ14" i="7"/>
  <c r="J14" i="7"/>
  <c r="BA13" i="7"/>
  <c r="AZ13" i="7"/>
  <c r="J13" i="7"/>
  <c r="BA12" i="7"/>
  <c r="AZ12" i="7"/>
  <c r="J12" i="7"/>
  <c r="BA11" i="7"/>
  <c r="AZ11" i="7"/>
  <c r="J11" i="7"/>
  <c r="BA10" i="7"/>
  <c r="AZ10" i="7"/>
  <c r="J10" i="7"/>
  <c r="BA9" i="7"/>
  <c r="AZ9" i="7"/>
  <c r="J9" i="7"/>
  <c r="BA8" i="7"/>
  <c r="AZ8" i="7"/>
  <c r="J8" i="7"/>
  <c r="BA7" i="7"/>
  <c r="AZ7" i="7"/>
  <c r="J7" i="7"/>
  <c r="BA6" i="7"/>
  <c r="AZ6" i="7"/>
  <c r="J6" i="7"/>
  <c r="CB5" i="7"/>
  <c r="BA5" i="7"/>
  <c r="AZ5" i="7"/>
  <c r="J5" i="7"/>
  <c r="BA4" i="7"/>
  <c r="AZ4" i="7"/>
  <c r="J4" i="7"/>
  <c r="CG3" i="7"/>
  <c r="CF3" i="7"/>
  <c r="CE3" i="7"/>
  <c r="CD3" i="7"/>
  <c r="CC3" i="7"/>
  <c r="BA3" i="7"/>
  <c r="AZ3" i="7"/>
  <c r="AP3" i="7" s="1"/>
  <c r="J3" i="7"/>
  <c r="BA2" i="7"/>
  <c r="M3" i="7" l="1"/>
  <c r="N3" i="7"/>
  <c r="W3" i="7"/>
  <c r="CC5" i="7"/>
  <c r="CD5" i="7" s="1"/>
  <c r="CE5" i="7" s="1"/>
  <c r="CF5" i="7" s="1"/>
  <c r="CG5" i="7" s="1"/>
  <c r="AP13" i="7"/>
  <c r="S13" i="7" s="1"/>
  <c r="AP21" i="7"/>
  <c r="AE21" i="7" s="1"/>
  <c r="AP37" i="7"/>
  <c r="T37" i="7" s="1"/>
  <c r="AP45" i="7"/>
  <c r="X45" i="7" s="1"/>
  <c r="AP53" i="7"/>
  <c r="AE53" i="7" s="1"/>
  <c r="AP61" i="7"/>
  <c r="AD61" i="7" s="1"/>
  <c r="AP69" i="7"/>
  <c r="AA69" i="7" s="1"/>
  <c r="AP8" i="7"/>
  <c r="AB8" i="7" s="1"/>
  <c r="AP16" i="7"/>
  <c r="AD16" i="7" s="1"/>
  <c r="AP24" i="7"/>
  <c r="AD24" i="7" s="1"/>
  <c r="AP32" i="7"/>
  <c r="AD32" i="7" s="1"/>
  <c r="AP48" i="7"/>
  <c r="U48" i="7" s="1"/>
  <c r="AP5" i="7"/>
  <c r="AD5" i="7" s="1"/>
  <c r="AP12" i="7"/>
  <c r="BL12" i="7" s="1"/>
  <c r="AP20" i="7"/>
  <c r="AE20" i="7" s="1"/>
  <c r="AP28" i="7"/>
  <c r="W28" i="7" s="1"/>
  <c r="AP36" i="7"/>
  <c r="U36" i="7" s="1"/>
  <c r="AP44" i="7"/>
  <c r="AA44" i="7" s="1"/>
  <c r="AP52" i="7"/>
  <c r="AD52" i="7" s="1"/>
  <c r="AP60" i="7"/>
  <c r="N60" i="7" s="1"/>
  <c r="AP68" i="7"/>
  <c r="Z68" i="7" s="1"/>
  <c r="AP7" i="7"/>
  <c r="W7" i="7" s="1"/>
  <c r="AP15" i="7"/>
  <c r="S15" i="7" s="1"/>
  <c r="AP23" i="7"/>
  <c r="R23" i="7" s="1"/>
  <c r="AP31" i="7"/>
  <c r="T31" i="7" s="1"/>
  <c r="AP39" i="7"/>
  <c r="Q39" i="7" s="1"/>
  <c r="AP47" i="7"/>
  <c r="AD47" i="7" s="1"/>
  <c r="AP55" i="7"/>
  <c r="T55" i="7" s="1"/>
  <c r="AP63" i="7"/>
  <c r="AC63" i="7" s="1"/>
  <c r="AP71" i="7"/>
  <c r="AC71" i="7" s="1"/>
  <c r="AP10" i="7"/>
  <c r="AD10" i="7" s="1"/>
  <c r="AP18" i="7"/>
  <c r="AD18" i="7" s="1"/>
  <c r="AP26" i="7"/>
  <c r="T26" i="7" s="1"/>
  <c r="AP34" i="7"/>
  <c r="W34" i="7" s="1"/>
  <c r="AP42" i="7"/>
  <c r="U42" i="7" s="1"/>
  <c r="AP50" i="7"/>
  <c r="AE50" i="7" s="1"/>
  <c r="AP58" i="7"/>
  <c r="AC58" i="7" s="1"/>
  <c r="AP66" i="7"/>
  <c r="S66" i="7" s="1"/>
  <c r="AP29" i="7"/>
  <c r="AC29" i="7" s="1"/>
  <c r="AP40" i="7"/>
  <c r="T40" i="7" s="1"/>
  <c r="AP56" i="7"/>
  <c r="U56" i="7" s="1"/>
  <c r="AP64" i="7"/>
  <c r="AB64" i="7" s="1"/>
  <c r="AP72" i="7"/>
  <c r="O72" i="7" s="1"/>
  <c r="Y3" i="7"/>
  <c r="AP4" i="7"/>
  <c r="Z4" i="7" s="1"/>
  <c r="AP11" i="7"/>
  <c r="BE11" i="7" s="1"/>
  <c r="AP19" i="7"/>
  <c r="AE19" i="7" s="1"/>
  <c r="AP27" i="7"/>
  <c r="AC27" i="7" s="1"/>
  <c r="AP35" i="7"/>
  <c r="Z35" i="7" s="1"/>
  <c r="AP43" i="7"/>
  <c r="W43" i="7" s="1"/>
  <c r="AP51" i="7"/>
  <c r="AE51" i="7" s="1"/>
  <c r="AP59" i="7"/>
  <c r="Y59" i="7" s="1"/>
  <c r="AP67" i="7"/>
  <c r="Y67" i="7" s="1"/>
  <c r="AP6" i="7"/>
  <c r="BG6" i="7" s="1"/>
  <c r="AP14" i="7"/>
  <c r="X14" i="7" s="1"/>
  <c r="AP22" i="7"/>
  <c r="AD22" i="7" s="1"/>
  <c r="AP30" i="7"/>
  <c r="AC30" i="7" s="1"/>
  <c r="AP38" i="7"/>
  <c r="S38" i="7" s="1"/>
  <c r="AP46" i="7"/>
  <c r="AA46" i="7" s="1"/>
  <c r="AP54" i="7"/>
  <c r="AD54" i="7" s="1"/>
  <c r="AP62" i="7"/>
  <c r="AC62" i="7" s="1"/>
  <c r="AP70" i="7"/>
  <c r="T70" i="7" s="1"/>
  <c r="AP9" i="7"/>
  <c r="BK9" i="7" s="1"/>
  <c r="AP17" i="7"/>
  <c r="W17" i="7" s="1"/>
  <c r="AP25" i="7"/>
  <c r="M25" i="7" s="1"/>
  <c r="AP33" i="7"/>
  <c r="M33" i="7" s="1"/>
  <c r="AP41" i="7"/>
  <c r="AD41" i="7" s="1"/>
  <c r="AP49" i="7"/>
  <c r="AE49" i="7" s="1"/>
  <c r="AP57" i="7"/>
  <c r="Z57" i="7" s="1"/>
  <c r="AP65" i="7"/>
  <c r="Z65" i="7" s="1"/>
  <c r="AP73" i="7"/>
  <c r="AE73" i="7" s="1"/>
  <c r="Z17" i="7"/>
  <c r="E11" i="7"/>
  <c r="E22" i="7"/>
  <c r="E5" i="7"/>
  <c r="E6" i="7"/>
  <c r="E21" i="7"/>
  <c r="E8" i="7"/>
  <c r="E10" i="7"/>
  <c r="E15" i="7"/>
  <c r="E18" i="7"/>
  <c r="E26" i="7"/>
  <c r="E3" i="7"/>
  <c r="E12" i="7"/>
  <c r="E23" i="7"/>
  <c r="E17" i="7"/>
  <c r="E20" i="7"/>
  <c r="E28" i="7"/>
  <c r="E30" i="7"/>
  <c r="E32" i="7"/>
  <c r="E34" i="7"/>
  <c r="E36" i="7"/>
  <c r="E38" i="7"/>
  <c r="E40" i="7"/>
  <c r="E42" i="7"/>
  <c r="E44" i="7"/>
  <c r="E46" i="7"/>
  <c r="E48" i="7"/>
  <c r="E50" i="7"/>
  <c r="E52" i="7"/>
  <c r="E54" i="7"/>
  <c r="E56" i="7"/>
  <c r="E58" i="7"/>
  <c r="E60" i="7"/>
  <c r="E62" i="7"/>
  <c r="E64" i="7"/>
  <c r="E66" i="7"/>
  <c r="E68" i="7"/>
  <c r="E70" i="7"/>
  <c r="E72" i="7"/>
  <c r="E4" i="7"/>
  <c r="E14" i="7"/>
  <c r="E25" i="7"/>
  <c r="E7" i="7"/>
  <c r="E16" i="7"/>
  <c r="E19" i="7"/>
  <c r="E27" i="7"/>
  <c r="E73" i="7"/>
  <c r="E9" i="7"/>
  <c r="E13" i="7"/>
  <c r="E24" i="7"/>
  <c r="E29" i="7"/>
  <c r="E31" i="7"/>
  <c r="E33" i="7"/>
  <c r="E35" i="7"/>
  <c r="E37" i="7"/>
  <c r="E39" i="7"/>
  <c r="E41" i="7"/>
  <c r="E43" i="7"/>
  <c r="E45" i="7"/>
  <c r="E47" i="7"/>
  <c r="E49" i="7"/>
  <c r="E51" i="7"/>
  <c r="E53" i="7"/>
  <c r="E55" i="7"/>
  <c r="E57" i="7"/>
  <c r="E59" i="7"/>
  <c r="E61" i="7"/>
  <c r="E63" i="7"/>
  <c r="E65" i="7"/>
  <c r="E67" i="7"/>
  <c r="E69" i="7"/>
  <c r="E71" i="7"/>
  <c r="Z52" i="7"/>
  <c r="AA66" i="7"/>
  <c r="Y55" i="7"/>
  <c r="AB20" i="7"/>
  <c r="BL15" i="7"/>
  <c r="BJ30" i="7"/>
  <c r="T39" i="7"/>
  <c r="O39" i="7"/>
  <c r="M39" i="7"/>
  <c r="AD39" i="7"/>
  <c r="Z39" i="7"/>
  <c r="W39" i="7"/>
  <c r="X39" i="7"/>
  <c r="X42" i="7"/>
  <c r="Z21" i="7"/>
  <c r="N26" i="7"/>
  <c r="BE2" i="7"/>
  <c r="AA21" i="7"/>
  <c r="AE31" i="7"/>
  <c r="BL35" i="7"/>
  <c r="R66" i="7"/>
  <c r="AC21" i="7"/>
  <c r="Y24" i="7"/>
  <c r="N27" i="7"/>
  <c r="U37" i="7"/>
  <c r="BL39" i="7"/>
  <c r="Y26" i="7"/>
  <c r="AB26" i="7"/>
  <c r="Z69" i="7"/>
  <c r="X31" i="7"/>
  <c r="T21" i="7"/>
  <c r="M30" i="7"/>
  <c r="AE37" i="7"/>
  <c r="BI66" i="7"/>
  <c r="BD16" i="7"/>
  <c r="BD26" i="7"/>
  <c r="BE66" i="7"/>
  <c r="BJ35" i="7"/>
  <c r="BG31" i="7"/>
  <c r="BG66" i="7"/>
  <c r="BH66" i="7"/>
  <c r="BH44" i="7"/>
  <c r="BI30" i="7"/>
  <c r="BG17" i="7"/>
  <c r="BI26" i="7"/>
  <c r="S2" i="7"/>
  <c r="T2" i="7"/>
  <c r="BF2" i="7"/>
  <c r="R2" i="7"/>
  <c r="AC2" i="7"/>
  <c r="AE2" i="7"/>
  <c r="O2" i="7"/>
  <c r="AD2" i="7"/>
  <c r="N2" i="7"/>
  <c r="Z2" i="7"/>
  <c r="AB2" i="7"/>
  <c r="Y2" i="7"/>
  <c r="X2" i="7"/>
  <c r="Y13" i="7"/>
  <c r="U13" i="7"/>
  <c r="T13" i="7"/>
  <c r="AC13" i="7"/>
  <c r="M13" i="7"/>
  <c r="AE13" i="7"/>
  <c r="AD13" i="7"/>
  <c r="AA13" i="7"/>
  <c r="Y11" i="7"/>
  <c r="U11" i="7"/>
  <c r="T11" i="7"/>
  <c r="S11" i="7"/>
  <c r="R11" i="7"/>
  <c r="BH2" i="7"/>
  <c r="AE12" i="7"/>
  <c r="BI2" i="7"/>
  <c r="AA18" i="7"/>
  <c r="Y18" i="7"/>
  <c r="X18" i="7"/>
  <c r="U18" i="7"/>
  <c r="T18" i="7"/>
  <c r="R18" i="7"/>
  <c r="P18" i="7"/>
  <c r="AE18" i="7"/>
  <c r="O18" i="7"/>
  <c r="BJ2" i="7"/>
  <c r="BI17" i="7"/>
  <c r="BH17" i="7"/>
  <c r="BF17" i="7"/>
  <c r="BD17" i="7"/>
  <c r="BL17" i="7"/>
  <c r="BK2" i="7"/>
  <c r="BL2" i="7"/>
  <c r="O24" i="7"/>
  <c r="BI6" i="7"/>
  <c r="X6" i="7"/>
  <c r="T25" i="7"/>
  <c r="BG25" i="7"/>
  <c r="S25" i="7"/>
  <c r="AD25" i="7"/>
  <c r="Y25" i="7"/>
  <c r="BI25" i="7"/>
  <c r="BF25" i="7"/>
  <c r="U25" i="7"/>
  <c r="BE25" i="7"/>
  <c r="BD25" i="7"/>
  <c r="P25" i="7"/>
  <c r="BF13" i="7"/>
  <c r="BK13" i="7"/>
  <c r="BL18" i="7"/>
  <c r="BK18" i="7"/>
  <c r="BI18" i="7"/>
  <c r="BH18" i="7"/>
  <c r="BF18" i="7"/>
  <c r="BD18" i="7"/>
  <c r="U17" i="7"/>
  <c r="T17" i="7"/>
  <c r="R17" i="7"/>
  <c r="Q17" i="7"/>
  <c r="AE17" i="7"/>
  <c r="O17" i="7"/>
  <c r="N17" i="7"/>
  <c r="AC17" i="7"/>
  <c r="M17" i="7"/>
  <c r="AB17" i="7"/>
  <c r="Y17" i="7"/>
  <c r="X17" i="7"/>
  <c r="X20" i="7"/>
  <c r="N18" i="7"/>
  <c r="Q18" i="7"/>
  <c r="AE6" i="7"/>
  <c r="BI11" i="7"/>
  <c r="Z18" i="7"/>
  <c r="BD13" i="7"/>
  <c r="AC18" i="7"/>
  <c r="AD20" i="7"/>
  <c r="N20" i="7"/>
  <c r="AC20" i="7"/>
  <c r="M20" i="7"/>
  <c r="BE16" i="7"/>
  <c r="BH25" i="7"/>
  <c r="R16" i="7"/>
  <c r="BF16" i="7"/>
  <c r="BH30" i="7"/>
  <c r="BF30" i="7"/>
  <c r="BE30" i="7"/>
  <c r="BD30" i="7"/>
  <c r="BG30" i="7"/>
  <c r="S30" i="7"/>
  <c r="BE21" i="7"/>
  <c r="BD21" i="7"/>
  <c r="BF21" i="7"/>
  <c r="M38" i="7"/>
  <c r="BI38" i="7"/>
  <c r="T38" i="7"/>
  <c r="BG38" i="7"/>
  <c r="Q38" i="7"/>
  <c r="W16" i="7"/>
  <c r="BK16" i="7"/>
  <c r="BG21" i="7"/>
  <c r="AE36" i="7"/>
  <c r="O36" i="7"/>
  <c r="AB36" i="7"/>
  <c r="AA36" i="7"/>
  <c r="BL65" i="7"/>
  <c r="BK65" i="7"/>
  <c r="BH65" i="7"/>
  <c r="BE65" i="7"/>
  <c r="BJ65" i="7"/>
  <c r="BF65" i="7"/>
  <c r="BD65" i="7"/>
  <c r="BI65" i="7"/>
  <c r="X16" i="7"/>
  <c r="BH20" i="7"/>
  <c r="AD21" i="7"/>
  <c r="BH21" i="7"/>
  <c r="BL24" i="7"/>
  <c r="BI24" i="7"/>
  <c r="W30" i="7"/>
  <c r="Z30" i="7"/>
  <c r="P21" i="7"/>
  <c r="X21" i="7"/>
  <c r="BJ21" i="7"/>
  <c r="BI70" i="7"/>
  <c r="BD70" i="7"/>
  <c r="BL70" i="7"/>
  <c r="BK70" i="7"/>
  <c r="BJ70" i="7"/>
  <c r="BH70" i="7"/>
  <c r="BG70" i="7"/>
  <c r="BE70" i="7"/>
  <c r="BF70" i="7"/>
  <c r="AA16" i="7"/>
  <c r="BK21" i="7"/>
  <c r="R30" i="7"/>
  <c r="P30" i="7"/>
  <c r="AE30" i="7"/>
  <c r="O30" i="7"/>
  <c r="AD30" i="7"/>
  <c r="N30" i="7"/>
  <c r="AA30" i="7"/>
  <c r="AC34" i="7"/>
  <c r="BK39" i="7"/>
  <c r="BI39" i="7"/>
  <c r="BH39" i="7"/>
  <c r="BG39" i="7"/>
  <c r="BF39" i="7"/>
  <c r="BE39" i="7"/>
  <c r="BD39" i="7"/>
  <c r="AE40" i="7"/>
  <c r="O40" i="7"/>
  <c r="AC40" i="7"/>
  <c r="M40" i="7"/>
  <c r="BI40" i="7"/>
  <c r="Q40" i="7"/>
  <c r="BG40" i="7"/>
  <c r="AA26" i="7"/>
  <c r="O34" i="7"/>
  <c r="BI34" i="7"/>
  <c r="BH37" i="7"/>
  <c r="BG37" i="7"/>
  <c r="AE42" i="7"/>
  <c r="AD42" i="7"/>
  <c r="N42" i="7"/>
  <c r="BJ42" i="7"/>
  <c r="AB42" i="7"/>
  <c r="BE26" i="7"/>
  <c r="X27" i="7"/>
  <c r="BK31" i="7"/>
  <c r="BH31" i="7"/>
  <c r="BF31" i="7"/>
  <c r="BE31" i="7"/>
  <c r="Q34" i="7"/>
  <c r="BH40" i="7"/>
  <c r="S26" i="7"/>
  <c r="BG26" i="7"/>
  <c r="BD31" i="7"/>
  <c r="BH33" i="7"/>
  <c r="BF33" i="7"/>
  <c r="BK40" i="7"/>
  <c r="BH26" i="7"/>
  <c r="AA27" i="7"/>
  <c r="P40" i="7"/>
  <c r="BL40" i="7"/>
  <c r="BL64" i="7"/>
  <c r="BJ64" i="7"/>
  <c r="M27" i="7"/>
  <c r="BJ39" i="7"/>
  <c r="O46" i="7"/>
  <c r="AE47" i="7"/>
  <c r="O47" i="7"/>
  <c r="O45" i="7"/>
  <c r="BF46" i="7"/>
  <c r="P62" i="7"/>
  <c r="U70" i="7"/>
  <c r="P70" i="7"/>
  <c r="AE70" i="7"/>
  <c r="O70" i="7"/>
  <c r="AB70" i="7"/>
  <c r="Y70" i="7"/>
  <c r="X70" i="7"/>
  <c r="W70" i="7"/>
  <c r="AC70" i="7"/>
  <c r="AA70" i="7"/>
  <c r="Z70" i="7"/>
  <c r="S70" i="7"/>
  <c r="N70" i="7"/>
  <c r="M70" i="7"/>
  <c r="AD70" i="7"/>
  <c r="R70" i="7"/>
  <c r="Q70" i="7"/>
  <c r="M47" i="7"/>
  <c r="W41" i="7"/>
  <c r="R31" i="7"/>
  <c r="R37" i="7"/>
  <c r="R39" i="7"/>
  <c r="P45" i="7"/>
  <c r="T46" i="7"/>
  <c r="T47" i="7"/>
  <c r="Y53" i="7"/>
  <c r="X47" i="7"/>
  <c r="BL72" i="7"/>
  <c r="BD44" i="7"/>
  <c r="AB47" i="7"/>
  <c r="T48" i="7"/>
  <c r="AE48" i="7"/>
  <c r="AB52" i="7"/>
  <c r="W56" i="7"/>
  <c r="Q56" i="7"/>
  <c r="N56" i="7"/>
  <c r="M56" i="7"/>
  <c r="AA56" i="7"/>
  <c r="AC69" i="7"/>
  <c r="M69" i="7"/>
  <c r="X69" i="7"/>
  <c r="W69" i="7"/>
  <c r="T69" i="7"/>
  <c r="Q69" i="7"/>
  <c r="P69" i="7"/>
  <c r="AE69" i="7"/>
  <c r="O69" i="7"/>
  <c r="R69" i="7"/>
  <c r="N69" i="7"/>
  <c r="BI47" i="7"/>
  <c r="BJ50" i="7"/>
  <c r="AD55" i="7"/>
  <c r="S56" i="7"/>
  <c r="BE56" i="7"/>
  <c r="BL69" i="7"/>
  <c r="BK69" i="7"/>
  <c r="BH69" i="7"/>
  <c r="BE69" i="7"/>
  <c r="BD69" i="7"/>
  <c r="BI56" i="7"/>
  <c r="BH60" i="7"/>
  <c r="BG60" i="7"/>
  <c r="U69" i="7"/>
  <c r="U66" i="7"/>
  <c r="X65" i="7"/>
  <c r="BJ66" i="7"/>
  <c r="BJ71" i="7"/>
  <c r="M65" i="7"/>
  <c r="BL66" i="7"/>
  <c r="AD6" i="7" l="1"/>
  <c r="R22" i="7"/>
  <c r="Z51" i="7"/>
  <c r="BI35" i="7"/>
  <c r="O6" i="7"/>
  <c r="Q6" i="7"/>
  <c r="BK60" i="7"/>
  <c r="N22" i="7"/>
  <c r="P20" i="7"/>
  <c r="BD20" i="7"/>
  <c r="AB22" i="7"/>
  <c r="AB11" i="7"/>
  <c r="R20" i="7"/>
  <c r="AC11" i="7"/>
  <c r="AB6" i="7"/>
  <c r="P15" i="7"/>
  <c r="BK48" i="7"/>
  <c r="P36" i="7"/>
  <c r="BK44" i="7"/>
  <c r="R36" i="7"/>
  <c r="BG20" i="7"/>
  <c r="Z24" i="7"/>
  <c r="BH36" i="7"/>
  <c r="M44" i="7"/>
  <c r="BF22" i="7"/>
  <c r="BI16" i="7"/>
  <c r="N6" i="7"/>
  <c r="Y69" i="7"/>
  <c r="BB70" i="7" s="1"/>
  <c r="BI69" i="7"/>
  <c r="BF36" i="7"/>
  <c r="P56" i="7"/>
  <c r="P60" i="7"/>
  <c r="BJ22" i="7"/>
  <c r="BJ20" i="7"/>
  <c r="U64" i="7"/>
  <c r="Y20" i="7"/>
  <c r="BE24" i="7"/>
  <c r="N11" i="7"/>
  <c r="M15" i="7"/>
  <c r="AD44" i="7"/>
  <c r="BH52" i="7"/>
  <c r="O44" i="7"/>
  <c r="BD40" i="7"/>
  <c r="W36" i="7"/>
  <c r="AF36" i="7" s="1"/>
  <c r="M24" i="7"/>
  <c r="M72" i="7"/>
  <c r="P24" i="7"/>
  <c r="P72" i="7"/>
  <c r="R44" i="7"/>
  <c r="BD35" i="7"/>
  <c r="N36" i="7"/>
  <c r="BG15" i="7"/>
  <c r="Z25" i="7"/>
  <c r="BF56" i="7"/>
  <c r="AE52" i="7"/>
  <c r="Z40" i="7"/>
  <c r="BI20" i="7"/>
  <c r="BH16" i="7"/>
  <c r="BH13" i="7"/>
  <c r="BH15" i="7"/>
  <c r="U24" i="7"/>
  <c r="BU24" i="7" s="1"/>
  <c r="AB25" i="7"/>
  <c r="BD11" i="7"/>
  <c r="BI15" i="7"/>
  <c r="AC15" i="7"/>
  <c r="Z15" i="7"/>
  <c r="N15" i="7"/>
  <c r="AA22" i="7"/>
  <c r="X15" i="7"/>
  <c r="BI27" i="7"/>
  <c r="BL44" i="7"/>
  <c r="W44" i="7"/>
  <c r="P16" i="7"/>
  <c r="AD27" i="7"/>
  <c r="O56" i="7"/>
  <c r="AC44" i="7"/>
  <c r="N72" i="7"/>
  <c r="BK22" i="7"/>
  <c r="R21" i="7"/>
  <c r="BL56" i="7"/>
  <c r="BU56" i="7" s="1"/>
  <c r="M21" i="7"/>
  <c r="T24" i="7"/>
  <c r="BD32" i="7"/>
  <c r="M16" i="7"/>
  <c r="AD36" i="7"/>
  <c r="AB18" i="7"/>
  <c r="BD66" i="7"/>
  <c r="BD56" i="7"/>
  <c r="BE52" i="7"/>
  <c r="BF35" i="7"/>
  <c r="AA40" i="7"/>
  <c r="AC32" i="7"/>
  <c r="Y16" i="7"/>
  <c r="BI36" i="7"/>
  <c r="T16" i="7"/>
  <c r="BI13" i="7"/>
  <c r="BJ15" i="7"/>
  <c r="X24" i="7"/>
  <c r="AB43" i="7"/>
  <c r="N13" i="7"/>
  <c r="BF69" i="7"/>
  <c r="P26" i="7"/>
  <c r="U44" i="7"/>
  <c r="BE4" i="7"/>
  <c r="Y56" i="7"/>
  <c r="M60" i="7"/>
  <c r="N44" i="7"/>
  <c r="BG69" i="7"/>
  <c r="N25" i="7"/>
  <c r="O25" i="7"/>
  <c r="X25" i="7"/>
  <c r="Q13" i="7"/>
  <c r="X52" i="7"/>
  <c r="AF52" i="7" s="1"/>
  <c r="Y6" i="7"/>
  <c r="P44" i="7"/>
  <c r="U27" i="7"/>
  <c r="W15" i="7"/>
  <c r="BI60" i="7"/>
  <c r="BL20" i="7"/>
  <c r="R35" i="7"/>
  <c r="U15" i="7"/>
  <c r="BU15" i="7" s="1"/>
  <c r="BJ43" i="7"/>
  <c r="W66" i="7"/>
  <c r="Y66" i="7"/>
  <c r="AB66" i="7"/>
  <c r="BG36" i="7"/>
  <c r="T27" i="7"/>
  <c r="O66" i="7"/>
  <c r="AC64" i="7"/>
  <c r="BG35" i="7"/>
  <c r="BF15" i="7"/>
  <c r="BJ69" i="7"/>
  <c r="AC36" i="7"/>
  <c r="BF5" i="7"/>
  <c r="M52" i="7"/>
  <c r="BG43" i="7"/>
  <c r="AE65" i="7"/>
  <c r="BL60" i="7"/>
  <c r="BD33" i="7"/>
  <c r="AD40" i="7"/>
  <c r="Q32" i="7"/>
  <c r="X36" i="7"/>
  <c r="BL13" i="7"/>
  <c r="BU13" i="7" s="1"/>
  <c r="BG11" i="7"/>
  <c r="BJ11" i="7"/>
  <c r="AE25" i="7"/>
  <c r="M43" i="7"/>
  <c r="R13" i="7"/>
  <c r="BJ44" i="7"/>
  <c r="AB44" i="7"/>
  <c r="BK6" i="7"/>
  <c r="AD15" i="7"/>
  <c r="Z6" i="7"/>
  <c r="BE6" i="7"/>
  <c r="BE44" i="7"/>
  <c r="M36" i="7"/>
  <c r="V36" i="7" s="1"/>
  <c r="BF6" i="7"/>
  <c r="Z11" i="7"/>
  <c r="BB4" i="7"/>
  <c r="AC59" i="7"/>
  <c r="Z27" i="7"/>
  <c r="BH22" i="7"/>
  <c r="AE27" i="7"/>
  <c r="BF11" i="7"/>
  <c r="BJ6" i="7"/>
  <c r="U6" i="7"/>
  <c r="S20" i="7"/>
  <c r="N16" i="7"/>
  <c r="X48" i="7"/>
  <c r="S36" i="7"/>
  <c r="M11" i="7"/>
  <c r="V11" i="7" s="1"/>
  <c r="BF27" i="7"/>
  <c r="R24" i="7"/>
  <c r="R27" i="7"/>
  <c r="R72" i="7"/>
  <c r="Z16" i="7"/>
  <c r="Z20" i="7"/>
  <c r="W72" i="7"/>
  <c r="U40" i="7"/>
  <c r="BE15" i="7"/>
  <c r="W11" i="7"/>
  <c r="AF11" i="7" s="1"/>
  <c r="BG56" i="7"/>
  <c r="BI21" i="7"/>
  <c r="W25" i="7"/>
  <c r="AC52" i="7"/>
  <c r="AC16" i="7"/>
  <c r="BK56" i="7"/>
  <c r="BE35" i="7"/>
  <c r="O65" i="7"/>
  <c r="BK35" i="7"/>
  <c r="BL32" i="7"/>
  <c r="R15" i="7"/>
  <c r="BK15" i="7"/>
  <c r="AC25" i="7"/>
  <c r="Q65" i="7"/>
  <c r="BF45" i="7"/>
  <c r="BL52" i="7"/>
  <c r="S40" i="7"/>
  <c r="Y27" i="7"/>
  <c r="BE40" i="7"/>
  <c r="U32" i="7"/>
  <c r="BD24" i="7"/>
  <c r="BL36" i="7"/>
  <c r="BU36" i="7" s="1"/>
  <c r="AA12" i="7"/>
  <c r="BB12" i="7" s="1"/>
  <c r="AC6" i="7"/>
  <c r="BK11" i="7"/>
  <c r="BK20" i="7"/>
  <c r="AE43" i="7"/>
  <c r="W13" i="7"/>
  <c r="BJ27" i="7"/>
  <c r="N35" i="7"/>
  <c r="AB15" i="7"/>
  <c r="BD22" i="7"/>
  <c r="W6" i="7"/>
  <c r="BG22" i="7"/>
  <c r="BF20" i="7"/>
  <c r="U22" i="7"/>
  <c r="P11" i="7"/>
  <c r="R6" i="7"/>
  <c r="X22" i="7"/>
  <c r="AB56" i="7"/>
  <c r="Z44" i="7"/>
  <c r="BD36" i="7"/>
  <c r="T20" i="7"/>
  <c r="AE24" i="7"/>
  <c r="Q11" i="7"/>
  <c r="X60" i="7"/>
  <c r="Q24" i="7"/>
  <c r="BI22" i="7"/>
  <c r="AA20" i="7"/>
  <c r="BH11" i="7"/>
  <c r="BK52" i="7"/>
  <c r="BD15" i="7"/>
  <c r="AE66" i="7"/>
  <c r="AE44" i="7"/>
  <c r="BK36" i="7"/>
  <c r="BJ56" i="7"/>
  <c r="X40" i="7"/>
  <c r="BK66" i="7"/>
  <c r="BJ13" i="7"/>
  <c r="X44" i="7"/>
  <c r="P52" i="7"/>
  <c r="T65" i="7"/>
  <c r="AB69" i="7"/>
  <c r="R52" i="7"/>
  <c r="BF26" i="7"/>
  <c r="BF40" i="7"/>
  <c r="O32" i="7"/>
  <c r="BG24" i="7"/>
  <c r="Y36" i="7"/>
  <c r="P6" i="7"/>
  <c r="M6" i="7"/>
  <c r="V6" i="7" s="1"/>
  <c r="BL11" i="7"/>
  <c r="BU11" i="7" s="1"/>
  <c r="BE18" i="7"/>
  <c r="BH6" i="7"/>
  <c r="BE13" i="7"/>
  <c r="BG44" i="7"/>
  <c r="U26" i="7"/>
  <c r="BD73" i="7"/>
  <c r="AA15" i="7"/>
  <c r="S6" i="7"/>
  <c r="S44" i="7"/>
  <c r="S22" i="7"/>
  <c r="Y22" i="7"/>
  <c r="Z22" i="7"/>
  <c r="O20" i="7"/>
  <c r="V20" i="7" s="1"/>
  <c r="Q20" i="7"/>
  <c r="AA11" i="7"/>
  <c r="BE20" i="7"/>
  <c r="O22" i="7"/>
  <c r="BG72" i="7"/>
  <c r="BE27" i="7"/>
  <c r="BJ16" i="7"/>
  <c r="W22" i="7"/>
  <c r="AF22" i="7" s="1"/>
  <c r="AD11" i="7"/>
  <c r="Q36" i="7"/>
  <c r="AE11" i="7"/>
  <c r="U60" i="7"/>
  <c r="U20" i="7"/>
  <c r="AE56" i="7"/>
  <c r="Z60" i="7"/>
  <c r="U16" i="7"/>
  <c r="W20" i="7"/>
  <c r="AF20" i="7" s="1"/>
  <c r="T36" i="7"/>
  <c r="BG52" i="7"/>
  <c r="BJ40" i="7"/>
  <c r="X64" i="7"/>
  <c r="AB24" i="7"/>
  <c r="O11" i="7"/>
  <c r="BL22" i="7"/>
  <c r="BH48" i="7"/>
  <c r="W40" i="7"/>
  <c r="O64" i="7"/>
  <c r="X11" i="7"/>
  <c r="P66" i="7"/>
  <c r="BG13" i="7"/>
  <c r="BF52" i="7"/>
  <c r="AB40" i="7"/>
  <c r="BJ36" i="7"/>
  <c r="X66" i="7"/>
  <c r="BE51" i="7"/>
  <c r="W65" i="7"/>
  <c r="AD69" i="7"/>
  <c r="W52" i="7"/>
  <c r="T33" i="7"/>
  <c r="R26" i="7"/>
  <c r="N40" i="7"/>
  <c r="BH24" i="7"/>
  <c r="Z36" i="7"/>
  <c r="BK24" i="7"/>
  <c r="Q22" i="7"/>
  <c r="AA6" i="7"/>
  <c r="AF6" i="7" s="1"/>
  <c r="BL6" i="7"/>
  <c r="BU6" i="7" s="1"/>
  <c r="T6" i="7"/>
  <c r="P13" i="7"/>
  <c r="BF49" i="7"/>
  <c r="T66" i="7"/>
  <c r="S21" i="7"/>
  <c r="BE22" i="7"/>
  <c r="BF57" i="7"/>
  <c r="BD62" i="7"/>
  <c r="U53" i="7"/>
  <c r="BD68" i="7"/>
  <c r="BD53" i="7"/>
  <c r="BE61" i="7"/>
  <c r="S62" i="7"/>
  <c r="BI68" i="7"/>
  <c r="BD59" i="7"/>
  <c r="R5" i="7"/>
  <c r="Y44" i="7"/>
  <c r="W35" i="7"/>
  <c r="T57" i="7"/>
  <c r="Z67" i="7"/>
  <c r="AE58" i="7"/>
  <c r="Z71" i="7"/>
  <c r="W67" i="7"/>
  <c r="BD63" i="7"/>
  <c r="AB7" i="7"/>
  <c r="Z61" i="7"/>
  <c r="BL63" i="7"/>
  <c r="P54" i="7"/>
  <c r="BH49" i="7"/>
  <c r="BG63" i="7"/>
  <c r="X68" i="7"/>
  <c r="AB50" i="7"/>
  <c r="R63" i="7"/>
  <c r="BD54" i="7"/>
  <c r="AE3" i="7"/>
  <c r="Y68" i="7"/>
  <c r="T50" i="7"/>
  <c r="S53" i="7"/>
  <c r="BF54" i="7"/>
  <c r="BD72" i="7"/>
  <c r="R49" i="7"/>
  <c r="Q51" i="7"/>
  <c r="BI45" i="7"/>
  <c r="R54" i="7"/>
  <c r="Z54" i="7"/>
  <c r="AB53" i="7"/>
  <c r="Q52" i="7"/>
  <c r="BG48" i="7"/>
  <c r="Q46" i="7"/>
  <c r="AC72" i="7"/>
  <c r="AE46" i="7"/>
  <c r="BH64" i="7"/>
  <c r="S34" i="7"/>
  <c r="BJ60" i="7"/>
  <c r="AC33" i="7"/>
  <c r="AB33" i="7"/>
  <c r="BI42" i="7"/>
  <c r="BI32" i="7"/>
  <c r="AC38" i="7"/>
  <c r="BE43" i="7"/>
  <c r="BG5" i="7"/>
  <c r="BJ37" i="7"/>
  <c r="X37" i="7"/>
  <c r="AD59" i="7"/>
  <c r="AB55" i="7"/>
  <c r="BI51" i="7"/>
  <c r="M51" i="7"/>
  <c r="BK42" i="7"/>
  <c r="O52" i="7"/>
  <c r="T52" i="7"/>
  <c r="BD46" i="7"/>
  <c r="S46" i="7"/>
  <c r="BF72" i="7"/>
  <c r="S63" i="7"/>
  <c r="Z45" i="7"/>
  <c r="BJ47" i="7"/>
  <c r="W33" i="7"/>
  <c r="O60" i="7"/>
  <c r="BI59" i="7"/>
  <c r="BK43" i="7"/>
  <c r="AE34" i="7"/>
  <c r="BE41" i="7"/>
  <c r="AE32" i="7"/>
  <c r="X32" i="7"/>
  <c r="W32" i="7"/>
  <c r="BJ38" i="7"/>
  <c r="R64" i="7"/>
  <c r="R43" i="7"/>
  <c r="S7" i="7"/>
  <c r="BD47" i="7"/>
  <c r="P37" i="7"/>
  <c r="Z50" i="7"/>
  <c r="Z73" i="7"/>
  <c r="AC55" i="7"/>
  <c r="P51" i="7"/>
  <c r="BF47" i="7"/>
  <c r="BJ52" i="7"/>
  <c r="M48" i="7"/>
  <c r="BK72" i="7"/>
  <c r="BI52" i="7"/>
  <c r="X72" i="7"/>
  <c r="X63" i="7"/>
  <c r="BL46" i="7"/>
  <c r="AE60" i="7"/>
  <c r="BJ34" i="7"/>
  <c r="BE32" i="7"/>
  <c r="Y38" i="7"/>
  <c r="M32" i="7"/>
  <c r="W64" i="7"/>
  <c r="N55" i="7"/>
  <c r="S52" i="7"/>
  <c r="W47" i="7"/>
  <c r="BL33" i="7"/>
  <c r="BF64" i="7"/>
  <c r="BG33" i="7"/>
  <c r="BD37" i="7"/>
  <c r="Y34" i="7"/>
  <c r="BK41" i="7"/>
  <c r="N32" i="7"/>
  <c r="Y32" i="7"/>
  <c r="BD38" i="7"/>
  <c r="W38" i="7"/>
  <c r="Z38" i="7"/>
  <c r="T64" i="7"/>
  <c r="M64" i="7"/>
  <c r="AE64" i="7"/>
  <c r="BJ32" i="7"/>
  <c r="S43" i="7"/>
  <c r="P43" i="7"/>
  <c r="AA52" i="7"/>
  <c r="AD49" i="7"/>
  <c r="T45" i="7"/>
  <c r="P47" i="7"/>
  <c r="Z47" i="7"/>
  <c r="Q33" i="7"/>
  <c r="BI64" i="7"/>
  <c r="T34" i="7"/>
  <c r="AD33" i="7"/>
  <c r="BL34" i="7"/>
  <c r="BE37" i="7"/>
  <c r="Z34" i="7"/>
  <c r="BF38" i="7"/>
  <c r="BK32" i="7"/>
  <c r="Z32" i="7"/>
  <c r="N38" i="7"/>
  <c r="AD38" i="7"/>
  <c r="AA38" i="7"/>
  <c r="AF38" i="7" s="1"/>
  <c r="AD64" i="7"/>
  <c r="N64" i="7"/>
  <c r="P64" i="7"/>
  <c r="BG32" i="7"/>
  <c r="X43" i="7"/>
  <c r="T43" i="7"/>
  <c r="BL47" i="7"/>
  <c r="Y37" i="7"/>
  <c r="Q41" i="7"/>
  <c r="P33" i="7"/>
  <c r="W48" i="7"/>
  <c r="U51" i="7"/>
  <c r="BI43" i="7"/>
  <c r="BF43" i="7"/>
  <c r="S47" i="7"/>
  <c r="R33" i="7"/>
  <c r="BG64" i="7"/>
  <c r="AE33" i="7"/>
  <c r="BE33" i="7"/>
  <c r="R34" i="7"/>
  <c r="P34" i="7"/>
  <c r="BF37" i="7"/>
  <c r="AB34" i="7"/>
  <c r="BF34" i="7"/>
  <c r="AA32" i="7"/>
  <c r="P32" i="7"/>
  <c r="AB32" i="7"/>
  <c r="BE38" i="7"/>
  <c r="U38" i="7"/>
  <c r="AB38" i="7"/>
  <c r="S64" i="7"/>
  <c r="Q64" i="7"/>
  <c r="P38" i="7"/>
  <c r="AA43" i="7"/>
  <c r="O43" i="7"/>
  <c r="BL45" i="7"/>
  <c r="BL37" i="7"/>
  <c r="AC37" i="7"/>
  <c r="R55" i="7"/>
  <c r="Y47" i="7"/>
  <c r="R47" i="7"/>
  <c r="BK64" i="7"/>
  <c r="BK33" i="7"/>
  <c r="M34" i="7"/>
  <c r="BI37" i="7"/>
  <c r="AD34" i="7"/>
  <c r="BF32" i="7"/>
  <c r="R32" i="7"/>
  <c r="R38" i="7"/>
  <c r="X38" i="7"/>
  <c r="O38" i="7"/>
  <c r="Z64" i="7"/>
  <c r="Y64" i="7"/>
  <c r="BH43" i="7"/>
  <c r="AD43" i="7"/>
  <c r="U43" i="7"/>
  <c r="BU43" i="7" s="1"/>
  <c r="T10" i="7"/>
  <c r="Q37" i="7"/>
  <c r="N37" i="7"/>
  <c r="BG47" i="7"/>
  <c r="Q47" i="7"/>
  <c r="U47" i="7"/>
  <c r="BU47" i="7" s="1"/>
  <c r="BT46" i="7" s="1"/>
  <c r="BS45" i="7" s="1"/>
  <c r="BR44" i="7" s="1"/>
  <c r="BE64" i="7"/>
  <c r="BD64" i="7"/>
  <c r="BK37" i="7"/>
  <c r="U33" i="7"/>
  <c r="BH32" i="7"/>
  <c r="S32" i="7"/>
  <c r="BH38" i="7"/>
  <c r="BL38" i="7"/>
  <c r="AE38" i="7"/>
  <c r="AA64" i="7"/>
  <c r="BD43" i="7"/>
  <c r="BL43" i="7"/>
  <c r="Z43" i="7"/>
  <c r="BG34" i="7"/>
  <c r="AD37" i="7"/>
  <c r="S37" i="7"/>
  <c r="N52" i="7"/>
  <c r="M37" i="7"/>
  <c r="Y33" i="7"/>
  <c r="O71" i="7"/>
  <c r="M67" i="7"/>
  <c r="BH4" i="7"/>
  <c r="R68" i="7"/>
  <c r="Q50" i="7"/>
  <c r="BG49" i="7"/>
  <c r="W53" i="7"/>
  <c r="AC67" i="7"/>
  <c r="U63" i="7"/>
  <c r="Z63" i="7"/>
  <c r="T3" i="7"/>
  <c r="AC3" i="7"/>
  <c r="T5" i="7"/>
  <c r="AA58" i="7"/>
  <c r="BL67" i="7"/>
  <c r="BF71" i="7"/>
  <c r="AB58" i="7"/>
  <c r="BG67" i="7"/>
  <c r="AE57" i="7"/>
  <c r="S71" i="7"/>
  <c r="BH63" i="7"/>
  <c r="BE60" i="7"/>
  <c r="U54" i="7"/>
  <c r="BU54" i="7" s="1"/>
  <c r="BD61" i="7"/>
  <c r="Z59" i="7"/>
  <c r="W59" i="7"/>
  <c r="R50" i="7"/>
  <c r="AD68" i="7"/>
  <c r="BG61" i="7"/>
  <c r="U55" i="7"/>
  <c r="M54" i="7"/>
  <c r="P49" i="7"/>
  <c r="BL62" i="7"/>
  <c r="AA55" i="7"/>
  <c r="AB51" i="7"/>
  <c r="BH55" i="7"/>
  <c r="M49" i="7"/>
  <c r="S61" i="7"/>
  <c r="W61" i="7"/>
  <c r="BH50" i="7"/>
  <c r="P53" i="7"/>
  <c r="Z53" i="7"/>
  <c r="R48" i="7"/>
  <c r="Y45" i="7"/>
  <c r="BF48" i="7"/>
  <c r="S67" i="7"/>
  <c r="Q67" i="7"/>
  <c r="R41" i="7"/>
  <c r="U72" i="7"/>
  <c r="BU72" i="7" s="1"/>
  <c r="AA72" i="7"/>
  <c r="M63" i="7"/>
  <c r="T63" i="7"/>
  <c r="Z62" i="7"/>
  <c r="O62" i="7"/>
  <c r="BJ45" i="7"/>
  <c r="BK68" i="7"/>
  <c r="N46" i="7"/>
  <c r="Q60" i="7"/>
  <c r="Y60" i="7"/>
  <c r="M42" i="7"/>
  <c r="BH41" i="7"/>
  <c r="BI54" i="7"/>
  <c r="BG12" i="7"/>
  <c r="U3" i="7"/>
  <c r="BE3" i="7"/>
  <c r="R4" i="7"/>
  <c r="AD12" i="7"/>
  <c r="Y5" i="7"/>
  <c r="Q7" i="7"/>
  <c r="BI55" i="7"/>
  <c r="BF58" i="7"/>
  <c r="BF53" i="7"/>
  <c r="U71" i="7"/>
  <c r="AC41" i="7"/>
  <c r="BI67" i="7"/>
  <c r="AB71" i="7"/>
  <c r="BL4" i="7"/>
  <c r="BF12" i="7"/>
  <c r="P12" i="7"/>
  <c r="BL58" i="7"/>
  <c r="AE71" i="7"/>
  <c r="BK61" i="7"/>
  <c r="S54" i="7"/>
  <c r="O61" i="7"/>
  <c r="BF63" i="7"/>
  <c r="BJ59" i="7"/>
  <c r="BH12" i="7"/>
  <c r="BH7" i="7"/>
  <c r="M71" i="7"/>
  <c r="BG71" i="7"/>
  <c r="O58" i="7"/>
  <c r="Q57" i="7"/>
  <c r="Y71" i="7"/>
  <c r="BK63" i="7"/>
  <c r="BF60" i="7"/>
  <c r="BF61" i="7"/>
  <c r="AB59" i="7"/>
  <c r="X59" i="7"/>
  <c r="BK49" i="7"/>
  <c r="W68" i="7"/>
  <c r="BD57" i="7"/>
  <c r="Z55" i="7"/>
  <c r="BJ51" i="7"/>
  <c r="BF62" i="7"/>
  <c r="BI48" i="7"/>
  <c r="BK62" i="7"/>
  <c r="AB54" i="7"/>
  <c r="BG50" i="7"/>
  <c r="X55" i="7"/>
  <c r="BE48" i="7"/>
  <c r="Y61" i="7"/>
  <c r="X61" i="7"/>
  <c r="S55" i="7"/>
  <c r="AA49" i="7"/>
  <c r="Q53" i="7"/>
  <c r="AA53" i="7"/>
  <c r="AA48" i="7"/>
  <c r="AB48" i="7"/>
  <c r="O41" i="7"/>
  <c r="Y48" i="7"/>
  <c r="U67" i="7"/>
  <c r="T67" i="7"/>
  <c r="BD48" i="7"/>
  <c r="U41" i="7"/>
  <c r="BE72" i="7"/>
  <c r="AB72" i="7"/>
  <c r="P46" i="7"/>
  <c r="P63" i="7"/>
  <c r="W63" i="7"/>
  <c r="Q62" i="7"/>
  <c r="AE62" i="7"/>
  <c r="W45" i="7"/>
  <c r="BL68" i="7"/>
  <c r="AD46" i="7"/>
  <c r="R60" i="7"/>
  <c r="AB60" i="7"/>
  <c r="BG42" i="7"/>
  <c r="AC42" i="7"/>
  <c r="S42" i="7"/>
  <c r="BI41" i="7"/>
  <c r="BL54" i="7"/>
  <c r="BK12" i="7"/>
  <c r="Q3" i="7"/>
  <c r="O3" i="7"/>
  <c r="V3" i="7" s="1"/>
  <c r="O12" i="7"/>
  <c r="AA5" i="7"/>
  <c r="Z7" i="7"/>
  <c r="R7" i="7"/>
  <c r="BE45" i="7"/>
  <c r="BD51" i="7"/>
  <c r="BL48" i="7"/>
  <c r="BU48" i="7" s="1"/>
  <c r="N71" i="7"/>
  <c r="N51" i="7"/>
  <c r="M53" i="7"/>
  <c r="AB45" i="7"/>
  <c r="T62" i="7"/>
  <c r="BK58" i="7"/>
  <c r="BI63" i="7"/>
  <c r="BH61" i="7"/>
  <c r="BJ57" i="7"/>
  <c r="X67" i="7"/>
  <c r="AB68" i="7"/>
  <c r="BG54" i="7"/>
  <c r="AC5" i="7"/>
  <c r="BE67" i="7"/>
  <c r="M57" i="7"/>
  <c r="BJ58" i="7"/>
  <c r="BD58" i="7"/>
  <c r="BK55" i="7"/>
  <c r="BD67" i="7"/>
  <c r="U58" i="7"/>
  <c r="BD60" i="7"/>
  <c r="BL61" i="7"/>
  <c r="AE59" i="7"/>
  <c r="BK51" i="7"/>
  <c r="S68" i="7"/>
  <c r="O68" i="7"/>
  <c r="BH57" i="7"/>
  <c r="O55" i="7"/>
  <c r="BJ49" i="7"/>
  <c r="BI50" i="7"/>
  <c r="T54" i="7"/>
  <c r="T49" i="7"/>
  <c r="BE50" i="7"/>
  <c r="BJ67" i="7"/>
  <c r="AE61" i="7"/>
  <c r="AA51" i="7"/>
  <c r="BF68" i="7"/>
  <c r="AC53" i="7"/>
  <c r="P48" i="7"/>
  <c r="BG46" i="7"/>
  <c r="BJ62" i="7"/>
  <c r="P67" i="7"/>
  <c r="AD67" i="7"/>
  <c r="BI62" i="7"/>
  <c r="N45" i="7"/>
  <c r="AD72" i="7"/>
  <c r="BI72" i="7"/>
  <c r="S72" i="7"/>
  <c r="N63" i="7"/>
  <c r="O63" i="7"/>
  <c r="M62" i="7"/>
  <c r="W62" i="7"/>
  <c r="AE45" i="7"/>
  <c r="W46" i="7"/>
  <c r="BE42" i="7"/>
  <c r="T60" i="7"/>
  <c r="AA60" i="7"/>
  <c r="BE59" i="7"/>
  <c r="P42" i="7"/>
  <c r="BL41" i="7"/>
  <c r="Y12" i="7"/>
  <c r="U12" i="7"/>
  <c r="BU12" i="7" s="1"/>
  <c r="BT11" i="7" s="1"/>
  <c r="BS10" i="7" s="1"/>
  <c r="BG3" i="7"/>
  <c r="S12" i="7"/>
  <c r="AB3" i="7"/>
  <c r="BI5" i="7"/>
  <c r="O5" i="7"/>
  <c r="X7" i="7"/>
  <c r="U7" i="7"/>
  <c r="BU7" i="7" s="1"/>
  <c r="BT6" i="7" s="1"/>
  <c r="BL55" i="7"/>
  <c r="BJ53" i="7"/>
  <c r="BD42" i="7"/>
  <c r="Z41" i="7"/>
  <c r="AD48" i="7"/>
  <c r="M68" i="7"/>
  <c r="AB61" i="7"/>
  <c r="P58" i="7"/>
  <c r="AA61" i="7"/>
  <c r="AB67" i="7"/>
  <c r="AC4" i="7"/>
  <c r="BG7" i="7"/>
  <c r="O59" i="7"/>
  <c r="BE57" i="7"/>
  <c r="BI53" i="7"/>
  <c r="BH67" i="7"/>
  <c r="BE55" i="7"/>
  <c r="W58" i="7"/>
  <c r="BD55" i="7"/>
  <c r="Q71" i="7"/>
  <c r="BH72" i="7"/>
  <c r="BH62" i="7"/>
  <c r="S59" i="7"/>
  <c r="Q59" i="7"/>
  <c r="R51" i="7"/>
  <c r="AA68" i="7"/>
  <c r="AE68" i="7"/>
  <c r="BK57" i="7"/>
  <c r="AE55" i="7"/>
  <c r="Q49" i="7"/>
  <c r="P50" i="7"/>
  <c r="U68" i="7"/>
  <c r="BG51" i="7"/>
  <c r="AB49" i="7"/>
  <c r="M50" i="7"/>
  <c r="M61" i="7"/>
  <c r="Q61" i="7"/>
  <c r="BH51" i="7"/>
  <c r="N53" i="7"/>
  <c r="BE53" i="7"/>
  <c r="Q48" i="7"/>
  <c r="Y46" i="7"/>
  <c r="U46" i="7"/>
  <c r="X53" i="7"/>
  <c r="M41" i="7"/>
  <c r="R67" i="7"/>
  <c r="O67" i="7"/>
  <c r="BL53" i="7"/>
  <c r="BF42" i="7"/>
  <c r="AE72" i="7"/>
  <c r="Z72" i="7"/>
  <c r="T72" i="7"/>
  <c r="AA63" i="7"/>
  <c r="AE63" i="7"/>
  <c r="BG62" i="7"/>
  <c r="Y62" i="7"/>
  <c r="R45" i="7"/>
  <c r="BG68" i="7"/>
  <c r="Z46" i="7"/>
  <c r="S60" i="7"/>
  <c r="AC60" i="7"/>
  <c r="BH59" i="7"/>
  <c r="T42" i="7"/>
  <c r="BD41" i="7"/>
  <c r="BI12" i="7"/>
  <c r="BI4" i="7"/>
  <c r="S3" i="7"/>
  <c r="R12" i="7"/>
  <c r="BD4" i="7"/>
  <c r="M12" i="7"/>
  <c r="S5" i="7"/>
  <c r="P5" i="7"/>
  <c r="AE7" i="7"/>
  <c r="BJ7" i="7"/>
  <c r="BE5" i="7"/>
  <c r="S51" i="7"/>
  <c r="N48" i="7"/>
  <c r="N41" i="7"/>
  <c r="AC61" i="7"/>
  <c r="W57" i="7"/>
  <c r="N7" i="7"/>
  <c r="X57" i="7"/>
  <c r="N54" i="7"/>
  <c r="N67" i="7"/>
  <c r="U62" i="7"/>
  <c r="BU62" i="7" s="1"/>
  <c r="BU60" i="7"/>
  <c r="X3" i="7"/>
  <c r="BJ3" i="7"/>
  <c r="AB4" i="7"/>
  <c r="AD7" i="7"/>
  <c r="BK67" i="7"/>
  <c r="BE71" i="7"/>
  <c r="Y58" i="7"/>
  <c r="O57" i="7"/>
  <c r="R71" i="7"/>
  <c r="BE63" i="7"/>
  <c r="P61" i="7"/>
  <c r="M55" i="7"/>
  <c r="BI61" i="7"/>
  <c r="U59" i="7"/>
  <c r="T59" i="7"/>
  <c r="BK50" i="7"/>
  <c r="AC68" i="7"/>
  <c r="P68" i="7"/>
  <c r="BL57" i="7"/>
  <c r="W55" i="7"/>
  <c r="BI49" i="7"/>
  <c r="BE62" i="7"/>
  <c r="BJ55" i="7"/>
  <c r="T51" i="7"/>
  <c r="Q68" i="7"/>
  <c r="BE49" i="7"/>
  <c r="N61" i="7"/>
  <c r="T61" i="7"/>
  <c r="AA50" i="7"/>
  <c r="BK53" i="7"/>
  <c r="T53" i="7"/>
  <c r="BJ48" i="7"/>
  <c r="BD45" i="7"/>
  <c r="S45" i="7"/>
  <c r="AA67" i="7"/>
  <c r="AE67" i="7"/>
  <c r="R53" i="7"/>
  <c r="AE41" i="7"/>
  <c r="Q72" i="7"/>
  <c r="BJ72" i="7"/>
  <c r="Y72" i="7"/>
  <c r="AD63" i="7"/>
  <c r="Q63" i="7"/>
  <c r="N62" i="7"/>
  <c r="AB62" i="7"/>
  <c r="U45" i="7"/>
  <c r="BJ68" i="7"/>
  <c r="AC46" i="7"/>
  <c r="AD60" i="7"/>
  <c r="W60" i="7"/>
  <c r="BK59" i="7"/>
  <c r="Z42" i="7"/>
  <c r="BG41" i="7"/>
  <c r="Z12" i="7"/>
  <c r="BI3" i="7"/>
  <c r="BF3" i="7"/>
  <c r="BF4" i="7"/>
  <c r="P3" i="7"/>
  <c r="N12" i="7"/>
  <c r="X5" i="7"/>
  <c r="Q5" i="7"/>
  <c r="P7" i="7"/>
  <c r="BJ46" i="7"/>
  <c r="BJ63" i="7"/>
  <c r="BH42" i="7"/>
  <c r="S48" i="7"/>
  <c r="Y41" i="7"/>
  <c r="BL51" i="7"/>
  <c r="Y51" i="7"/>
  <c r="M46" i="7"/>
  <c r="BG59" i="7"/>
  <c r="Y42" i="7"/>
  <c r="W42" i="7"/>
  <c r="R42" i="7"/>
  <c r="BJ41" i="7"/>
  <c r="AB30" i="7"/>
  <c r="T30" i="7"/>
  <c r="BJ24" i="7"/>
  <c r="BL21" i="7"/>
  <c r="BE54" i="7"/>
  <c r="BL30" i="7"/>
  <c r="X4" i="7"/>
  <c r="X12" i="7"/>
  <c r="N24" i="7"/>
  <c r="S24" i="7"/>
  <c r="S4" i="7"/>
  <c r="R25" i="7"/>
  <c r="BL25" i="7"/>
  <c r="BU25" i="7" s="1"/>
  <c r="AA25" i="7"/>
  <c r="AA19" i="7"/>
  <c r="U29" i="7"/>
  <c r="P4" i="7"/>
  <c r="AC43" i="7"/>
  <c r="Q43" i="7"/>
  <c r="BE12" i="7"/>
  <c r="AB12" i="7"/>
  <c r="BH5" i="7"/>
  <c r="T8" i="7"/>
  <c r="BJ5" i="7"/>
  <c r="N5" i="7"/>
  <c r="AC7" i="7"/>
  <c r="BE7" i="7"/>
  <c r="BK7" i="7"/>
  <c r="BJ10" i="7"/>
  <c r="BF55" i="7"/>
  <c r="BI44" i="7"/>
  <c r="BG53" i="7"/>
  <c r="BG45" i="7"/>
  <c r="AC51" i="7"/>
  <c r="AB37" i="7"/>
  <c r="Y52" i="7"/>
  <c r="U52" i="7"/>
  <c r="P55" i="7"/>
  <c r="BD52" i="7"/>
  <c r="Y21" i="7"/>
  <c r="X50" i="7"/>
  <c r="AC47" i="7"/>
  <c r="S39" i="7"/>
  <c r="W21" i="7"/>
  <c r="AD71" i="7"/>
  <c r="AA41" i="7"/>
  <c r="BI10" i="7"/>
  <c r="AA34" i="7"/>
  <c r="P19" i="7"/>
  <c r="BG29" i="7"/>
  <c r="BJ9" i="7"/>
  <c r="BK8" i="7"/>
  <c r="AB29" i="7"/>
  <c r="M8" i="7"/>
  <c r="AE9" i="7"/>
  <c r="BK28" i="7"/>
  <c r="X9" i="7"/>
  <c r="BI73" i="7"/>
  <c r="X28" i="7"/>
  <c r="BG23" i="7"/>
  <c r="BE46" i="7"/>
  <c r="AB46" i="7"/>
  <c r="W51" i="7"/>
  <c r="U14" i="7"/>
  <c r="P28" i="7"/>
  <c r="T14" i="7"/>
  <c r="M23" i="7"/>
  <c r="BK46" i="7"/>
  <c r="R46" i="7"/>
  <c r="BH35" i="7"/>
  <c r="BF59" i="7"/>
  <c r="BL59" i="7"/>
  <c r="Q42" i="7"/>
  <c r="O42" i="7"/>
  <c r="BJ23" i="7"/>
  <c r="BF41" i="7"/>
  <c r="X30" i="7"/>
  <c r="Q30" i="7"/>
  <c r="BL28" i="7"/>
  <c r="BK30" i="7"/>
  <c r="BD5" i="7"/>
  <c r="O14" i="7"/>
  <c r="W12" i="7"/>
  <c r="AF12" i="7" s="1"/>
  <c r="AA24" i="7"/>
  <c r="AC24" i="7"/>
  <c r="BD12" i="7"/>
  <c r="BH3" i="7"/>
  <c r="Q25" i="7"/>
  <c r="BJ25" i="7"/>
  <c r="BK25" i="7"/>
  <c r="W24" i="7"/>
  <c r="Y43" i="7"/>
  <c r="N43" i="7"/>
  <c r="BL10" i="7"/>
  <c r="W5" i="7"/>
  <c r="M5" i="7"/>
  <c r="AA7" i="7"/>
  <c r="BL7" i="7"/>
  <c r="BI7" i="7"/>
  <c r="BD71" i="7"/>
  <c r="BE34" i="7"/>
  <c r="BL26" i="7"/>
  <c r="BU26" i="7" s="1"/>
  <c r="BK26" i="7"/>
  <c r="BH47" i="7"/>
  <c r="W4" i="7"/>
  <c r="W71" i="7"/>
  <c r="Z37" i="7"/>
  <c r="U61" i="7"/>
  <c r="BK71" i="7"/>
  <c r="AA45" i="7"/>
  <c r="AA42" i="7"/>
  <c r="AC48" i="7"/>
  <c r="N39" i="7"/>
  <c r="Z58" i="7"/>
  <c r="U34" i="7"/>
  <c r="X41" i="7"/>
  <c r="N21" i="7"/>
  <c r="Q21" i="7"/>
  <c r="Q45" i="7"/>
  <c r="BJ73" i="7"/>
  <c r="BU66" i="7"/>
  <c r="BT65" i="7" s="1"/>
  <c r="M73" i="7"/>
  <c r="BE29" i="7"/>
  <c r="BE23" i="7"/>
  <c r="BK23" i="7"/>
  <c r="BI23" i="7"/>
  <c r="BD28" i="7"/>
  <c r="BK54" i="7"/>
  <c r="BL3" i="7"/>
  <c r="T22" i="7"/>
  <c r="AE22" i="7"/>
  <c r="Y28" i="7"/>
  <c r="Q28" i="7"/>
  <c r="W14" i="7"/>
  <c r="AE14" i="7"/>
  <c r="AA17" i="7"/>
  <c r="P17" i="7"/>
  <c r="P23" i="7"/>
  <c r="W23" i="7"/>
  <c r="AF23" i="7" s="1"/>
  <c r="AC23" i="7"/>
  <c r="T4" i="7"/>
  <c r="BJ18" i="7"/>
  <c r="BG4" i="7"/>
  <c r="AB19" i="7"/>
  <c r="R19" i="7"/>
  <c r="AA29" i="7"/>
  <c r="T29" i="7"/>
  <c r="BD3" i="7"/>
  <c r="BE17" i="7"/>
  <c r="W18" i="7"/>
  <c r="AC12" i="7"/>
  <c r="BE8" i="7"/>
  <c r="BH8" i="7"/>
  <c r="X8" i="7"/>
  <c r="AC8" i="7"/>
  <c r="BK5" i="7"/>
  <c r="AB5" i="7"/>
  <c r="AE5" i="7"/>
  <c r="M7" i="7"/>
  <c r="BD7" i="7"/>
  <c r="T7" i="7"/>
  <c r="O13" i="7"/>
  <c r="AB13" i="7"/>
  <c r="X13" i="7"/>
  <c r="AA10" i="7"/>
  <c r="Q10" i="7"/>
  <c r="Z9" i="7"/>
  <c r="O9" i="7"/>
  <c r="Y9" i="7"/>
  <c r="BG55" i="7"/>
  <c r="BF51" i="7"/>
  <c r="BG16" i="7"/>
  <c r="BG58" i="7"/>
  <c r="BL42" i="7"/>
  <c r="BU42" i="7" s="1"/>
  <c r="BI46" i="7"/>
  <c r="BH73" i="7"/>
  <c r="BH45" i="7"/>
  <c r="W31" i="7"/>
  <c r="X46" i="7"/>
  <c r="AB63" i="7"/>
  <c r="Y63" i="7"/>
  <c r="P31" i="7"/>
  <c r="Q55" i="7"/>
  <c r="AC50" i="7"/>
  <c r="O48" i="7"/>
  <c r="T41" i="7"/>
  <c r="AD53" i="7"/>
  <c r="M45" i="7"/>
  <c r="X73" i="7"/>
  <c r="BE73" i="7"/>
  <c r="BF19" i="7"/>
  <c r="BJ28" i="7"/>
  <c r="BE28" i="7"/>
  <c r="BH10" i="7"/>
  <c r="AA28" i="7"/>
  <c r="R28" i="7"/>
  <c r="BF10" i="7"/>
  <c r="BK14" i="7"/>
  <c r="P14" i="7"/>
  <c r="BE10" i="7"/>
  <c r="Q23" i="7"/>
  <c r="BH23" i="7"/>
  <c r="N23" i="7"/>
  <c r="M19" i="7"/>
  <c r="S19" i="7"/>
  <c r="M29" i="7"/>
  <c r="AD29" i="7"/>
  <c r="BH29" i="7"/>
  <c r="BL23" i="7"/>
  <c r="U8" i="7"/>
  <c r="S8" i="7"/>
  <c r="N8" i="7"/>
  <c r="AB10" i="7"/>
  <c r="BG10" i="7"/>
  <c r="AA9" i="7"/>
  <c r="P9" i="7"/>
  <c r="U9" i="7"/>
  <c r="BL19" i="7"/>
  <c r="BE19" i="7"/>
  <c r="AA73" i="7"/>
  <c r="BL29" i="7"/>
  <c r="AB73" i="7"/>
  <c r="BG19" i="7"/>
  <c r="BF28" i="7"/>
  <c r="BH19" i="7"/>
  <c r="BL9" i="7"/>
  <c r="M28" i="7"/>
  <c r="AB28" i="7"/>
  <c r="T28" i="7"/>
  <c r="BI9" i="7"/>
  <c r="Z14" i="7"/>
  <c r="BD14" i="7"/>
  <c r="BH9" i="7"/>
  <c r="S23" i="7"/>
  <c r="X23" i="7"/>
  <c r="AD23" i="7"/>
  <c r="AC19" i="7"/>
  <c r="BF29" i="7"/>
  <c r="AE29" i="7"/>
  <c r="BJ29" i="7"/>
  <c r="O8" i="7"/>
  <c r="BI8" i="7"/>
  <c r="Y8" i="7"/>
  <c r="AD8" i="7"/>
  <c r="BK10" i="7"/>
  <c r="AC10" i="7"/>
  <c r="X10" i="7"/>
  <c r="AB9" i="7"/>
  <c r="Q9" i="7"/>
  <c r="W9" i="7"/>
  <c r="BL73" i="7"/>
  <c r="BU73" i="7" s="1"/>
  <c r="BT72" i="7" s="1"/>
  <c r="T73" i="7"/>
  <c r="T19" i="7"/>
  <c r="Q19" i="7"/>
  <c r="BL14" i="7"/>
  <c r="BK73" i="7"/>
  <c r="AC73" i="7"/>
  <c r="BS73" i="7" s="1"/>
  <c r="N73" i="7"/>
  <c r="AD73" i="7"/>
  <c r="BI28" i="7"/>
  <c r="BH28" i="7"/>
  <c r="S28" i="7"/>
  <c r="N28" i="7"/>
  <c r="AA14" i="7"/>
  <c r="BD23" i="7"/>
  <c r="Z23" i="7"/>
  <c r="O23" i="7"/>
  <c r="BH14" i="7"/>
  <c r="BJ19" i="7"/>
  <c r="N19" i="7"/>
  <c r="N29" i="7"/>
  <c r="P29" i="7"/>
  <c r="W29" i="7"/>
  <c r="P8" i="7"/>
  <c r="BG8" i="7"/>
  <c r="Z8" i="7"/>
  <c r="BL8" i="7"/>
  <c r="U10" i="7"/>
  <c r="M10" i="7"/>
  <c r="R10" i="7"/>
  <c r="AC9" i="7"/>
  <c r="R9" i="7"/>
  <c r="BE14" i="7"/>
  <c r="Y73" i="7"/>
  <c r="S73" i="7"/>
  <c r="BI14" i="7"/>
  <c r="U28" i="7"/>
  <c r="AD28" i="7"/>
  <c r="BF14" i="7"/>
  <c r="AB14" i="7"/>
  <c r="T23" i="7"/>
  <c r="AA23" i="7"/>
  <c r="AE23" i="7"/>
  <c r="BD10" i="7"/>
  <c r="BE9" i="7"/>
  <c r="W19" i="7"/>
  <c r="AD19" i="7"/>
  <c r="BD9" i="7"/>
  <c r="BI29" i="7"/>
  <c r="BD29" i="7"/>
  <c r="X29" i="7"/>
  <c r="AD14" i="7"/>
  <c r="Q8" i="7"/>
  <c r="BJ8" i="7"/>
  <c r="BD8" i="7"/>
  <c r="W10" i="7"/>
  <c r="AE10" i="7"/>
  <c r="S10" i="7"/>
  <c r="M9" i="7"/>
  <c r="S9" i="7"/>
  <c r="BH71" i="7"/>
  <c r="BI71" i="7"/>
  <c r="BD50" i="7"/>
  <c r="BD49" i="7"/>
  <c r="BL31" i="7"/>
  <c r="AC54" i="7"/>
  <c r="X51" i="7"/>
  <c r="AA3" i="7"/>
  <c r="S31" i="7"/>
  <c r="O51" i="7"/>
  <c r="BL50" i="7"/>
  <c r="Z48" i="7"/>
  <c r="AA62" i="7"/>
  <c r="AB16" i="7"/>
  <c r="AB41" i="7"/>
  <c r="AD51" i="7"/>
  <c r="U19" i="7"/>
  <c r="BG73" i="7"/>
  <c r="BF73" i="7"/>
  <c r="U73" i="7"/>
  <c r="BK29" i="7"/>
  <c r="BD19" i="7"/>
  <c r="BU38" i="7"/>
  <c r="BJ54" i="7"/>
  <c r="BH54" i="7"/>
  <c r="BK19" i="7"/>
  <c r="S14" i="7"/>
  <c r="P22" i="7"/>
  <c r="AC22" i="7"/>
  <c r="BG14" i="7"/>
  <c r="Z28" i="7"/>
  <c r="O28" i="7"/>
  <c r="Q14" i="7"/>
  <c r="BJ4" i="7"/>
  <c r="M14" i="7"/>
  <c r="M18" i="7"/>
  <c r="AD17" i="7"/>
  <c r="N14" i="7"/>
  <c r="U4" i="7"/>
  <c r="BU4" i="7" s="1"/>
  <c r="BF23" i="7"/>
  <c r="Y23" i="7"/>
  <c r="M22" i="7"/>
  <c r="BG9" i="7"/>
  <c r="BG18" i="7"/>
  <c r="T12" i="7"/>
  <c r="R3" i="7"/>
  <c r="Y19" i="7"/>
  <c r="O19" i="7"/>
  <c r="O29" i="7"/>
  <c r="Q29" i="7"/>
  <c r="Y29" i="7"/>
  <c r="BL5" i="7"/>
  <c r="AE4" i="7"/>
  <c r="S18" i="7"/>
  <c r="BJ12" i="7"/>
  <c r="Q12" i="7"/>
  <c r="R8" i="7"/>
  <c r="AE8" i="7"/>
  <c r="AA8" i="7"/>
  <c r="U5" i="7"/>
  <c r="Z5" i="7"/>
  <c r="Y7" i="7"/>
  <c r="O7" i="7"/>
  <c r="BF7" i="7"/>
  <c r="Z13" i="7"/>
  <c r="AF13" i="7" s="1"/>
  <c r="Y10" i="7"/>
  <c r="O10" i="7"/>
  <c r="N10" i="7"/>
  <c r="AD9" i="7"/>
  <c r="T9" i="7"/>
  <c r="BH46" i="7"/>
  <c r="BI19" i="7"/>
  <c r="BK45" i="7"/>
  <c r="R73" i="7"/>
  <c r="Q31" i="7"/>
  <c r="S41" i="7"/>
  <c r="W37" i="7"/>
  <c r="P41" i="7"/>
  <c r="AC45" i="7"/>
  <c r="O37" i="7"/>
  <c r="P73" i="7"/>
  <c r="AD45" i="7"/>
  <c r="X19" i="7"/>
  <c r="W73" i="7"/>
  <c r="BG28" i="7"/>
  <c r="BJ14" i="7"/>
  <c r="R14" i="7"/>
  <c r="AC28" i="7"/>
  <c r="AE28" i="7"/>
  <c r="AC14" i="7"/>
  <c r="U23" i="7"/>
  <c r="AB23" i="7"/>
  <c r="BF9" i="7"/>
  <c r="Z19" i="7"/>
  <c r="R29" i="7"/>
  <c r="S29" i="7"/>
  <c r="Z29" i="7"/>
  <c r="Y14" i="7"/>
  <c r="BF8" i="7"/>
  <c r="W8" i="7"/>
  <c r="Z10" i="7"/>
  <c r="P10" i="7"/>
  <c r="N9" i="7"/>
  <c r="Q73" i="7"/>
  <c r="O73" i="7"/>
  <c r="BG2" i="7"/>
  <c r="Q2" i="7"/>
  <c r="BH34" i="7"/>
  <c r="BH58" i="7"/>
  <c r="BD34" i="7"/>
  <c r="BE47" i="7"/>
  <c r="BL71" i="7"/>
  <c r="AE26" i="7"/>
  <c r="S69" i="7"/>
  <c r="V69" i="7" s="1"/>
  <c r="AA37" i="7"/>
  <c r="T71" i="7"/>
  <c r="Q27" i="7"/>
  <c r="M31" i="7"/>
  <c r="S65" i="7"/>
  <c r="Q26" i="7"/>
  <c r="S16" i="7"/>
  <c r="Q16" i="7"/>
  <c r="M26" i="7"/>
  <c r="BJ26" i="7"/>
  <c r="N47" i="7"/>
  <c r="AA39" i="7"/>
  <c r="T44" i="7"/>
  <c r="M58" i="7"/>
  <c r="T15" i="7"/>
  <c r="AA31" i="7"/>
  <c r="M66" i="7"/>
  <c r="Q15" i="7"/>
  <c r="BU40" i="7"/>
  <c r="BT39" i="7" s="1"/>
  <c r="S58" i="7"/>
  <c r="Z66" i="7"/>
  <c r="BU33" i="7"/>
  <c r="BU18" i="7"/>
  <c r="BI33" i="7"/>
  <c r="BD6" i="7"/>
  <c r="AA54" i="7"/>
  <c r="X33" i="7"/>
  <c r="Q66" i="7"/>
  <c r="N66" i="7"/>
  <c r="AA47" i="7"/>
  <c r="AE15" i="7"/>
  <c r="T32" i="7"/>
  <c r="X34" i="7"/>
  <c r="AA2" i="7"/>
  <c r="AF2" i="7" s="1"/>
  <c r="P2" i="7"/>
  <c r="U2" i="7"/>
  <c r="BU2" i="7" s="1"/>
  <c r="BH56" i="7"/>
  <c r="BK34" i="7"/>
  <c r="BE58" i="7"/>
  <c r="BF66" i="7"/>
  <c r="Y35" i="7"/>
  <c r="AC26" i="7"/>
  <c r="N34" i="7"/>
  <c r="P59" i="7"/>
  <c r="S27" i="7"/>
  <c r="BI58" i="7"/>
  <c r="R61" i="7"/>
  <c r="O27" i="7"/>
  <c r="P65" i="7"/>
  <c r="O26" i="7"/>
  <c r="AD31" i="7"/>
  <c r="BK47" i="7"/>
  <c r="O50" i="7"/>
  <c r="Y39" i="7"/>
  <c r="P39" i="7"/>
  <c r="X58" i="7"/>
  <c r="Y15" i="7"/>
  <c r="S57" i="7"/>
  <c r="AD26" i="7"/>
  <c r="N57" i="7"/>
  <c r="W26" i="7"/>
  <c r="BF44" i="7"/>
  <c r="AB39" i="7"/>
  <c r="U39" i="7"/>
  <c r="R56" i="7"/>
  <c r="N58" i="7"/>
  <c r="P71" i="7"/>
  <c r="AA35" i="7"/>
  <c r="AA4" i="7"/>
  <c r="BJ61" i="7"/>
  <c r="AC57" i="7"/>
  <c r="T56" i="7"/>
  <c r="X62" i="7"/>
  <c r="BK4" i="7"/>
  <c r="O35" i="7"/>
  <c r="Q4" i="7"/>
  <c r="Z26" i="7"/>
  <c r="X26" i="7"/>
  <c r="BF24" i="7"/>
  <c r="AA57" i="7"/>
  <c r="AE39" i="7"/>
  <c r="Q44" i="7"/>
  <c r="X56" i="7"/>
  <c r="T58" i="7"/>
  <c r="U21" i="7"/>
  <c r="M35" i="7"/>
  <c r="BF67" i="7"/>
  <c r="AB21" i="7"/>
  <c r="Z56" i="7"/>
  <c r="AD58" i="7"/>
  <c r="U30" i="7"/>
  <c r="P35" i="7"/>
  <c r="FG45" i="7"/>
  <c r="FD45" i="7"/>
  <c r="FC45" i="7"/>
  <c r="FB45" i="7"/>
  <c r="EK45" i="7"/>
  <c r="EL45" i="7"/>
  <c r="EM45" i="7"/>
  <c r="EN45" i="7"/>
  <c r="EO45" i="7"/>
  <c r="EP45" i="7"/>
  <c r="EJ45" i="7"/>
  <c r="BU46" i="7"/>
  <c r="Y30" i="7"/>
  <c r="AB57" i="7"/>
  <c r="FC8" i="7"/>
  <c r="FB8" i="7"/>
  <c r="FG8" i="7"/>
  <c r="FD8" i="7"/>
  <c r="EP8" i="7"/>
  <c r="EJ8" i="7"/>
  <c r="EK8" i="7"/>
  <c r="EL8" i="7"/>
  <c r="EM8" i="7"/>
  <c r="EN8" i="7"/>
  <c r="EO8" i="7"/>
  <c r="BU69" i="7"/>
  <c r="Y65" i="7"/>
  <c r="Z33" i="7"/>
  <c r="N65" i="7"/>
  <c r="U35" i="7"/>
  <c r="R65" i="7"/>
  <c r="FD65" i="7"/>
  <c r="FC65" i="7"/>
  <c r="FG65" i="7"/>
  <c r="FB65" i="7"/>
  <c r="EP65" i="7"/>
  <c r="EJ65" i="7"/>
  <c r="EK65" i="7"/>
  <c r="EL65" i="7"/>
  <c r="EM65" i="7"/>
  <c r="EN65" i="7"/>
  <c r="EO65" i="7"/>
  <c r="FD33" i="7"/>
  <c r="FC33" i="7"/>
  <c r="FG33" i="7"/>
  <c r="FB33" i="7"/>
  <c r="EO33" i="7"/>
  <c r="EP33" i="7"/>
  <c r="EJ33" i="7"/>
  <c r="EK33" i="7"/>
  <c r="EL33" i="7"/>
  <c r="EM33" i="7"/>
  <c r="EN33" i="7"/>
  <c r="FG70" i="7"/>
  <c r="FD70" i="7"/>
  <c r="FC70" i="7"/>
  <c r="FB70" i="7"/>
  <c r="EJ70" i="7"/>
  <c r="EN70" i="7"/>
  <c r="EP70" i="7"/>
  <c r="EK70" i="7"/>
  <c r="EL70" i="7"/>
  <c r="EM70" i="7"/>
  <c r="EO70" i="7"/>
  <c r="FG38" i="7"/>
  <c r="FD38" i="7"/>
  <c r="FC38" i="7"/>
  <c r="FB38" i="7"/>
  <c r="EJ38" i="7"/>
  <c r="EK38" i="7"/>
  <c r="EL38" i="7"/>
  <c r="EM38" i="7"/>
  <c r="EN38" i="7"/>
  <c r="EO38" i="7"/>
  <c r="EP38" i="7"/>
  <c r="FG6" i="7"/>
  <c r="FD6" i="7"/>
  <c r="FC6" i="7"/>
  <c r="FB6" i="7"/>
  <c r="EJ6" i="7"/>
  <c r="EK6" i="7"/>
  <c r="EL6" i="7"/>
  <c r="EM6" i="7"/>
  <c r="EN6" i="7"/>
  <c r="EO6" i="7"/>
  <c r="EP6" i="7"/>
  <c r="FB43" i="7"/>
  <c r="FD43" i="7"/>
  <c r="FC43" i="7"/>
  <c r="FG43" i="7"/>
  <c r="EM43" i="7"/>
  <c r="EN43" i="7"/>
  <c r="EO43" i="7"/>
  <c r="EP43" i="7"/>
  <c r="EJ43" i="7"/>
  <c r="EK43" i="7"/>
  <c r="EL43" i="7"/>
  <c r="FD11" i="7"/>
  <c r="FC11" i="7"/>
  <c r="FB11" i="7"/>
  <c r="FG11" i="7"/>
  <c r="EM11" i="7"/>
  <c r="EN11" i="7"/>
  <c r="EO11" i="7"/>
  <c r="EP11" i="7"/>
  <c r="EJ11" i="7"/>
  <c r="EK11" i="7"/>
  <c r="EL11" i="7"/>
  <c r="FC64" i="7"/>
  <c r="FG64" i="7"/>
  <c r="FB64" i="7"/>
  <c r="FD64" i="7"/>
  <c r="EJ64" i="7"/>
  <c r="EK64" i="7"/>
  <c r="EL64" i="7"/>
  <c r="EM64" i="7"/>
  <c r="EN64" i="7"/>
  <c r="EP64" i="7"/>
  <c r="EO64" i="7"/>
  <c r="FD66" i="7"/>
  <c r="FB66" i="7"/>
  <c r="FG66" i="7"/>
  <c r="FC66" i="7"/>
  <c r="EO66" i="7"/>
  <c r="EP66" i="7"/>
  <c r="EJ66" i="7"/>
  <c r="EK66" i="7"/>
  <c r="EL66" i="7"/>
  <c r="EN66" i="7"/>
  <c r="EM66" i="7"/>
  <c r="FC34" i="7"/>
  <c r="FD34" i="7"/>
  <c r="FB34" i="7"/>
  <c r="FG34" i="7"/>
  <c r="EN34" i="7"/>
  <c r="EO34" i="7"/>
  <c r="EP34" i="7"/>
  <c r="EJ34" i="7"/>
  <c r="EK34" i="7"/>
  <c r="EL34" i="7"/>
  <c r="EM34" i="7"/>
  <c r="EO2" i="7"/>
  <c r="EP2" i="7"/>
  <c r="EK2" i="7"/>
  <c r="EL2" i="7"/>
  <c r="EM2" i="7"/>
  <c r="EN2" i="7"/>
  <c r="FB47" i="7"/>
  <c r="FG47" i="7"/>
  <c r="FD47" i="7"/>
  <c r="FC47" i="7"/>
  <c r="EJ47" i="7"/>
  <c r="EK47" i="7"/>
  <c r="EL47" i="7"/>
  <c r="EM47" i="7"/>
  <c r="EN47" i="7"/>
  <c r="EO47" i="7"/>
  <c r="EP47" i="7"/>
  <c r="FB15" i="7"/>
  <c r="FG15" i="7"/>
  <c r="FD15" i="7"/>
  <c r="FC15" i="7"/>
  <c r="EJ15" i="7"/>
  <c r="EK15" i="7"/>
  <c r="EL15" i="7"/>
  <c r="EM15" i="7"/>
  <c r="EN15" i="7"/>
  <c r="EO15" i="7"/>
  <c r="EP15" i="7"/>
  <c r="FG52" i="7"/>
  <c r="FD52" i="7"/>
  <c r="FC52" i="7"/>
  <c r="FB52" i="7"/>
  <c r="EL52" i="7"/>
  <c r="EM52" i="7"/>
  <c r="EN52" i="7"/>
  <c r="EO52" i="7"/>
  <c r="EP52" i="7"/>
  <c r="EJ52" i="7"/>
  <c r="EK52" i="7"/>
  <c r="FG20" i="7"/>
  <c r="FD20" i="7"/>
  <c r="FB20" i="7"/>
  <c r="FC20" i="7"/>
  <c r="EL20" i="7"/>
  <c r="EM20" i="7"/>
  <c r="EN20" i="7"/>
  <c r="EO20" i="7"/>
  <c r="EP20" i="7"/>
  <c r="EJ20" i="7"/>
  <c r="EK20" i="7"/>
  <c r="FC32" i="7"/>
  <c r="FB32" i="7"/>
  <c r="FG32" i="7"/>
  <c r="FD32" i="7"/>
  <c r="EP32" i="7"/>
  <c r="EJ32" i="7"/>
  <c r="EK32" i="7"/>
  <c r="EL32" i="7"/>
  <c r="EM32" i="7"/>
  <c r="EN32" i="7"/>
  <c r="EO32" i="7"/>
  <c r="FG69" i="7"/>
  <c r="FC69" i="7"/>
  <c r="FB69" i="7"/>
  <c r="FD69" i="7"/>
  <c r="EL69" i="7"/>
  <c r="EM69" i="7"/>
  <c r="EN69" i="7"/>
  <c r="EP69" i="7"/>
  <c r="EK69" i="7"/>
  <c r="EJ69" i="7"/>
  <c r="EO69" i="7"/>
  <c r="FG37" i="7"/>
  <c r="FC37" i="7"/>
  <c r="FD37" i="7"/>
  <c r="FB37" i="7"/>
  <c r="EK37" i="7"/>
  <c r="EL37" i="7"/>
  <c r="EM37" i="7"/>
  <c r="EN37" i="7"/>
  <c r="EO37" i="7"/>
  <c r="EP37" i="7"/>
  <c r="EJ37" i="7"/>
  <c r="FD73" i="7"/>
  <c r="FB73" i="7"/>
  <c r="FG73" i="7"/>
  <c r="FC73" i="7"/>
  <c r="EO73" i="7"/>
  <c r="EJ73" i="7"/>
  <c r="EK73" i="7"/>
  <c r="EM73" i="7"/>
  <c r="EN73" i="7"/>
  <c r="EP73" i="7"/>
  <c r="EL73" i="7"/>
  <c r="FD41" i="7"/>
  <c r="FG41" i="7"/>
  <c r="FC41" i="7"/>
  <c r="FB41" i="7"/>
  <c r="EO41" i="7"/>
  <c r="EP41" i="7"/>
  <c r="EJ41" i="7"/>
  <c r="EK41" i="7"/>
  <c r="EL41" i="7"/>
  <c r="EM41" i="7"/>
  <c r="EN41" i="7"/>
  <c r="FD9" i="7"/>
  <c r="FC9" i="7"/>
  <c r="FB9" i="7"/>
  <c r="FG9" i="7"/>
  <c r="EO9" i="7"/>
  <c r="EP9" i="7"/>
  <c r="EJ9" i="7"/>
  <c r="EK9" i="7"/>
  <c r="EL9" i="7"/>
  <c r="EM9" i="7"/>
  <c r="EN9" i="7"/>
  <c r="FG46" i="7"/>
  <c r="FD46" i="7"/>
  <c r="FC46" i="7"/>
  <c r="FB46" i="7"/>
  <c r="EJ46" i="7"/>
  <c r="EK46" i="7"/>
  <c r="EL46" i="7"/>
  <c r="EM46" i="7"/>
  <c r="EN46" i="7"/>
  <c r="EO46" i="7"/>
  <c r="EP46" i="7"/>
  <c r="FG14" i="7"/>
  <c r="FD14" i="7"/>
  <c r="FC14" i="7"/>
  <c r="FB14" i="7"/>
  <c r="EJ14" i="7"/>
  <c r="EK14" i="7"/>
  <c r="EL14" i="7"/>
  <c r="EM14" i="7"/>
  <c r="EN14" i="7"/>
  <c r="EO14" i="7"/>
  <c r="EP14" i="7"/>
  <c r="FD51" i="7"/>
  <c r="FC51" i="7"/>
  <c r="FB51" i="7"/>
  <c r="FG51" i="7"/>
  <c r="EM51" i="7"/>
  <c r="EN51" i="7"/>
  <c r="EO51" i="7"/>
  <c r="EP51" i="7"/>
  <c r="EJ51" i="7"/>
  <c r="EK51" i="7"/>
  <c r="EL51" i="7"/>
  <c r="FB19" i="7"/>
  <c r="FD19" i="7"/>
  <c r="FC19" i="7"/>
  <c r="FG19" i="7"/>
  <c r="EM19" i="7"/>
  <c r="EN19" i="7"/>
  <c r="EO19" i="7"/>
  <c r="EP19" i="7"/>
  <c r="EJ19" i="7"/>
  <c r="EK19" i="7"/>
  <c r="EL19" i="7"/>
  <c r="FC72" i="7"/>
  <c r="FB72" i="7"/>
  <c r="FG72" i="7"/>
  <c r="FD72" i="7"/>
  <c r="EP72" i="7"/>
  <c r="EM72" i="7"/>
  <c r="EJ72" i="7"/>
  <c r="EK72" i="7"/>
  <c r="EL72" i="7"/>
  <c r="EN72" i="7"/>
  <c r="EO72" i="7"/>
  <c r="FG29" i="7"/>
  <c r="FD29" i="7"/>
  <c r="FC29" i="7"/>
  <c r="FB29" i="7"/>
  <c r="EK29" i="7"/>
  <c r="EL29" i="7"/>
  <c r="EM29" i="7"/>
  <c r="EN29" i="7"/>
  <c r="EO29" i="7"/>
  <c r="EP29" i="7"/>
  <c r="EJ29" i="7"/>
  <c r="FD42" i="7"/>
  <c r="FC42" i="7"/>
  <c r="FB42" i="7"/>
  <c r="FG42" i="7"/>
  <c r="EN42" i="7"/>
  <c r="EO42" i="7"/>
  <c r="EP42" i="7"/>
  <c r="EJ42" i="7"/>
  <c r="EK42" i="7"/>
  <c r="EL42" i="7"/>
  <c r="EM42" i="7"/>
  <c r="FD10" i="7"/>
  <c r="FC10" i="7"/>
  <c r="FB10" i="7"/>
  <c r="FG10" i="7"/>
  <c r="EN10" i="7"/>
  <c r="EO10" i="7"/>
  <c r="EP10" i="7"/>
  <c r="EJ10" i="7"/>
  <c r="EK10" i="7"/>
  <c r="EL10" i="7"/>
  <c r="EM10" i="7"/>
  <c r="FB23" i="7"/>
  <c r="FG23" i="7"/>
  <c r="FD23" i="7"/>
  <c r="FC23" i="7"/>
  <c r="EJ23" i="7"/>
  <c r="EK23" i="7"/>
  <c r="EL23" i="7"/>
  <c r="EM23" i="7"/>
  <c r="EN23" i="7"/>
  <c r="EO23" i="7"/>
  <c r="EP23" i="7"/>
  <c r="BU53" i="7"/>
  <c r="BU59" i="7"/>
  <c r="BU70" i="7"/>
  <c r="BT69" i="7" s="1"/>
  <c r="BU20" i="7"/>
  <c r="FG28" i="7"/>
  <c r="FD28" i="7"/>
  <c r="FC28" i="7"/>
  <c r="FB28" i="7"/>
  <c r="EL28" i="7"/>
  <c r="EM28" i="7"/>
  <c r="EN28" i="7"/>
  <c r="EO28" i="7"/>
  <c r="EP28" i="7"/>
  <c r="EJ28" i="7"/>
  <c r="EK28" i="7"/>
  <c r="BU64" i="7"/>
  <c r="BU17" i="7"/>
  <c r="BJ33" i="7"/>
  <c r="FD57" i="7"/>
  <c r="FG57" i="7"/>
  <c r="FB57" i="7"/>
  <c r="FC57" i="7"/>
  <c r="EP57" i="7"/>
  <c r="EJ57" i="7"/>
  <c r="EK57" i="7"/>
  <c r="EL57" i="7"/>
  <c r="EM57" i="7"/>
  <c r="EO57" i="7"/>
  <c r="EN57" i="7"/>
  <c r="FD25" i="7"/>
  <c r="FB25" i="7"/>
  <c r="FG25" i="7"/>
  <c r="FC25" i="7"/>
  <c r="EO25" i="7"/>
  <c r="EP25" i="7"/>
  <c r="EJ25" i="7"/>
  <c r="EK25" i="7"/>
  <c r="EL25" i="7"/>
  <c r="EM25" i="7"/>
  <c r="EN25" i="7"/>
  <c r="FG62" i="7"/>
  <c r="FD62" i="7"/>
  <c r="FC62" i="7"/>
  <c r="FB62" i="7"/>
  <c r="EK62" i="7"/>
  <c r="EL62" i="7"/>
  <c r="EM62" i="7"/>
  <c r="EN62" i="7"/>
  <c r="EO62" i="7"/>
  <c r="EP62" i="7"/>
  <c r="EJ62" i="7"/>
  <c r="FG30" i="7"/>
  <c r="FD30" i="7"/>
  <c r="FC30" i="7"/>
  <c r="FB30" i="7"/>
  <c r="EJ30" i="7"/>
  <c r="EK30" i="7"/>
  <c r="EL30" i="7"/>
  <c r="EM30" i="7"/>
  <c r="EN30" i="7"/>
  <c r="EO30" i="7"/>
  <c r="EP30" i="7"/>
  <c r="FB67" i="7"/>
  <c r="FC67" i="7"/>
  <c r="FD67" i="7"/>
  <c r="FG67" i="7"/>
  <c r="EN67" i="7"/>
  <c r="EO67" i="7"/>
  <c r="EP67" i="7"/>
  <c r="EJ67" i="7"/>
  <c r="EK67" i="7"/>
  <c r="EL67" i="7"/>
  <c r="EM67" i="7"/>
  <c r="FD35" i="7"/>
  <c r="FC35" i="7"/>
  <c r="FG35" i="7"/>
  <c r="FB35" i="7"/>
  <c r="EM35" i="7"/>
  <c r="EN35" i="7"/>
  <c r="EO35" i="7"/>
  <c r="EP35" i="7"/>
  <c r="EJ35" i="7"/>
  <c r="EK35" i="7"/>
  <c r="EL35" i="7"/>
  <c r="FG4" i="7"/>
  <c r="FD4" i="7"/>
  <c r="FB4" i="7"/>
  <c r="FC4" i="7"/>
  <c r="EL4" i="7"/>
  <c r="EM4" i="7"/>
  <c r="EN4" i="7"/>
  <c r="EO4" i="7"/>
  <c r="EP4" i="7"/>
  <c r="EJ4" i="7"/>
  <c r="EK4" i="7"/>
  <c r="FC56" i="7"/>
  <c r="FB56" i="7"/>
  <c r="FG56" i="7"/>
  <c r="FD56" i="7"/>
  <c r="EJ56" i="7"/>
  <c r="EK56" i="7"/>
  <c r="EL56" i="7"/>
  <c r="EM56" i="7"/>
  <c r="EN56" i="7"/>
  <c r="EO56" i="7"/>
  <c r="EP56" i="7"/>
  <c r="FD58" i="7"/>
  <c r="FC58" i="7"/>
  <c r="FB58" i="7"/>
  <c r="FG58" i="7"/>
  <c r="EO58" i="7"/>
  <c r="EP58" i="7"/>
  <c r="EJ58" i="7"/>
  <c r="EK58" i="7"/>
  <c r="EL58" i="7"/>
  <c r="EM58" i="7"/>
  <c r="EN58" i="7"/>
  <c r="FB26" i="7"/>
  <c r="FD26" i="7"/>
  <c r="FC26" i="7"/>
  <c r="FG26" i="7"/>
  <c r="EN26" i="7"/>
  <c r="EO26" i="7"/>
  <c r="EP26" i="7"/>
  <c r="EJ26" i="7"/>
  <c r="EK26" i="7"/>
  <c r="EL26" i="7"/>
  <c r="EM26" i="7"/>
  <c r="FB71" i="7"/>
  <c r="FG71" i="7"/>
  <c r="FD71" i="7"/>
  <c r="FC71" i="7"/>
  <c r="EL71" i="7"/>
  <c r="EO71" i="7"/>
  <c r="EP71" i="7"/>
  <c r="EJ71" i="7"/>
  <c r="EK71" i="7"/>
  <c r="EM71" i="7"/>
  <c r="EN71" i="7"/>
  <c r="FB39" i="7"/>
  <c r="FG39" i="7"/>
  <c r="FD39" i="7"/>
  <c r="FC39" i="7"/>
  <c r="EJ39" i="7"/>
  <c r="EK39" i="7"/>
  <c r="EL39" i="7"/>
  <c r="EM39" i="7"/>
  <c r="EN39" i="7"/>
  <c r="EO39" i="7"/>
  <c r="EP39" i="7"/>
  <c r="FB7" i="7"/>
  <c r="FG7" i="7"/>
  <c r="FD7" i="7"/>
  <c r="FC7" i="7"/>
  <c r="EJ7" i="7"/>
  <c r="EK7" i="7"/>
  <c r="EL7" i="7"/>
  <c r="EM7" i="7"/>
  <c r="EN7" i="7"/>
  <c r="EO7" i="7"/>
  <c r="EP7" i="7"/>
  <c r="FG44" i="7"/>
  <c r="FD44" i="7"/>
  <c r="FB44" i="7"/>
  <c r="FC44" i="7"/>
  <c r="EL44" i="7"/>
  <c r="EM44" i="7"/>
  <c r="EN44" i="7"/>
  <c r="EO44" i="7"/>
  <c r="EP44" i="7"/>
  <c r="EJ44" i="7"/>
  <c r="EK44" i="7"/>
  <c r="FG12" i="7"/>
  <c r="FC12" i="7"/>
  <c r="FD12" i="7"/>
  <c r="FB12" i="7"/>
  <c r="EL12" i="7"/>
  <c r="EM12" i="7"/>
  <c r="EN12" i="7"/>
  <c r="EO12" i="7"/>
  <c r="EP12" i="7"/>
  <c r="EJ12" i="7"/>
  <c r="EK12" i="7"/>
  <c r="FC24" i="7"/>
  <c r="FG24" i="7"/>
  <c r="FD24" i="7"/>
  <c r="FB24" i="7"/>
  <c r="EP24" i="7"/>
  <c r="EJ24" i="7"/>
  <c r="EK24" i="7"/>
  <c r="EL24" i="7"/>
  <c r="EM24" i="7"/>
  <c r="EN24" i="7"/>
  <c r="EO24" i="7"/>
  <c r="FG61" i="7"/>
  <c r="FD61" i="7"/>
  <c r="FC61" i="7"/>
  <c r="FB61" i="7"/>
  <c r="EL61" i="7"/>
  <c r="EM61" i="7"/>
  <c r="EN61" i="7"/>
  <c r="EO61" i="7"/>
  <c r="EP61" i="7"/>
  <c r="EK61" i="7"/>
  <c r="EJ61" i="7"/>
  <c r="FD21" i="7"/>
  <c r="FG21" i="7"/>
  <c r="FC21" i="7"/>
  <c r="FB21" i="7"/>
  <c r="EK21" i="7"/>
  <c r="EL21" i="7"/>
  <c r="EM21" i="7"/>
  <c r="EN21" i="7"/>
  <c r="EO21" i="7"/>
  <c r="EP21" i="7"/>
  <c r="EJ21" i="7"/>
  <c r="FG60" i="7"/>
  <c r="FC60" i="7"/>
  <c r="FD60" i="7"/>
  <c r="FB60" i="7"/>
  <c r="EM60" i="7"/>
  <c r="EN60" i="7"/>
  <c r="EO60" i="7"/>
  <c r="EP60" i="7"/>
  <c r="EJ60" i="7"/>
  <c r="EL60" i="7"/>
  <c r="EK60" i="7"/>
  <c r="BU32" i="7"/>
  <c r="BT31" i="7" s="1"/>
  <c r="BS30" i="7" s="1"/>
  <c r="FC48" i="7"/>
  <c r="FG48" i="7"/>
  <c r="FD48" i="7"/>
  <c r="FB48" i="7"/>
  <c r="EP48" i="7"/>
  <c r="EJ48" i="7"/>
  <c r="EK48" i="7"/>
  <c r="EL48" i="7"/>
  <c r="EM48" i="7"/>
  <c r="EN48" i="7"/>
  <c r="EO48" i="7"/>
  <c r="BU68" i="7"/>
  <c r="AB65" i="7"/>
  <c r="U65" i="7"/>
  <c r="BU65" i="7" s="1"/>
  <c r="BG65" i="7"/>
  <c r="O4" i="7"/>
  <c r="FD49" i="7"/>
  <c r="FC49" i="7"/>
  <c r="FB49" i="7"/>
  <c r="FG49" i="7"/>
  <c r="EO49" i="7"/>
  <c r="EP49" i="7"/>
  <c r="EJ49" i="7"/>
  <c r="EK49" i="7"/>
  <c r="EL49" i="7"/>
  <c r="EM49" i="7"/>
  <c r="EN49" i="7"/>
  <c r="FD17" i="7"/>
  <c r="FB17" i="7"/>
  <c r="FC17" i="7"/>
  <c r="FG17" i="7"/>
  <c r="EO17" i="7"/>
  <c r="EP17" i="7"/>
  <c r="EJ17" i="7"/>
  <c r="EK17" i="7"/>
  <c r="EL17" i="7"/>
  <c r="EM17" i="7"/>
  <c r="EN17" i="7"/>
  <c r="FG54" i="7"/>
  <c r="FD54" i="7"/>
  <c r="FB54" i="7"/>
  <c r="FC54" i="7"/>
  <c r="EK54" i="7"/>
  <c r="EL54" i="7"/>
  <c r="EM54" i="7"/>
  <c r="EN54" i="7"/>
  <c r="EO54" i="7"/>
  <c r="EP54" i="7"/>
  <c r="EJ54" i="7"/>
  <c r="FG22" i="7"/>
  <c r="FD22" i="7"/>
  <c r="FC22" i="7"/>
  <c r="FB22" i="7"/>
  <c r="EJ22" i="7"/>
  <c r="EK22" i="7"/>
  <c r="EL22" i="7"/>
  <c r="EM22" i="7"/>
  <c r="EN22" i="7"/>
  <c r="EO22" i="7"/>
  <c r="EP22" i="7"/>
  <c r="FD59" i="7"/>
  <c r="FB59" i="7"/>
  <c r="FC59" i="7"/>
  <c r="FG59" i="7"/>
  <c r="EN59" i="7"/>
  <c r="EO59" i="7"/>
  <c r="EP59" i="7"/>
  <c r="EJ59" i="7"/>
  <c r="EK59" i="7"/>
  <c r="EM59" i="7"/>
  <c r="EL59" i="7"/>
  <c r="FC27" i="7"/>
  <c r="FB27" i="7"/>
  <c r="FG27" i="7"/>
  <c r="FD27" i="7"/>
  <c r="EM27" i="7"/>
  <c r="EN27" i="7"/>
  <c r="EO27" i="7"/>
  <c r="EP27" i="7"/>
  <c r="EJ27" i="7"/>
  <c r="EK27" i="7"/>
  <c r="EL27" i="7"/>
  <c r="FB3" i="7"/>
  <c r="FD3" i="7"/>
  <c r="FC3" i="7"/>
  <c r="FG3" i="7"/>
  <c r="EM3" i="7"/>
  <c r="EN3" i="7"/>
  <c r="EO3" i="7"/>
  <c r="EP3" i="7"/>
  <c r="EJ3" i="7"/>
  <c r="EK3" i="7"/>
  <c r="EL3" i="7"/>
  <c r="FC40" i="7"/>
  <c r="FB40" i="7"/>
  <c r="FG40" i="7"/>
  <c r="FD40" i="7"/>
  <c r="EP40" i="7"/>
  <c r="EJ40" i="7"/>
  <c r="EK40" i="7"/>
  <c r="EL40" i="7"/>
  <c r="EM40" i="7"/>
  <c r="EN40" i="7"/>
  <c r="EO40" i="7"/>
  <c r="FD50" i="7"/>
  <c r="FB50" i="7"/>
  <c r="FC50" i="7"/>
  <c r="FG50" i="7"/>
  <c r="EN50" i="7"/>
  <c r="EO50" i="7"/>
  <c r="EP50" i="7"/>
  <c r="EJ50" i="7"/>
  <c r="EK50" i="7"/>
  <c r="EL50" i="7"/>
  <c r="EM50" i="7"/>
  <c r="FC18" i="7"/>
  <c r="FB18" i="7"/>
  <c r="FG18" i="7"/>
  <c r="FD18" i="7"/>
  <c r="EN18" i="7"/>
  <c r="EO18" i="7"/>
  <c r="EP18" i="7"/>
  <c r="EJ18" i="7"/>
  <c r="EK18" i="7"/>
  <c r="EL18" i="7"/>
  <c r="EM18" i="7"/>
  <c r="FB63" i="7"/>
  <c r="FG63" i="7"/>
  <c r="FD63" i="7"/>
  <c r="FC63" i="7"/>
  <c r="EJ63" i="7"/>
  <c r="EK63" i="7"/>
  <c r="EL63" i="7"/>
  <c r="EM63" i="7"/>
  <c r="EN63" i="7"/>
  <c r="EO63" i="7"/>
  <c r="EP63" i="7"/>
  <c r="FB31" i="7"/>
  <c r="FG31" i="7"/>
  <c r="FD31" i="7"/>
  <c r="FC31" i="7"/>
  <c r="EJ31" i="7"/>
  <c r="EK31" i="7"/>
  <c r="EL31" i="7"/>
  <c r="EM31" i="7"/>
  <c r="EN31" i="7"/>
  <c r="EO31" i="7"/>
  <c r="EP31" i="7"/>
  <c r="FG68" i="7"/>
  <c r="FC68" i="7"/>
  <c r="FD68" i="7"/>
  <c r="FB68" i="7"/>
  <c r="EM68" i="7"/>
  <c r="EN68" i="7"/>
  <c r="EO68" i="7"/>
  <c r="EJ68" i="7"/>
  <c r="EL68" i="7"/>
  <c r="EP68" i="7"/>
  <c r="EK68" i="7"/>
  <c r="FG36" i="7"/>
  <c r="FD36" i="7"/>
  <c r="FB36" i="7"/>
  <c r="FC36" i="7"/>
  <c r="EL36" i="7"/>
  <c r="EM36" i="7"/>
  <c r="EN36" i="7"/>
  <c r="EO36" i="7"/>
  <c r="EP36" i="7"/>
  <c r="EJ36" i="7"/>
  <c r="EK36" i="7"/>
  <c r="FG5" i="7"/>
  <c r="FC5" i="7"/>
  <c r="FD5" i="7"/>
  <c r="FB5" i="7"/>
  <c r="EK5" i="7"/>
  <c r="EL5" i="7"/>
  <c r="EM5" i="7"/>
  <c r="EN5" i="7"/>
  <c r="EO5" i="7"/>
  <c r="EP5" i="7"/>
  <c r="EJ5" i="7"/>
  <c r="FC16" i="7"/>
  <c r="FB16" i="7"/>
  <c r="FD16" i="7"/>
  <c r="FG16" i="7"/>
  <c r="EP16" i="7"/>
  <c r="EJ16" i="7"/>
  <c r="EK16" i="7"/>
  <c r="EL16" i="7"/>
  <c r="EM16" i="7"/>
  <c r="EN16" i="7"/>
  <c r="EO16" i="7"/>
  <c r="FG53" i="7"/>
  <c r="FD53" i="7"/>
  <c r="FC53" i="7"/>
  <c r="FB53" i="7"/>
  <c r="EK53" i="7"/>
  <c r="EL53" i="7"/>
  <c r="EM53" i="7"/>
  <c r="EN53" i="7"/>
  <c r="EO53" i="7"/>
  <c r="EP53" i="7"/>
  <c r="EJ53" i="7"/>
  <c r="FG13" i="7"/>
  <c r="FD13" i="7"/>
  <c r="FC13" i="7"/>
  <c r="FB13" i="7"/>
  <c r="EK13" i="7"/>
  <c r="EL13" i="7"/>
  <c r="EM13" i="7"/>
  <c r="EN13" i="7"/>
  <c r="EO13" i="7"/>
  <c r="EP13" i="7"/>
  <c r="EJ13" i="7"/>
  <c r="FB55" i="7"/>
  <c r="FG55" i="7"/>
  <c r="FD55" i="7"/>
  <c r="FC55" i="7"/>
  <c r="EJ55" i="7"/>
  <c r="EK55" i="7"/>
  <c r="EL55" i="7"/>
  <c r="EM55" i="7"/>
  <c r="EN55" i="7"/>
  <c r="EO55" i="7"/>
  <c r="EP55" i="7"/>
  <c r="BU37" i="7"/>
  <c r="AC65" i="7"/>
  <c r="AA65" i="7"/>
  <c r="AA33" i="7"/>
  <c r="BU35" i="7"/>
  <c r="BT55" i="7"/>
  <c r="BQ73" i="7"/>
  <c r="BP72" i="7" s="1"/>
  <c r="BJ17" i="7"/>
  <c r="BL49" i="7"/>
  <c r="S50" i="7"/>
  <c r="AA59" i="7"/>
  <c r="S49" i="7"/>
  <c r="R57" i="7"/>
  <c r="Y57" i="7"/>
  <c r="BH27" i="7"/>
  <c r="BJ31" i="7"/>
  <c r="BE68" i="7"/>
  <c r="BD27" i="7"/>
  <c r="Z31" i="7"/>
  <c r="AB27" i="7"/>
  <c r="AD65" i="7"/>
  <c r="Z3" i="7"/>
  <c r="M59" i="7"/>
  <c r="O54" i="7"/>
  <c r="P27" i="7"/>
  <c r="T68" i="7"/>
  <c r="BK3" i="7"/>
  <c r="AE16" i="7"/>
  <c r="BK38" i="7"/>
  <c r="U50" i="7"/>
  <c r="AD56" i="7"/>
  <c r="Q58" i="7"/>
  <c r="AC49" i="7"/>
  <c r="N59" i="7"/>
  <c r="Y40" i="7"/>
  <c r="Q35" i="7"/>
  <c r="AC35" i="7"/>
  <c r="AC66" i="7"/>
  <c r="M4" i="7"/>
  <c r="U57" i="7"/>
  <c r="S33" i="7"/>
  <c r="R62" i="7"/>
  <c r="R59" i="7"/>
  <c r="U31" i="7"/>
  <c r="Q54" i="7"/>
  <c r="N68" i="7"/>
  <c r="AD35" i="7"/>
  <c r="AB35" i="7"/>
  <c r="AD4" i="7"/>
  <c r="W50" i="7"/>
  <c r="AC39" i="7"/>
  <c r="AC56" i="7"/>
  <c r="R58" i="7"/>
  <c r="N33" i="7"/>
  <c r="BG57" i="7"/>
  <c r="X49" i="7"/>
  <c r="O15" i="7"/>
  <c r="O16" i="7"/>
  <c r="R40" i="7"/>
  <c r="S35" i="7"/>
  <c r="AE35" i="7"/>
  <c r="AD66" i="7"/>
  <c r="N4" i="7"/>
  <c r="AD57" i="7"/>
  <c r="O21" i="7"/>
  <c r="Z49" i="7"/>
  <c r="BF50" i="7"/>
  <c r="AE54" i="7"/>
  <c r="Y54" i="7"/>
  <c r="W27" i="7"/>
  <c r="N31" i="7"/>
  <c r="BI31" i="7"/>
  <c r="AD62" i="7"/>
  <c r="AC31" i="7"/>
  <c r="AD50" i="7"/>
  <c r="Y50" i="7"/>
  <c r="BE36" i="7"/>
  <c r="BH53" i="7"/>
  <c r="X35" i="7"/>
  <c r="T35" i="7"/>
  <c r="O53" i="7"/>
  <c r="Y4" i="7"/>
  <c r="O33" i="7"/>
  <c r="O49" i="7"/>
  <c r="BG27" i="7"/>
  <c r="BK27" i="7"/>
  <c r="BI57" i="7"/>
  <c r="Y49" i="7"/>
  <c r="Y31" i="7"/>
  <c r="U49" i="7"/>
  <c r="X54" i="7"/>
  <c r="W54" i="7"/>
  <c r="O31" i="7"/>
  <c r="BL27" i="7"/>
  <c r="BU27" i="7" s="1"/>
  <c r="BH68" i="7"/>
  <c r="AB31" i="7"/>
  <c r="N50" i="7"/>
  <c r="X71" i="7"/>
  <c r="AD3" i="7"/>
  <c r="BK17" i="7"/>
  <c r="W49" i="7"/>
  <c r="N49" i="7"/>
  <c r="BL16" i="7"/>
  <c r="BU16" i="7" s="1"/>
  <c r="S17" i="7"/>
  <c r="P57" i="7"/>
  <c r="AA71" i="7"/>
  <c r="H3" i="7"/>
  <c r="V70" i="7"/>
  <c r="AF70" i="7"/>
  <c r="AF44" i="7"/>
  <c r="V44" i="7" l="1"/>
  <c r="BB43" i="7"/>
  <c r="BT36" i="7"/>
  <c r="BS64" i="7"/>
  <c r="BR63" i="7" s="1"/>
  <c r="V45" i="7"/>
  <c r="BU10" i="7"/>
  <c r="AF18" i="7"/>
  <c r="AF16" i="7"/>
  <c r="V40" i="7"/>
  <c r="BU41" i="7"/>
  <c r="BT40" i="7" s="1"/>
  <c r="BU71" i="7"/>
  <c r="BT70" i="7" s="1"/>
  <c r="BS69" i="7" s="1"/>
  <c r="BR68" i="7" s="1"/>
  <c r="BQ67" i="7" s="1"/>
  <c r="BP66" i="7" s="1"/>
  <c r="BO65" i="7" s="1"/>
  <c r="BN64" i="7" s="1"/>
  <c r="BM63" i="7" s="1"/>
  <c r="BU22" i="7"/>
  <c r="BT21" i="7" s="1"/>
  <c r="BS20" i="7" s="1"/>
  <c r="BU52" i="7"/>
  <c r="BT51" i="7" s="1"/>
  <c r="BT16" i="7"/>
  <c r="BS15" i="7" s="1"/>
  <c r="BR14" i="7" s="1"/>
  <c r="BQ13" i="7" s="1"/>
  <c r="BP12" i="7" s="1"/>
  <c r="BO11" i="7" s="1"/>
  <c r="BN10" i="7" s="1"/>
  <c r="BM9" i="7" s="1"/>
  <c r="BT24" i="7"/>
  <c r="BS23" i="7" s="1"/>
  <c r="BR22" i="7" s="1"/>
  <c r="BQ21" i="7" s="1"/>
  <c r="BP20" i="7" s="1"/>
  <c r="BO19" i="7" s="1"/>
  <c r="BN18" i="7" s="1"/>
  <c r="BM17" i="7" s="1"/>
  <c r="BU63" i="7"/>
  <c r="V51" i="7"/>
  <c r="AF69" i="7"/>
  <c r="V71" i="7"/>
  <c r="BU61" i="7"/>
  <c r="BT60" i="7" s="1"/>
  <c r="V25" i="7"/>
  <c r="BP73" i="7"/>
  <c r="BO72" i="7" s="1"/>
  <c r="BT73" i="7"/>
  <c r="BS72" i="7" s="1"/>
  <c r="BR71" i="7" s="1"/>
  <c r="BQ70" i="7" s="1"/>
  <c r="BP69" i="7" s="1"/>
  <c r="BO68" i="7" s="1"/>
  <c r="BN67" i="7" s="1"/>
  <c r="BM66" i="7" s="1"/>
  <c r="V52" i="7"/>
  <c r="BT35" i="7"/>
  <c r="BS34" i="7" s="1"/>
  <c r="BR33" i="7" s="1"/>
  <c r="BQ32" i="7" s="1"/>
  <c r="BP31" i="7" s="1"/>
  <c r="BO30" i="7" s="1"/>
  <c r="BU44" i="7"/>
  <c r="BT43" i="7" s="1"/>
  <c r="BS42" i="7" s="1"/>
  <c r="BR41" i="7" s="1"/>
  <c r="BQ40" i="7" s="1"/>
  <c r="BP39" i="7" s="1"/>
  <c r="BO38" i="7" s="1"/>
  <c r="V13" i="7"/>
  <c r="BR19" i="7"/>
  <c r="BQ18" i="7" s="1"/>
  <c r="BP17" i="7" s="1"/>
  <c r="BB19" i="7"/>
  <c r="AF17" i="7"/>
  <c r="V24" i="7"/>
  <c r="BT61" i="7"/>
  <c r="BS60" i="7" s="1"/>
  <c r="BQ43" i="7"/>
  <c r="BS38" i="7"/>
  <c r="BR37" i="7" s="1"/>
  <c r="BQ36" i="7" s="1"/>
  <c r="V47" i="7"/>
  <c r="V7" i="7"/>
  <c r="BT37" i="7"/>
  <c r="BS36" i="7" s="1"/>
  <c r="BR35" i="7" s="1"/>
  <c r="BT64" i="7"/>
  <c r="V56" i="7"/>
  <c r="BU50" i="7"/>
  <c r="BT49" i="7" s="1"/>
  <c r="BS48" i="7" s="1"/>
  <c r="BR47" i="7" s="1"/>
  <c r="BQ46" i="7" s="1"/>
  <c r="BP45" i="7" s="1"/>
  <c r="BO44" i="7" s="1"/>
  <c r="BO71" i="7"/>
  <c r="BT52" i="7"/>
  <c r="BS51" i="7" s="1"/>
  <c r="BR50" i="7" s="1"/>
  <c r="BQ49" i="7" s="1"/>
  <c r="BP48" i="7" s="1"/>
  <c r="BO47" i="7" s="1"/>
  <c r="BN46" i="7" s="1"/>
  <c r="BM45" i="7" s="1"/>
  <c r="BB53" i="7"/>
  <c r="BB46" i="7"/>
  <c r="BS39" i="7"/>
  <c r="BR38" i="7" s="1"/>
  <c r="BQ37" i="7" s="1"/>
  <c r="BP36" i="7" s="1"/>
  <c r="BO35" i="7" s="1"/>
  <c r="BU58" i="7"/>
  <c r="BT57" i="7" s="1"/>
  <c r="BS56" i="7" s="1"/>
  <c r="BR55" i="7" s="1"/>
  <c r="BQ54" i="7" s="1"/>
  <c r="BP53" i="7" s="1"/>
  <c r="BO52" i="7" s="1"/>
  <c r="BB13" i="7"/>
  <c r="AF60" i="7"/>
  <c r="V34" i="7"/>
  <c r="BU51" i="7"/>
  <c r="BT50" i="7" s="1"/>
  <c r="V32" i="7"/>
  <c r="BS63" i="7"/>
  <c r="BR62" i="7" s="1"/>
  <c r="BQ61" i="7" s="1"/>
  <c r="BP60" i="7" s="1"/>
  <c r="BO59" i="7" s="1"/>
  <c r="BU28" i="7"/>
  <c r="BT27" i="7" s="1"/>
  <c r="BS26" i="7" s="1"/>
  <c r="BR25" i="7" s="1"/>
  <c r="BQ24" i="7" s="1"/>
  <c r="BP23" i="7" s="1"/>
  <c r="BO22" i="7" s="1"/>
  <c r="V72" i="7"/>
  <c r="V42" i="7"/>
  <c r="AF61" i="7"/>
  <c r="BB6" i="7"/>
  <c r="BT62" i="7"/>
  <c r="BS61" i="7" s="1"/>
  <c r="BR60" i="7" s="1"/>
  <c r="BQ59" i="7" s="1"/>
  <c r="BP58" i="7" s="1"/>
  <c r="BO57" i="7" s="1"/>
  <c r="V60" i="7"/>
  <c r="AF63" i="7"/>
  <c r="V37" i="7"/>
  <c r="V38" i="7"/>
  <c r="V43" i="7"/>
  <c r="AF32" i="7"/>
  <c r="V64" i="7"/>
  <c r="AF64" i="7"/>
  <c r="BB42" i="7"/>
  <c r="AF5" i="7"/>
  <c r="BB52" i="7"/>
  <c r="AF7" i="7"/>
  <c r="V39" i="7"/>
  <c r="AF28" i="7"/>
  <c r="BS54" i="7"/>
  <c r="BR53" i="7" s="1"/>
  <c r="BQ52" i="7" s="1"/>
  <c r="BP51" i="7" s="1"/>
  <c r="BO50" i="7" s="1"/>
  <c r="BU67" i="7"/>
  <c r="BT66" i="7" s="1"/>
  <c r="BS65" i="7" s="1"/>
  <c r="BR64" i="7" s="1"/>
  <c r="BQ63" i="7" s="1"/>
  <c r="BP62" i="7" s="1"/>
  <c r="BO61" i="7" s="1"/>
  <c r="BN60" i="7" s="1"/>
  <c r="BM59" i="7" s="1"/>
  <c r="V2" i="7"/>
  <c r="BB17" i="7"/>
  <c r="BU23" i="7"/>
  <c r="BT22" i="7" s="1"/>
  <c r="BS21" i="7" s="1"/>
  <c r="BR20" i="7" s="1"/>
  <c r="BQ19" i="7" s="1"/>
  <c r="BP18" i="7" s="1"/>
  <c r="BO17" i="7" s="1"/>
  <c r="BN16" i="7" s="1"/>
  <c r="BM15" i="7" s="1"/>
  <c r="BT42" i="7"/>
  <c r="BT25" i="7"/>
  <c r="BS24" i="7" s="1"/>
  <c r="BR23" i="7" s="1"/>
  <c r="BQ22" i="7" s="1"/>
  <c r="BP21" i="7" s="1"/>
  <c r="BO20" i="7" s="1"/>
  <c r="BU14" i="7"/>
  <c r="BT13" i="7" s="1"/>
  <c r="BS12" i="7" s="1"/>
  <c r="BR11" i="7" s="1"/>
  <c r="BQ10" i="7" s="1"/>
  <c r="BP9" i="7" s="1"/>
  <c r="BO8" i="7" s="1"/>
  <c r="BN7" i="7" s="1"/>
  <c r="BM6" i="7" s="1"/>
  <c r="BU45" i="7"/>
  <c r="BT44" i="7" s="1"/>
  <c r="BS43" i="7" s="1"/>
  <c r="BR42" i="7" s="1"/>
  <c r="BQ41" i="7" s="1"/>
  <c r="BP40" i="7" s="1"/>
  <c r="BO39" i="7" s="1"/>
  <c r="BP42" i="7"/>
  <c r="BO41" i="7" s="1"/>
  <c r="BN40" i="7" s="1"/>
  <c r="BM39" i="7" s="1"/>
  <c r="BB7" i="7"/>
  <c r="V53" i="7"/>
  <c r="BT67" i="7"/>
  <c r="BS66" i="7" s="1"/>
  <c r="BR65" i="7" s="1"/>
  <c r="BQ64" i="7" s="1"/>
  <c r="BP63" i="7" s="1"/>
  <c r="BO62" i="7" s="1"/>
  <c r="AF47" i="7"/>
  <c r="AF45" i="7"/>
  <c r="BB30" i="7"/>
  <c r="AF48" i="7"/>
  <c r="V9" i="7"/>
  <c r="AF9" i="7"/>
  <c r="BU19" i="7"/>
  <c r="BT18" i="7" s="1"/>
  <c r="BS17" i="7" s="1"/>
  <c r="BR16" i="7" s="1"/>
  <c r="BQ15" i="7" s="1"/>
  <c r="BP14" i="7" s="1"/>
  <c r="BO13" i="7" s="1"/>
  <c r="BB29" i="7"/>
  <c r="BU34" i="7"/>
  <c r="BT33" i="7" s="1"/>
  <c r="BS32" i="7" s="1"/>
  <c r="AF43" i="7"/>
  <c r="AF24" i="7"/>
  <c r="V46" i="7"/>
  <c r="V55" i="7"/>
  <c r="BB25" i="7"/>
  <c r="BU30" i="7"/>
  <c r="BT29" i="7" s="1"/>
  <c r="BS28" i="7" s="1"/>
  <c r="BR27" i="7" s="1"/>
  <c r="BQ26" i="7" s="1"/>
  <c r="BP25" i="7" s="1"/>
  <c r="BO24" i="7" s="1"/>
  <c r="AF42" i="7"/>
  <c r="AF41" i="7"/>
  <c r="V12" i="7"/>
  <c r="BT59" i="7"/>
  <c r="BS58" i="7" s="1"/>
  <c r="BR57" i="7" s="1"/>
  <c r="BQ56" i="7" s="1"/>
  <c r="BP55" i="7" s="1"/>
  <c r="BO54" i="7" s="1"/>
  <c r="V63" i="7"/>
  <c r="AF67" i="7"/>
  <c r="BB61" i="7"/>
  <c r="AF46" i="7"/>
  <c r="BB69" i="7"/>
  <c r="V48" i="7"/>
  <c r="AF72" i="7"/>
  <c r="AF55" i="7"/>
  <c r="V62" i="7"/>
  <c r="V67" i="7"/>
  <c r="BU55" i="7"/>
  <c r="BT54" i="7" s="1"/>
  <c r="BS53" i="7" s="1"/>
  <c r="BR52" i="7" s="1"/>
  <c r="BQ51" i="7" s="1"/>
  <c r="BP50" i="7" s="1"/>
  <c r="BB64" i="7"/>
  <c r="V27" i="7"/>
  <c r="BU39" i="7"/>
  <c r="BT38" i="7" s="1"/>
  <c r="BS37" i="7" s="1"/>
  <c r="BR36" i="7" s="1"/>
  <c r="BQ35" i="7" s="1"/>
  <c r="BP34" i="7" s="1"/>
  <c r="BO33" i="7" s="1"/>
  <c r="BU3" i="7"/>
  <c r="BT2" i="7" s="1"/>
  <c r="BU49" i="7"/>
  <c r="BT48" i="7" s="1"/>
  <c r="BS47" i="7" s="1"/>
  <c r="BR46" i="7" s="1"/>
  <c r="BQ45" i="7" s="1"/>
  <c r="BP44" i="7" s="1"/>
  <c r="BO43" i="7" s="1"/>
  <c r="BN42" i="7" s="1"/>
  <c r="BM41" i="7" s="1"/>
  <c r="BT53" i="7"/>
  <c r="BS52" i="7" s="1"/>
  <c r="BR51" i="7" s="1"/>
  <c r="BQ50" i="7" s="1"/>
  <c r="BP49" i="7" s="1"/>
  <c r="BO48" i="7" s="1"/>
  <c r="BN47" i="7" s="1"/>
  <c r="BM46" i="7" s="1"/>
  <c r="BS68" i="7"/>
  <c r="BR67" i="7" s="1"/>
  <c r="BQ66" i="7" s="1"/>
  <c r="BQ62" i="7"/>
  <c r="BP61" i="7" s="1"/>
  <c r="BO60" i="7" s="1"/>
  <c r="BN59" i="7" s="1"/>
  <c r="BM58" i="7" s="1"/>
  <c r="BT26" i="7"/>
  <c r="BS25" i="7" s="1"/>
  <c r="BR24" i="7" s="1"/>
  <c r="BQ23" i="7" s="1"/>
  <c r="BP22" i="7" s="1"/>
  <c r="BO21" i="7" s="1"/>
  <c r="BB44" i="7"/>
  <c r="AF25" i="7"/>
  <c r="AF30" i="7"/>
  <c r="BU29" i="7"/>
  <c r="BT28" i="7" s="1"/>
  <c r="BS27" i="7" s="1"/>
  <c r="BR26" i="7" s="1"/>
  <c r="BQ25" i="7" s="1"/>
  <c r="BP24" i="7" s="1"/>
  <c r="BO23" i="7" s="1"/>
  <c r="BN22" i="7" s="1"/>
  <c r="BM21" i="7" s="1"/>
  <c r="BB24" i="7"/>
  <c r="AF68" i="7"/>
  <c r="BU57" i="7"/>
  <c r="BT56" i="7" s="1"/>
  <c r="BS55" i="7" s="1"/>
  <c r="BR54" i="7" s="1"/>
  <c r="BQ53" i="7" s="1"/>
  <c r="BP52" i="7" s="1"/>
  <c r="BO51" i="7" s="1"/>
  <c r="V41" i="7"/>
  <c r="V10" i="7"/>
  <c r="V5" i="7"/>
  <c r="V22" i="7"/>
  <c r="BT23" i="7"/>
  <c r="BS22" i="7" s="1"/>
  <c r="BR21" i="7" s="1"/>
  <c r="BQ20" i="7" s="1"/>
  <c r="BP19" i="7" s="1"/>
  <c r="BO18" i="7" s="1"/>
  <c r="BN17" i="7" s="1"/>
  <c r="BM16" i="7" s="1"/>
  <c r="BS71" i="7"/>
  <c r="BR70" i="7" s="1"/>
  <c r="BQ69" i="7" s="1"/>
  <c r="BP68" i="7" s="1"/>
  <c r="BO67" i="7" s="1"/>
  <c r="AF8" i="7"/>
  <c r="V28" i="7"/>
  <c r="V8" i="7"/>
  <c r="V23" i="7"/>
  <c r="AF53" i="7"/>
  <c r="BB14" i="7"/>
  <c r="BC13" i="7" s="1"/>
  <c r="BS59" i="7"/>
  <c r="BR58" i="7" s="1"/>
  <c r="BQ57" i="7" s="1"/>
  <c r="BP56" i="7" s="1"/>
  <c r="BO55" i="7" s="1"/>
  <c r="V30" i="7"/>
  <c r="BB45" i="7"/>
  <c r="BR9" i="7"/>
  <c r="BQ8" i="7" s="1"/>
  <c r="BP7" i="7" s="1"/>
  <c r="BO6" i="7" s="1"/>
  <c r="BN5" i="7" s="1"/>
  <c r="BM4" i="7" s="1"/>
  <c r="BT12" i="7"/>
  <c r="BS11" i="7" s="1"/>
  <c r="BR10" i="7" s="1"/>
  <c r="BQ9" i="7" s="1"/>
  <c r="BP8" i="7" s="1"/>
  <c r="BO7" i="7" s="1"/>
  <c r="BN6" i="7" s="1"/>
  <c r="BM5" i="7" s="1"/>
  <c r="BR72" i="7"/>
  <c r="BQ71" i="7" s="1"/>
  <c r="BP70" i="7" s="1"/>
  <c r="BO69" i="7" s="1"/>
  <c r="BN68" i="7" s="1"/>
  <c r="BM67" i="7" s="1"/>
  <c r="BT63" i="7"/>
  <c r="BS62" i="7" s="1"/>
  <c r="BR61" i="7" s="1"/>
  <c r="BQ60" i="7" s="1"/>
  <c r="BP59" i="7" s="1"/>
  <c r="BO58" i="7" s="1"/>
  <c r="BN57" i="7" s="1"/>
  <c r="BM56" i="7" s="1"/>
  <c r="BT41" i="7"/>
  <c r="BS40" i="7" s="1"/>
  <c r="BR39" i="7" s="1"/>
  <c r="BQ38" i="7" s="1"/>
  <c r="BP37" i="7" s="1"/>
  <c r="BO36" i="7" s="1"/>
  <c r="BN35" i="7" s="1"/>
  <c r="BM34" i="7" s="1"/>
  <c r="V26" i="7"/>
  <c r="BB37" i="7"/>
  <c r="V14" i="7"/>
  <c r="BU8" i="7"/>
  <c r="BT7" i="7" s="1"/>
  <c r="BS6" i="7" s="1"/>
  <c r="BR5" i="7" s="1"/>
  <c r="BQ4" i="7" s="1"/>
  <c r="BP3" i="7" s="1"/>
  <c r="BO2" i="7" s="1"/>
  <c r="BU21" i="7"/>
  <c r="BT20" i="7" s="1"/>
  <c r="BS19" i="7" s="1"/>
  <c r="BR18" i="7" s="1"/>
  <c r="BQ17" i="7" s="1"/>
  <c r="BP16" i="7" s="1"/>
  <c r="BO15" i="7" s="1"/>
  <c r="BU9" i="7"/>
  <c r="BT8" i="7" s="1"/>
  <c r="BS7" i="7" s="1"/>
  <c r="BR6" i="7" s="1"/>
  <c r="BQ5" i="7" s="1"/>
  <c r="BP4" i="7" s="1"/>
  <c r="BO3" i="7" s="1"/>
  <c r="BB23" i="7"/>
  <c r="EQ16" i="7"/>
  <c r="EQ5" i="7"/>
  <c r="EQ40" i="7"/>
  <c r="EQ24" i="7"/>
  <c r="EQ71" i="7"/>
  <c r="EQ20" i="7"/>
  <c r="EQ15" i="7"/>
  <c r="EQ33" i="7"/>
  <c r="EQ45" i="7"/>
  <c r="BS41" i="7"/>
  <c r="BR40" i="7" s="1"/>
  <c r="BQ39" i="7" s="1"/>
  <c r="BP38" i="7" s="1"/>
  <c r="BO37" i="7" s="1"/>
  <c r="AF34" i="7"/>
  <c r="V61" i="7"/>
  <c r="BU31" i="7"/>
  <c r="BT30" i="7" s="1"/>
  <c r="BS29" i="7" s="1"/>
  <c r="BR28" i="7" s="1"/>
  <c r="BQ27" i="7" s="1"/>
  <c r="BP26" i="7" s="1"/>
  <c r="BO25" i="7" s="1"/>
  <c r="BS5" i="7"/>
  <c r="BR4" i="7" s="1"/>
  <c r="BQ3" i="7" s="1"/>
  <c r="BP2" i="7" s="1"/>
  <c r="BB41" i="7"/>
  <c r="BC42" i="7" s="1"/>
  <c r="V16" i="7"/>
  <c r="BR29" i="7"/>
  <c r="BQ28" i="7" s="1"/>
  <c r="BP27" i="7" s="1"/>
  <c r="BO26" i="7" s="1"/>
  <c r="BT9" i="7"/>
  <c r="BS8" i="7" s="1"/>
  <c r="BR7" i="7" s="1"/>
  <c r="BQ6" i="7" s="1"/>
  <c r="BP5" i="7" s="1"/>
  <c r="BO4" i="7" s="1"/>
  <c r="BB73" i="7"/>
  <c r="V29" i="7"/>
  <c r="AF14" i="7"/>
  <c r="V66" i="7"/>
  <c r="AF10" i="7"/>
  <c r="BB9" i="7"/>
  <c r="BB8" i="7"/>
  <c r="V18" i="7"/>
  <c r="AF51" i="7"/>
  <c r="AF29" i="7"/>
  <c r="V73" i="7"/>
  <c r="V19" i="7"/>
  <c r="BB20" i="7"/>
  <c r="BB11" i="7"/>
  <c r="BC12" i="7" s="1"/>
  <c r="AF19" i="7"/>
  <c r="EQ13" i="7"/>
  <c r="EQ50" i="7"/>
  <c r="EQ48" i="7"/>
  <c r="EQ21" i="7"/>
  <c r="EQ12" i="7"/>
  <c r="EQ7" i="7"/>
  <c r="EQ4" i="7"/>
  <c r="EQ42" i="7"/>
  <c r="EQ73" i="7"/>
  <c r="BT5" i="7"/>
  <c r="BS4" i="7" s="1"/>
  <c r="BR3" i="7" s="1"/>
  <c r="BQ2" i="7" s="1"/>
  <c r="BT32" i="7"/>
  <c r="BS31" i="7" s="1"/>
  <c r="BR30" i="7" s="1"/>
  <c r="BQ29" i="7" s="1"/>
  <c r="BP28" i="7" s="1"/>
  <c r="BO27" i="7" s="1"/>
  <c r="EQ37" i="7"/>
  <c r="V21" i="7"/>
  <c r="BR73" i="7"/>
  <c r="BQ72" i="7" s="1"/>
  <c r="DR72" i="7" s="1"/>
  <c r="EQ3" i="7"/>
  <c r="EQ49" i="7"/>
  <c r="EQ58" i="7"/>
  <c r="EQ56" i="7"/>
  <c r="EQ41" i="7"/>
  <c r="EQ43" i="7"/>
  <c r="EQ38" i="7"/>
  <c r="EQ8" i="7"/>
  <c r="BU5" i="7"/>
  <c r="BT4" i="7" s="1"/>
  <c r="BS3" i="7" s="1"/>
  <c r="BR2" i="7" s="1"/>
  <c r="BB10" i="7"/>
  <c r="EQ57" i="7"/>
  <c r="EQ28" i="7"/>
  <c r="EQ23" i="7"/>
  <c r="EQ29" i="7"/>
  <c r="EQ55" i="7"/>
  <c r="EQ63" i="7"/>
  <c r="EQ18" i="7"/>
  <c r="EQ26" i="7"/>
  <c r="EQ62" i="7"/>
  <c r="EQ10" i="7"/>
  <c r="EQ72" i="7"/>
  <c r="EQ51" i="7"/>
  <c r="EQ46" i="7"/>
  <c r="EQ59" i="7"/>
  <c r="EQ54" i="7"/>
  <c r="EQ17" i="7"/>
  <c r="EQ25" i="7"/>
  <c r="EQ9" i="7"/>
  <c r="EQ52" i="7"/>
  <c r="EQ47" i="7"/>
  <c r="EQ66" i="7"/>
  <c r="EQ64" i="7"/>
  <c r="EQ11" i="7"/>
  <c r="EQ6" i="7"/>
  <c r="BB21" i="7"/>
  <c r="BP35" i="7"/>
  <c r="BO34" i="7" s="1"/>
  <c r="BN33" i="7" s="1"/>
  <c r="BM32" i="7" s="1"/>
  <c r="AF73" i="7"/>
  <c r="BB18" i="7"/>
  <c r="BC19" i="7" s="1"/>
  <c r="V17" i="7"/>
  <c r="BB3" i="7"/>
  <c r="EQ53" i="7"/>
  <c r="EQ36" i="7"/>
  <c r="EQ68" i="7"/>
  <c r="EQ31" i="7"/>
  <c r="EQ60" i="7"/>
  <c r="EQ61" i="7"/>
  <c r="EQ44" i="7"/>
  <c r="EQ39" i="7"/>
  <c r="EQ67" i="7"/>
  <c r="EQ69" i="7"/>
  <c r="EQ70" i="7"/>
  <c r="EQ65" i="7"/>
  <c r="BT10" i="7"/>
  <c r="BS9" i="7" s="1"/>
  <c r="BR8" i="7" s="1"/>
  <c r="BQ7" i="7" s="1"/>
  <c r="BP6" i="7" s="1"/>
  <c r="BO5" i="7" s="1"/>
  <c r="BT14" i="7"/>
  <c r="BS13" i="7" s="1"/>
  <c r="BR12" i="7" s="1"/>
  <c r="BQ11" i="7" s="1"/>
  <c r="BP10" i="7" s="1"/>
  <c r="BO9" i="7" s="1"/>
  <c r="EQ27" i="7"/>
  <c r="EQ22" i="7"/>
  <c r="EQ35" i="7"/>
  <c r="EQ30" i="7"/>
  <c r="BT19" i="7"/>
  <c r="BS18" i="7" s="1"/>
  <c r="BR17" i="7" s="1"/>
  <c r="BQ16" i="7" s="1"/>
  <c r="BP15" i="7" s="1"/>
  <c r="BO14" i="7" s="1"/>
  <c r="BN13" i="7" s="1"/>
  <c r="BM12" i="7" s="1"/>
  <c r="EQ19" i="7"/>
  <c r="EQ14" i="7"/>
  <c r="EQ32" i="7"/>
  <c r="EQ34" i="7"/>
  <c r="BT45" i="7"/>
  <c r="BS44" i="7" s="1"/>
  <c r="BR43" i="7" s="1"/>
  <c r="BQ42" i="7" s="1"/>
  <c r="BP41" i="7" s="1"/>
  <c r="BO40" i="7" s="1"/>
  <c r="BN39" i="7" s="1"/>
  <c r="BM38" i="7" s="1"/>
  <c r="EQ2" i="7"/>
  <c r="BN70" i="7"/>
  <c r="BM69" i="7" s="1"/>
  <c r="BN71" i="7"/>
  <c r="BM70" i="7" s="1"/>
  <c r="BN2" i="7"/>
  <c r="BP65" i="7"/>
  <c r="BO64" i="7" s="1"/>
  <c r="BT68" i="7"/>
  <c r="BS67" i="7" s="1"/>
  <c r="BR66" i="7" s="1"/>
  <c r="BQ65" i="7" s="1"/>
  <c r="BP64" i="7" s="1"/>
  <c r="BO63" i="7" s="1"/>
  <c r="BT47" i="7"/>
  <c r="BS46" i="7" s="1"/>
  <c r="BR45" i="7" s="1"/>
  <c r="BQ44" i="7" s="1"/>
  <c r="BP43" i="7" s="1"/>
  <c r="BO42" i="7" s="1"/>
  <c r="BQ34" i="7"/>
  <c r="BP33" i="7" s="1"/>
  <c r="BO32" i="7" s="1"/>
  <c r="BT17" i="7"/>
  <c r="BS16" i="7" s="1"/>
  <c r="BR15" i="7" s="1"/>
  <c r="BQ14" i="7" s="1"/>
  <c r="BP13" i="7" s="1"/>
  <c r="BO12" i="7" s="1"/>
  <c r="BT34" i="7"/>
  <c r="BS33" i="7" s="1"/>
  <c r="BR32" i="7" s="1"/>
  <c r="BQ31" i="7" s="1"/>
  <c r="BP30" i="7" s="1"/>
  <c r="BO29" i="7" s="1"/>
  <c r="AF33" i="7"/>
  <c r="AF15" i="7"/>
  <c r="AF37" i="7"/>
  <c r="BB48" i="7"/>
  <c r="BB47" i="7"/>
  <c r="AF58" i="7"/>
  <c r="BB56" i="7"/>
  <c r="AF21" i="7"/>
  <c r="BB15" i="7"/>
  <c r="BB67" i="7"/>
  <c r="BB38" i="7"/>
  <c r="AF26" i="7"/>
  <c r="BB33" i="7"/>
  <c r="BB55" i="7"/>
  <c r="BS50" i="7"/>
  <c r="BR49" i="7" s="1"/>
  <c r="BQ48" i="7" s="1"/>
  <c r="BP47" i="7" s="1"/>
  <c r="BO46" i="7" s="1"/>
  <c r="BB26" i="7"/>
  <c r="V33" i="7"/>
  <c r="BO16" i="7"/>
  <c r="BB71" i="7"/>
  <c r="V57" i="7"/>
  <c r="V50" i="7"/>
  <c r="V15" i="7"/>
  <c r="V59" i="7"/>
  <c r="BB27" i="7"/>
  <c r="BB22" i="7"/>
  <c r="BT58" i="7"/>
  <c r="BS57" i="7" s="1"/>
  <c r="BR56" i="7" s="1"/>
  <c r="BQ55" i="7" s="1"/>
  <c r="BP54" i="7" s="1"/>
  <c r="BO53" i="7" s="1"/>
  <c r="BT71" i="7"/>
  <c r="BS70" i="7" s="1"/>
  <c r="BR69" i="7" s="1"/>
  <c r="BQ68" i="7" s="1"/>
  <c r="BP67" i="7" s="1"/>
  <c r="BO66" i="7" s="1"/>
  <c r="BT15" i="7"/>
  <c r="BS14" i="7" s="1"/>
  <c r="BR13" i="7" s="1"/>
  <c r="BQ12" i="7" s="1"/>
  <c r="BP11" i="7" s="1"/>
  <c r="BO10" i="7" s="1"/>
  <c r="V54" i="7"/>
  <c r="BS35" i="7"/>
  <c r="BR34" i="7" s="1"/>
  <c r="BQ33" i="7" s="1"/>
  <c r="BP32" i="7" s="1"/>
  <c r="BO31" i="7" s="1"/>
  <c r="V58" i="7"/>
  <c r="BB68" i="7"/>
  <c r="V68" i="7"/>
  <c r="V49" i="7"/>
  <c r="AF27" i="7"/>
  <c r="BB66" i="7"/>
  <c r="BS49" i="7"/>
  <c r="BR48" i="7" s="1"/>
  <c r="BQ47" i="7" s="1"/>
  <c r="BP46" i="7" s="1"/>
  <c r="BO45" i="7" s="1"/>
  <c r="V65" i="7"/>
  <c r="BB57" i="7"/>
  <c r="BB54" i="7"/>
  <c r="BC53" i="7" s="1"/>
  <c r="V35" i="7"/>
  <c r="BB65" i="7"/>
  <c r="BO49" i="7"/>
  <c r="BT3" i="7"/>
  <c r="BS2" i="7" s="1"/>
  <c r="BB49" i="7"/>
  <c r="BR59" i="7"/>
  <c r="BQ58" i="7" s="1"/>
  <c r="BP57" i="7" s="1"/>
  <c r="BO56" i="7" s="1"/>
  <c r="BB34" i="7"/>
  <c r="V31" i="7"/>
  <c r="V4" i="7"/>
  <c r="BB72" i="7"/>
  <c r="AF4" i="7"/>
  <c r="AF66" i="7"/>
  <c r="BB60" i="7"/>
  <c r="DR73" i="7"/>
  <c r="AF39" i="7"/>
  <c r="BB5" i="7"/>
  <c r="BB51" i="7"/>
  <c r="AF65" i="7"/>
  <c r="AF56" i="7"/>
  <c r="AF57" i="7"/>
  <c r="BB58" i="7"/>
  <c r="AF50" i="7"/>
  <c r="BB36" i="7"/>
  <c r="BB32" i="7"/>
  <c r="AF35" i="7"/>
  <c r="BB35" i="7"/>
  <c r="AF49" i="7"/>
  <c r="BR31" i="7"/>
  <c r="BQ30" i="7" s="1"/>
  <c r="BP29" i="7" s="1"/>
  <c r="BO28" i="7" s="1"/>
  <c r="DL73" i="7"/>
  <c r="AF71" i="7"/>
  <c r="AF3" i="7"/>
  <c r="AF31" i="7"/>
  <c r="BB50" i="7"/>
  <c r="BB62" i="7"/>
  <c r="AF54" i="7"/>
  <c r="BB28" i="7"/>
  <c r="BB16" i="7"/>
  <c r="DV73" i="7"/>
  <c r="BB31" i="7"/>
  <c r="AF59" i="7"/>
  <c r="BB59" i="7"/>
  <c r="AF40" i="7"/>
  <c r="BB40" i="7"/>
  <c r="BB63" i="7"/>
  <c r="AF62" i="7"/>
  <c r="BB39" i="7"/>
  <c r="DK72" i="7"/>
  <c r="DU72" i="7"/>
  <c r="DJ73" i="7"/>
  <c r="DT73" i="7"/>
  <c r="DH73" i="7"/>
  <c r="BC43" i="7"/>
  <c r="BC20" i="7" l="1"/>
  <c r="BC6" i="7"/>
  <c r="DQ73" i="7"/>
  <c r="CL2" i="7"/>
  <c r="CT2" i="7"/>
  <c r="DG73" i="7"/>
  <c r="DW2" i="7"/>
  <c r="BN38" i="7"/>
  <c r="BM37" i="7" s="1"/>
  <c r="BC7" i="7"/>
  <c r="BC8" i="7"/>
  <c r="CL20" i="7"/>
  <c r="BC69" i="7"/>
  <c r="BC46" i="7"/>
  <c r="CL18" i="7"/>
  <c r="DT72" i="7"/>
  <c r="DU73" i="7"/>
  <c r="DK73" i="7"/>
  <c r="BC52" i="7"/>
  <c r="BC45" i="7"/>
  <c r="BC11" i="7"/>
  <c r="CL4" i="7"/>
  <c r="BC44" i="7"/>
  <c r="CL9" i="7"/>
  <c r="BC18" i="7"/>
  <c r="DS73" i="7"/>
  <c r="BC73" i="7"/>
  <c r="BC70" i="7"/>
  <c r="BC14" i="7"/>
  <c r="BC24" i="7"/>
  <c r="DI73" i="7"/>
  <c r="BN3" i="7"/>
  <c r="DN2" i="7" s="1"/>
  <c r="BC21" i="7"/>
  <c r="BC25" i="7"/>
  <c r="CL72" i="7"/>
  <c r="DS72" i="7"/>
  <c r="BC17" i="7"/>
  <c r="BN8" i="7"/>
  <c r="BM7" i="7" s="1"/>
  <c r="BC10" i="7"/>
  <c r="BN19" i="7"/>
  <c r="BM18" i="7" s="1"/>
  <c r="CL5" i="7"/>
  <c r="CL41" i="7"/>
  <c r="BC9" i="7"/>
  <c r="DH72" i="7"/>
  <c r="BN4" i="7"/>
  <c r="BM3" i="7" s="1"/>
  <c r="CL7" i="7"/>
  <c r="CL19" i="7"/>
  <c r="CL8" i="7"/>
  <c r="BC3" i="7"/>
  <c r="BP71" i="7"/>
  <c r="BO70" i="7" s="1"/>
  <c r="BN69" i="7" s="1"/>
  <c r="BM68" i="7" s="1"/>
  <c r="CL6" i="7"/>
  <c r="CL47" i="7"/>
  <c r="CL61" i="7"/>
  <c r="CL36" i="7"/>
  <c r="CL3" i="7"/>
  <c r="CL43" i="7"/>
  <c r="CL39" i="7"/>
  <c r="BN25" i="7"/>
  <c r="BM24" i="7" s="1"/>
  <c r="CL26" i="7"/>
  <c r="BN21" i="7"/>
  <c r="BM20" i="7" s="1"/>
  <c r="CL22" i="7"/>
  <c r="BN49" i="7"/>
  <c r="BM48" i="7" s="1"/>
  <c r="CL50" i="7"/>
  <c r="BN27" i="7"/>
  <c r="BM26" i="7" s="1"/>
  <c r="CL28" i="7"/>
  <c r="BN58" i="7"/>
  <c r="BM57" i="7" s="1"/>
  <c r="CL59" i="7"/>
  <c r="BN45" i="7"/>
  <c r="BM44" i="7" s="1"/>
  <c r="CL46" i="7"/>
  <c r="BN26" i="7"/>
  <c r="BM25" i="7" s="1"/>
  <c r="CL27" i="7"/>
  <c r="BN11" i="7"/>
  <c r="BM10" i="7" s="1"/>
  <c r="CL12" i="7"/>
  <c r="BN63" i="7"/>
  <c r="BM62" i="7" s="1"/>
  <c r="CL64" i="7"/>
  <c r="CL48" i="7"/>
  <c r="CL17" i="7"/>
  <c r="CL58" i="7"/>
  <c r="BN48" i="7"/>
  <c r="BM47" i="7" s="1"/>
  <c r="CL49" i="7"/>
  <c r="BN61" i="7"/>
  <c r="BM60" i="7" s="1"/>
  <c r="CL62" i="7"/>
  <c r="BN28" i="7"/>
  <c r="BM27" i="7" s="1"/>
  <c r="CL29" i="7"/>
  <c r="BN24" i="7"/>
  <c r="BM23" i="7" s="1"/>
  <c r="DN23" i="7" s="1"/>
  <c r="CL25" i="7"/>
  <c r="BN55" i="7"/>
  <c r="BM54" i="7" s="1"/>
  <c r="CL56" i="7"/>
  <c r="BN54" i="7"/>
  <c r="BM53" i="7" s="1"/>
  <c r="CL55" i="7"/>
  <c r="BN34" i="7"/>
  <c r="BM33" i="7" s="1"/>
  <c r="CL35" i="7"/>
  <c r="BN51" i="7"/>
  <c r="BM50" i="7" s="1"/>
  <c r="CL52" i="7"/>
  <c r="BN31" i="7"/>
  <c r="BM30" i="7" s="1"/>
  <c r="CL32" i="7"/>
  <c r="CL60" i="7"/>
  <c r="CL14" i="7"/>
  <c r="CL11" i="7"/>
  <c r="BN52" i="7"/>
  <c r="BM51" i="7" s="1"/>
  <c r="CL53" i="7"/>
  <c r="BN32" i="7"/>
  <c r="BM31" i="7" s="1"/>
  <c r="CL33" i="7"/>
  <c r="BN9" i="7"/>
  <c r="BM8" i="7" s="1"/>
  <c r="CL10" i="7"/>
  <c r="BN56" i="7"/>
  <c r="BM55" i="7" s="1"/>
  <c r="CL57" i="7"/>
  <c r="BN41" i="7"/>
  <c r="BM40" i="7" s="1"/>
  <c r="CL42" i="7"/>
  <c r="CL65" i="7"/>
  <c r="CL23" i="7"/>
  <c r="BN36" i="7"/>
  <c r="BM35" i="7" s="1"/>
  <c r="CL37" i="7"/>
  <c r="BN15" i="7"/>
  <c r="BM14" i="7" s="1"/>
  <c r="CL16" i="7"/>
  <c r="BN12" i="7"/>
  <c r="BM11" i="7" s="1"/>
  <c r="CL13" i="7"/>
  <c r="BN14" i="7"/>
  <c r="BM13" i="7" s="1"/>
  <c r="CL15" i="7"/>
  <c r="BN29" i="7"/>
  <c r="BM28" i="7" s="1"/>
  <c r="CL30" i="7"/>
  <c r="BN20" i="7"/>
  <c r="BM19" i="7" s="1"/>
  <c r="CL21" i="7"/>
  <c r="BN44" i="7"/>
  <c r="BM43" i="7" s="1"/>
  <c r="CL45" i="7"/>
  <c r="BN30" i="7"/>
  <c r="BM29" i="7" s="1"/>
  <c r="CL31" i="7"/>
  <c r="BN65" i="7"/>
  <c r="BM64" i="7" s="1"/>
  <c r="CL66" i="7"/>
  <c r="BN23" i="7"/>
  <c r="BM22" i="7" s="1"/>
  <c r="CL24" i="7"/>
  <c r="CL69" i="7"/>
  <c r="CL68" i="7"/>
  <c r="BN62" i="7"/>
  <c r="BM61" i="7" s="1"/>
  <c r="CL63" i="7"/>
  <c r="BN37" i="7"/>
  <c r="BM36" i="7" s="1"/>
  <c r="CL38" i="7"/>
  <c r="BN53" i="7"/>
  <c r="BM52" i="7" s="1"/>
  <c r="CL54" i="7"/>
  <c r="BN50" i="7"/>
  <c r="BM49" i="7" s="1"/>
  <c r="CL51" i="7"/>
  <c r="BN66" i="7"/>
  <c r="BM65" i="7" s="1"/>
  <c r="CL67" i="7"/>
  <c r="BN43" i="7"/>
  <c r="BM42" i="7" s="1"/>
  <c r="CL44" i="7"/>
  <c r="CL40" i="7"/>
  <c r="CL34" i="7"/>
  <c r="BC49" i="7"/>
  <c r="BC47" i="7"/>
  <c r="BC48" i="7"/>
  <c r="BC57" i="7"/>
  <c r="BC72" i="7"/>
  <c r="BC37" i="7"/>
  <c r="BC68" i="7"/>
  <c r="BC22" i="7"/>
  <c r="BC67" i="7"/>
  <c r="BC38" i="7"/>
  <c r="BC23" i="7"/>
  <c r="BC54" i="7"/>
  <c r="BC71" i="7"/>
  <c r="BC26" i="7"/>
  <c r="BC64" i="7"/>
  <c r="BC55" i="7"/>
  <c r="BC56" i="7"/>
  <c r="BC27" i="7"/>
  <c r="BC66" i="7"/>
  <c r="BC65" i="7"/>
  <c r="BC34" i="7"/>
  <c r="BC33" i="7"/>
  <c r="BC32" i="7"/>
  <c r="BC5" i="7"/>
  <c r="BC16" i="7"/>
  <c r="BC51" i="7"/>
  <c r="BC39" i="7"/>
  <c r="BC4" i="7"/>
  <c r="BC36" i="7"/>
  <c r="BC59" i="7"/>
  <c r="BC29" i="7"/>
  <c r="BC58" i="7"/>
  <c r="BC31" i="7"/>
  <c r="BC41" i="7"/>
  <c r="BC35" i="7"/>
  <c r="BC30" i="7"/>
  <c r="BC15" i="7"/>
  <c r="BC60" i="7"/>
  <c r="BC62" i="7"/>
  <c r="BC28" i="7"/>
  <c r="BC61" i="7"/>
  <c r="BC40" i="7"/>
  <c r="BC63" i="7"/>
  <c r="BC50" i="7"/>
  <c r="DP71" i="7"/>
  <c r="DP72" i="7"/>
  <c r="DJ71" i="7"/>
  <c r="DT71" i="7"/>
  <c r="DG72" i="7"/>
  <c r="DQ72" i="7"/>
  <c r="DJ72" i="7"/>
  <c r="DI72" i="7"/>
  <c r="ES2" i="7" l="1"/>
  <c r="DY2" i="7"/>
  <c r="CL70" i="7"/>
  <c r="DG71" i="7"/>
  <c r="DQ71" i="7"/>
  <c r="CL71" i="7"/>
  <c r="DO70" i="7"/>
  <c r="DO69" i="7"/>
  <c r="DP70" i="7"/>
  <c r="DI71" i="7"/>
  <c r="DS71" i="7"/>
  <c r="DG70" i="7"/>
  <c r="DQ70" i="7"/>
  <c r="DI70" i="7"/>
  <c r="DS70" i="7"/>
  <c r="DH71" i="7"/>
  <c r="DR71" i="7"/>
  <c r="DO71" i="7"/>
  <c r="DN69" i="7" l="1"/>
  <c r="DG69" i="7"/>
  <c r="DH69" i="7"/>
  <c r="DR69" i="7"/>
  <c r="DN70" i="7"/>
  <c r="DH70" i="7"/>
  <c r="DR70" i="7"/>
  <c r="DP69" i="7"/>
  <c r="DN68" i="7"/>
  <c r="DV67" i="7" l="1"/>
  <c r="DL67" i="7"/>
  <c r="DV68" i="7"/>
  <c r="DL68" i="7"/>
  <c r="DV69" i="7"/>
  <c r="DL69" i="7"/>
  <c r="DP68" i="7"/>
  <c r="DQ69" i="7"/>
  <c r="DO68" i="7"/>
  <c r="DG68" i="7"/>
  <c r="DQ68" i="7"/>
  <c r="DU67" i="7" l="1"/>
  <c r="DK67" i="7"/>
  <c r="DU68" i="7"/>
  <c r="DK68" i="7"/>
  <c r="DK66" i="7"/>
  <c r="DU66" i="7"/>
  <c r="DP67" i="7"/>
  <c r="DN67" i="7"/>
  <c r="DJ67" i="7" l="1"/>
  <c r="DT67" i="7"/>
  <c r="DV66" i="7"/>
  <c r="DL66" i="7"/>
  <c r="DJ65" i="7"/>
  <c r="DT65" i="7"/>
  <c r="DT66" i="7"/>
  <c r="DJ66" i="7"/>
  <c r="DO67" i="7"/>
  <c r="DO66" i="7"/>
  <c r="DI65" i="7" l="1"/>
  <c r="DS65" i="7"/>
  <c r="DK65" i="7"/>
  <c r="DU65" i="7"/>
  <c r="DI64" i="7"/>
  <c r="DS64" i="7"/>
  <c r="DS66" i="7"/>
  <c r="DI66" i="7"/>
  <c r="DN66" i="7"/>
  <c r="DN65" i="7"/>
  <c r="DV65" i="7" l="1"/>
  <c r="DL65" i="7"/>
  <c r="DR65" i="7"/>
  <c r="DH65" i="7"/>
  <c r="DV64" i="7"/>
  <c r="DL64" i="7"/>
  <c r="DJ64" i="7"/>
  <c r="DT64" i="7"/>
  <c r="DH63" i="7"/>
  <c r="DR63" i="7"/>
  <c r="DH64" i="7"/>
  <c r="DR64" i="7"/>
  <c r="DG63" i="7" l="1"/>
  <c r="DQ63" i="7"/>
  <c r="DI63" i="7"/>
  <c r="DS63" i="7"/>
  <c r="DG64" i="7"/>
  <c r="DQ64" i="7"/>
  <c r="DG62" i="7"/>
  <c r="DQ62" i="7"/>
  <c r="DU63" i="7"/>
  <c r="DK63" i="7"/>
  <c r="DK64" i="7"/>
  <c r="DU64" i="7"/>
  <c r="DJ63" i="7" l="1"/>
  <c r="DT63" i="7"/>
  <c r="DP61" i="7"/>
  <c r="DR62" i="7"/>
  <c r="DH62" i="7"/>
  <c r="DJ62" i="7"/>
  <c r="DT62" i="7"/>
  <c r="DP63" i="7"/>
  <c r="DP62" i="7"/>
  <c r="H20" i="7"/>
  <c r="H56" i="7"/>
  <c r="H5" i="7"/>
  <c r="H18" i="7"/>
  <c r="H57" i="7"/>
  <c r="H71" i="7"/>
  <c r="H48" i="7"/>
  <c r="H12" i="7"/>
  <c r="H33" i="7"/>
  <c r="H42" i="7"/>
  <c r="H25" i="7"/>
  <c r="H13" i="7"/>
  <c r="H60" i="7"/>
  <c r="H24" i="7"/>
  <c r="H34" i="7"/>
  <c r="DI61" i="7" l="1"/>
  <c r="DS61" i="7"/>
  <c r="DO60" i="7"/>
  <c r="DO62" i="7"/>
  <c r="DG61" i="7"/>
  <c r="DQ61" i="7"/>
  <c r="DO61" i="7"/>
  <c r="DI62" i="7"/>
  <c r="DS62" i="7"/>
  <c r="H40" i="7"/>
  <c r="H62" i="7"/>
  <c r="H68" i="7"/>
  <c r="H14" i="7"/>
  <c r="H51" i="7"/>
  <c r="H17" i="7"/>
  <c r="H72" i="7"/>
  <c r="H36" i="7"/>
  <c r="H27" i="7"/>
  <c r="H69" i="7"/>
  <c r="H28" i="7"/>
  <c r="H41" i="7"/>
  <c r="H35" i="7"/>
  <c r="H15" i="7"/>
  <c r="H58" i="7"/>
  <c r="H37" i="7"/>
  <c r="H55" i="7"/>
  <c r="H46" i="7"/>
  <c r="H29" i="7"/>
  <c r="H47" i="7"/>
  <c r="H53" i="7"/>
  <c r="H11" i="7"/>
  <c r="H23" i="7"/>
  <c r="H49" i="7"/>
  <c r="H65" i="7"/>
  <c r="H70" i="7"/>
  <c r="H64" i="7"/>
  <c r="H44" i="7"/>
  <c r="H67" i="7"/>
  <c r="H4" i="7"/>
  <c r="H10" i="7"/>
  <c r="H59" i="7"/>
  <c r="H22" i="7"/>
  <c r="H32" i="7"/>
  <c r="H52" i="7"/>
  <c r="H7" i="7"/>
  <c r="H39" i="7"/>
  <c r="H19" i="7"/>
  <c r="H9" i="7"/>
  <c r="H21" i="7"/>
  <c r="H45" i="7"/>
  <c r="H26" i="7"/>
  <c r="H8" i="7"/>
  <c r="H63" i="7"/>
  <c r="H50" i="7"/>
  <c r="H54" i="7"/>
  <c r="H38" i="7"/>
  <c r="H6" i="7"/>
  <c r="H31" i="7"/>
  <c r="H66" i="7"/>
  <c r="H16" i="7"/>
  <c r="H61" i="7"/>
  <c r="H43" i="7"/>
  <c r="H30" i="7"/>
  <c r="H73" i="7"/>
  <c r="DP60" i="7" l="1"/>
  <c r="DN59" i="7"/>
  <c r="DN60" i="7"/>
  <c r="DN61" i="7"/>
  <c r="DR61" i="7"/>
  <c r="DH61" i="7"/>
  <c r="DH60" i="7"/>
  <c r="DR60" i="7"/>
  <c r="DV58" i="7" l="1"/>
  <c r="DL58" i="7"/>
  <c r="DV59" i="7"/>
  <c r="DL59" i="7"/>
  <c r="DV60" i="7"/>
  <c r="DL60" i="7"/>
  <c r="DQ60" i="7"/>
  <c r="DG60" i="7"/>
  <c r="DG59" i="7"/>
  <c r="DQ59" i="7"/>
  <c r="DO59" i="7"/>
  <c r="DN58" i="7" l="1"/>
  <c r="DK59" i="7"/>
  <c r="DU59" i="7"/>
  <c r="DP59" i="7"/>
  <c r="DK58" i="7"/>
  <c r="DU58" i="7"/>
  <c r="DP58" i="7"/>
  <c r="DK57" i="7"/>
  <c r="DU57" i="7"/>
  <c r="DT57" i="7" l="1"/>
  <c r="DJ57" i="7"/>
  <c r="DO57" i="7"/>
  <c r="DT58" i="7"/>
  <c r="DJ58" i="7"/>
  <c r="DT56" i="7"/>
  <c r="DJ56" i="7"/>
  <c r="DO58" i="7"/>
  <c r="DL57" i="7"/>
  <c r="DV57" i="7"/>
  <c r="DN56" i="7" l="1"/>
  <c r="DN57" i="7"/>
  <c r="DU56" i="7"/>
  <c r="DK56" i="7"/>
  <c r="DI57" i="7"/>
  <c r="DS57" i="7"/>
  <c r="DI56" i="7"/>
  <c r="DS56" i="7"/>
  <c r="DS55" i="7"/>
  <c r="DI55" i="7"/>
  <c r="DH56" i="7" l="1"/>
  <c r="DR56" i="7"/>
  <c r="DH55" i="7"/>
  <c r="DR55" i="7"/>
  <c r="DV56" i="7"/>
  <c r="DL56" i="7"/>
  <c r="DJ55" i="7"/>
  <c r="DT55" i="7"/>
  <c r="DV55" i="7"/>
  <c r="DL55" i="7"/>
  <c r="DH54" i="7"/>
  <c r="DR54" i="7"/>
  <c r="DK54" i="7" l="1"/>
  <c r="DU54" i="7"/>
  <c r="DG54" i="7"/>
  <c r="DQ54" i="7"/>
  <c r="DK55" i="7"/>
  <c r="DU55" i="7"/>
  <c r="DG53" i="7"/>
  <c r="DQ53" i="7"/>
  <c r="DI54" i="7"/>
  <c r="DS54" i="7"/>
  <c r="DG55" i="7"/>
  <c r="DQ55" i="7"/>
  <c r="DP53" i="7" l="1"/>
  <c r="DP52" i="7"/>
  <c r="DH53" i="7"/>
  <c r="DR53" i="7"/>
  <c r="DJ54" i="7"/>
  <c r="DT54" i="7"/>
  <c r="DP54" i="7"/>
  <c r="DJ53" i="7"/>
  <c r="DT53" i="7"/>
  <c r="DI53" i="7" l="1"/>
  <c r="DS53" i="7"/>
  <c r="DO51" i="7"/>
  <c r="DI52" i="7"/>
  <c r="DS52" i="7"/>
  <c r="DO53" i="7"/>
  <c r="DG52" i="7"/>
  <c r="DQ52" i="7"/>
  <c r="DO52" i="7"/>
  <c r="DN51" i="7" l="1"/>
  <c r="DH51" i="7"/>
  <c r="DR51" i="7"/>
  <c r="DN50" i="7"/>
  <c r="DN52" i="7"/>
  <c r="DP51" i="7"/>
  <c r="DH52" i="7"/>
  <c r="DR52" i="7"/>
  <c r="DG50" i="7" l="1"/>
  <c r="DQ50" i="7"/>
  <c r="DV50" i="7"/>
  <c r="DL50" i="7"/>
  <c r="DO50" i="7"/>
  <c r="DV49" i="7"/>
  <c r="DL49" i="7"/>
  <c r="DG51" i="7"/>
  <c r="DQ51" i="7"/>
  <c r="DV51" i="7"/>
  <c r="DL51" i="7"/>
  <c r="DK50" i="7" l="1"/>
  <c r="DU50" i="7"/>
  <c r="DK48" i="7"/>
  <c r="DU48" i="7"/>
  <c r="DK49" i="7"/>
  <c r="DU49" i="7"/>
  <c r="DP49" i="7"/>
  <c r="DN49" i="7"/>
  <c r="DP50" i="7"/>
  <c r="DL48" i="7" l="1"/>
  <c r="DV48" i="7"/>
  <c r="DJ48" i="7"/>
  <c r="DT48" i="7"/>
  <c r="DT47" i="7"/>
  <c r="DJ47" i="7"/>
  <c r="DJ49" i="7"/>
  <c r="DT49" i="7"/>
  <c r="DO48" i="7"/>
  <c r="DO49" i="7"/>
  <c r="DN47" i="7" l="1"/>
  <c r="DI47" i="7"/>
  <c r="DS47" i="7"/>
  <c r="DN48" i="7"/>
  <c r="DS46" i="7"/>
  <c r="DI46" i="7"/>
  <c r="DI48" i="7"/>
  <c r="DS48" i="7"/>
  <c r="DK47" i="7"/>
  <c r="DU47" i="7"/>
  <c r="DR45" i="7" l="1"/>
  <c r="DH45" i="7"/>
  <c r="DR46" i="7"/>
  <c r="DH46" i="7"/>
  <c r="DR47" i="7"/>
  <c r="DH47" i="7"/>
  <c r="DV47" i="7"/>
  <c r="DL47" i="7"/>
  <c r="DT46" i="7"/>
  <c r="DJ46" i="7"/>
  <c r="DV46" i="7"/>
  <c r="DL46" i="7"/>
  <c r="DG45" i="7" l="1"/>
  <c r="DQ45" i="7"/>
  <c r="DS45" i="7"/>
  <c r="DI45" i="7"/>
  <c r="DQ46" i="7"/>
  <c r="DG46" i="7"/>
  <c r="DK45" i="7"/>
  <c r="DU45" i="7"/>
  <c r="DU46" i="7"/>
  <c r="DK46" i="7"/>
  <c r="DQ44" i="7"/>
  <c r="DG44" i="7"/>
  <c r="DR44" i="7" l="1"/>
  <c r="DH44" i="7"/>
  <c r="DT45" i="7"/>
  <c r="DJ45" i="7"/>
  <c r="DP45" i="7"/>
  <c r="DJ44" i="7"/>
  <c r="DT44" i="7"/>
  <c r="DP43" i="7"/>
  <c r="DP44" i="7"/>
  <c r="DI43" i="7" l="1"/>
  <c r="DS43" i="7"/>
  <c r="DS44" i="7"/>
  <c r="DI44" i="7"/>
  <c r="DO42" i="7"/>
  <c r="DO44" i="7"/>
  <c r="DO43" i="7"/>
  <c r="DG43" i="7"/>
  <c r="DQ43" i="7"/>
  <c r="DN42" i="7" l="1"/>
  <c r="DR43" i="7"/>
  <c r="DH43" i="7"/>
  <c r="DP42" i="7"/>
  <c r="DN41" i="7"/>
  <c r="DN43" i="7"/>
  <c r="DR42" i="7"/>
  <c r="DH42" i="7"/>
  <c r="DQ41" i="7" l="1"/>
  <c r="DG41" i="7"/>
  <c r="DV40" i="7"/>
  <c r="DL40" i="7"/>
  <c r="DL42" i="7"/>
  <c r="DV42" i="7"/>
  <c r="DQ42" i="7"/>
  <c r="DG42" i="7"/>
  <c r="DO41" i="7"/>
  <c r="DV41" i="7"/>
  <c r="DL41" i="7"/>
  <c r="DP41" i="7" l="1"/>
  <c r="DK39" i="7"/>
  <c r="DU39" i="7"/>
  <c r="DN40" i="7"/>
  <c r="DU40" i="7"/>
  <c r="DK40" i="7"/>
  <c r="DK41" i="7"/>
  <c r="DU41" i="7"/>
  <c r="DP40" i="7"/>
  <c r="DJ39" i="7" l="1"/>
  <c r="DT39" i="7"/>
  <c r="DJ38" i="7"/>
  <c r="DT38" i="7"/>
  <c r="DV39" i="7"/>
  <c r="DL39" i="7"/>
  <c r="DT40" i="7"/>
  <c r="DJ40" i="7"/>
  <c r="DO39" i="7"/>
  <c r="DO40" i="7"/>
  <c r="DN38" i="7" l="1"/>
  <c r="DI37" i="7"/>
  <c r="DS37" i="7"/>
  <c r="DU38" i="7"/>
  <c r="DK38" i="7"/>
  <c r="DS39" i="7"/>
  <c r="DI39" i="7"/>
  <c r="DN39" i="7"/>
  <c r="DI38" i="7"/>
  <c r="DS38" i="7"/>
  <c r="DR38" i="7" l="1"/>
  <c r="DH38" i="7"/>
  <c r="DV38" i="7"/>
  <c r="DL38" i="7"/>
  <c r="DH36" i="7"/>
  <c r="DR36" i="7"/>
  <c r="DT37" i="7"/>
  <c r="DJ37" i="7"/>
  <c r="DL37" i="7"/>
  <c r="DV37" i="7"/>
  <c r="DR37" i="7"/>
  <c r="DH37" i="7"/>
  <c r="DK37" i="7" l="1"/>
  <c r="DU37" i="7"/>
  <c r="DK36" i="7"/>
  <c r="DU36" i="7"/>
  <c r="DG35" i="7"/>
  <c r="DQ35" i="7"/>
  <c r="DG36" i="7"/>
  <c r="DQ36" i="7"/>
  <c r="DG37" i="7"/>
  <c r="DQ37" i="7"/>
  <c r="DI36" i="7"/>
  <c r="DS36" i="7"/>
  <c r="DJ35" i="7" l="1"/>
  <c r="DT35" i="7"/>
  <c r="DP36" i="7"/>
  <c r="DP35" i="7"/>
  <c r="DP34" i="7"/>
  <c r="DH35" i="7"/>
  <c r="DR35" i="7"/>
  <c r="DT36" i="7"/>
  <c r="DJ36" i="7"/>
  <c r="DO35" i="7" l="1"/>
  <c r="DQ34" i="7"/>
  <c r="DG34" i="7"/>
  <c r="DO34" i="7"/>
  <c r="DO33" i="7"/>
  <c r="DI35" i="7"/>
  <c r="DS35" i="7"/>
  <c r="DI34" i="7"/>
  <c r="DS34" i="7"/>
  <c r="DP33" i="7" l="1"/>
  <c r="DH33" i="7"/>
  <c r="DR33" i="7"/>
  <c r="DN33" i="7"/>
  <c r="DR34" i="7"/>
  <c r="DH34" i="7"/>
  <c r="DN32" i="7"/>
  <c r="DN34" i="7"/>
  <c r="DV32" i="7" l="1"/>
  <c r="DL32" i="7"/>
  <c r="DL31" i="7"/>
  <c r="DV31" i="7"/>
  <c r="DV33" i="7"/>
  <c r="DL33" i="7"/>
  <c r="DQ32" i="7"/>
  <c r="DG32" i="7"/>
  <c r="DO32" i="7"/>
  <c r="DG33" i="7"/>
  <c r="DQ33" i="7"/>
  <c r="DK30" i="7" l="1"/>
  <c r="DU30" i="7"/>
  <c r="DP32" i="7"/>
  <c r="DK32" i="7"/>
  <c r="DU32" i="7"/>
  <c r="DK31" i="7"/>
  <c r="DU31" i="7"/>
  <c r="DP31" i="7"/>
  <c r="DN31" i="7"/>
  <c r="DO30" i="7" l="1"/>
  <c r="DO31" i="7"/>
  <c r="DT31" i="7"/>
  <c r="DJ31" i="7"/>
  <c r="DV30" i="7"/>
  <c r="DL30" i="7"/>
  <c r="DJ30" i="7"/>
  <c r="DT30" i="7"/>
  <c r="DT29" i="7"/>
  <c r="DJ29" i="7"/>
  <c r="DI29" i="7" l="1"/>
  <c r="DS29" i="7"/>
  <c r="DN30" i="7"/>
  <c r="DI30" i="7"/>
  <c r="DS30" i="7"/>
  <c r="DI28" i="7"/>
  <c r="DS28" i="7"/>
  <c r="DK29" i="7"/>
  <c r="DU29" i="7"/>
  <c r="DN29" i="7"/>
  <c r="DT28" i="7" l="1"/>
  <c r="DJ28" i="7"/>
  <c r="DH27" i="7"/>
  <c r="DR27" i="7"/>
  <c r="DL29" i="7"/>
  <c r="DV29" i="7"/>
  <c r="DV28" i="7"/>
  <c r="DL28" i="7"/>
  <c r="DH29" i="7"/>
  <c r="DR29" i="7"/>
  <c r="DH28" i="7"/>
  <c r="DR28" i="7"/>
  <c r="DG26" i="7" l="1"/>
  <c r="DQ26" i="7"/>
  <c r="DG28" i="7"/>
  <c r="DQ28" i="7"/>
  <c r="DG27" i="7"/>
  <c r="DQ27" i="7"/>
  <c r="DS27" i="7"/>
  <c r="DI27" i="7"/>
  <c r="DK28" i="7"/>
  <c r="DU28" i="7"/>
  <c r="DU27" i="7"/>
  <c r="DK27" i="7"/>
  <c r="DP27" i="7" l="1"/>
  <c r="DH26" i="7"/>
  <c r="DR26" i="7"/>
  <c r="DP26" i="7"/>
  <c r="DJ26" i="7"/>
  <c r="DT26" i="7"/>
  <c r="DJ27" i="7"/>
  <c r="DT27" i="7"/>
  <c r="DP25" i="7"/>
  <c r="DG25" i="7" l="1"/>
  <c r="DQ25" i="7"/>
  <c r="DI25" i="7"/>
  <c r="DS25" i="7"/>
  <c r="DO25" i="7"/>
  <c r="DI26" i="7"/>
  <c r="DS26" i="7"/>
  <c r="DO24" i="7"/>
  <c r="DO26" i="7"/>
  <c r="DN25" i="7" l="1"/>
  <c r="DN24" i="7"/>
  <c r="DH25" i="7"/>
  <c r="DR25" i="7"/>
  <c r="DP24" i="7"/>
  <c r="DR24" i="7"/>
  <c r="DH24" i="7"/>
  <c r="DV23" i="7" l="1"/>
  <c r="DL23" i="7"/>
  <c r="DQ24" i="7"/>
  <c r="DG24" i="7"/>
  <c r="DV24" i="7"/>
  <c r="DL24" i="7"/>
  <c r="DG23" i="7"/>
  <c r="DQ23" i="7"/>
  <c r="DO23" i="7"/>
  <c r="DV22" i="7" l="1"/>
  <c r="DL22" i="7"/>
  <c r="DU23" i="7"/>
  <c r="DK23" i="7"/>
  <c r="DP22" i="7"/>
  <c r="DN22" i="7"/>
  <c r="DP23" i="7"/>
  <c r="DK22" i="7"/>
  <c r="DU22" i="7"/>
  <c r="DJ22" i="7" l="1"/>
  <c r="DT22" i="7"/>
  <c r="DV21" i="7"/>
  <c r="DL21" i="7"/>
  <c r="DO22" i="7"/>
  <c r="DJ21" i="7"/>
  <c r="DT21" i="7"/>
  <c r="DO21" i="7"/>
  <c r="DK21" i="7"/>
  <c r="DU21" i="7"/>
  <c r="DT20" i="7" l="1"/>
  <c r="DJ20" i="7"/>
  <c r="DK20" i="7"/>
  <c r="DU20" i="7"/>
  <c r="DN21" i="7"/>
  <c r="DI20" i="7"/>
  <c r="DS20" i="7"/>
  <c r="DI21" i="7"/>
  <c r="DS21" i="7"/>
  <c r="DN20" i="7"/>
  <c r="DH19" i="7" l="1"/>
  <c r="DR19" i="7"/>
  <c r="DH20" i="7"/>
  <c r="DR20" i="7"/>
  <c r="DV20" i="7"/>
  <c r="DL20" i="7"/>
  <c r="DV19" i="7"/>
  <c r="DL19" i="7"/>
  <c r="DT19" i="7"/>
  <c r="DJ19" i="7"/>
  <c r="DI19" i="7"/>
  <c r="DS19" i="7"/>
  <c r="DQ19" i="7" l="1"/>
  <c r="DG19" i="7"/>
  <c r="DR18" i="7"/>
  <c r="DH18" i="7"/>
  <c r="DK19" i="7"/>
  <c r="DU19" i="7"/>
  <c r="DI18" i="7"/>
  <c r="DS18" i="7"/>
  <c r="DK18" i="7"/>
  <c r="DU18" i="7"/>
  <c r="DG18" i="7"/>
  <c r="DQ18" i="7"/>
  <c r="DH17" i="7" l="1"/>
  <c r="DR17" i="7"/>
  <c r="DG17" i="7"/>
  <c r="DQ17" i="7"/>
  <c r="DT18" i="7"/>
  <c r="DJ18" i="7"/>
  <c r="DJ17" i="7"/>
  <c r="DT17" i="7"/>
  <c r="DP17" i="7"/>
  <c r="DP18" i="7"/>
  <c r="DS16" i="7" l="1"/>
  <c r="DI16" i="7"/>
  <c r="DO16" i="7"/>
  <c r="DP16" i="7"/>
  <c r="DS17" i="7"/>
  <c r="DI17" i="7"/>
  <c r="DO17" i="7"/>
  <c r="DG16" i="7"/>
  <c r="DQ16" i="7"/>
  <c r="DN15" i="7" l="1"/>
  <c r="DN16" i="7"/>
  <c r="DO15" i="7"/>
  <c r="DP15" i="7"/>
  <c r="DH16" i="7"/>
  <c r="DR16" i="7"/>
  <c r="DR15" i="7"/>
  <c r="DH15" i="7"/>
  <c r="DL15" i="7" l="1"/>
  <c r="DV15" i="7"/>
  <c r="DG15" i="7"/>
  <c r="DQ15" i="7"/>
  <c r="DV14" i="7"/>
  <c r="DL14" i="7"/>
  <c r="DO14" i="7"/>
  <c r="DN14" i="7"/>
  <c r="DQ14" i="7"/>
  <c r="DG14" i="7"/>
  <c r="DP14" i="7" l="1"/>
  <c r="DK13" i="7"/>
  <c r="DU13" i="7"/>
  <c r="DV13" i="7"/>
  <c r="DL13" i="7"/>
  <c r="DP13" i="7"/>
  <c r="DN13" i="7"/>
  <c r="DK14" i="7"/>
  <c r="DU14" i="7"/>
  <c r="DJ12" i="7" l="1"/>
  <c r="DT12" i="7"/>
  <c r="DL12" i="7"/>
  <c r="DV12" i="7"/>
  <c r="DJ13" i="7"/>
  <c r="DT13" i="7"/>
  <c r="DU12" i="7"/>
  <c r="DK12" i="7"/>
  <c r="DO12" i="7"/>
  <c r="DO13" i="7"/>
  <c r="DN11" i="7" l="1"/>
  <c r="DK11" i="7"/>
  <c r="DU11" i="7"/>
  <c r="DN12" i="7"/>
  <c r="DS12" i="7"/>
  <c r="DI12" i="7"/>
  <c r="DT11" i="7"/>
  <c r="DJ11" i="7"/>
  <c r="DI11" i="7"/>
  <c r="DS11" i="7"/>
  <c r="DH11" i="7" l="1"/>
  <c r="DR11" i="7"/>
  <c r="DH10" i="7"/>
  <c r="DR10" i="7"/>
  <c r="DJ10" i="7"/>
  <c r="DT10" i="7"/>
  <c r="DV10" i="7"/>
  <c r="DL10" i="7"/>
  <c r="DV11" i="7"/>
  <c r="DL11" i="7"/>
  <c r="DS10" i="7"/>
  <c r="DI10" i="7"/>
  <c r="DK10" i="7" l="1"/>
  <c r="DU10" i="7"/>
  <c r="DQ9" i="7"/>
  <c r="DG9" i="7"/>
  <c r="DH9" i="7"/>
  <c r="DR9" i="7"/>
  <c r="DI9" i="7"/>
  <c r="DS9" i="7"/>
  <c r="DU9" i="7"/>
  <c r="DK9" i="7"/>
  <c r="DG10" i="7"/>
  <c r="DQ10" i="7"/>
  <c r="DP8" i="7" l="1"/>
  <c r="DQ8" i="7"/>
  <c r="DG8" i="7"/>
  <c r="DJ8" i="7"/>
  <c r="DT8" i="7"/>
  <c r="DP9" i="7"/>
  <c r="DR8" i="7"/>
  <c r="DH8" i="7"/>
  <c r="DJ9" i="7"/>
  <c r="DT9" i="7"/>
  <c r="DP7" i="7" l="1"/>
  <c r="DO8" i="7"/>
  <c r="DI7" i="7"/>
  <c r="DS7" i="7"/>
  <c r="DI8" i="7"/>
  <c r="DS8" i="7"/>
  <c r="DG7" i="7"/>
  <c r="DQ7" i="7"/>
  <c r="DO7" i="7"/>
  <c r="DN7" i="7" l="1"/>
  <c r="DN6" i="7"/>
  <c r="DP6" i="7"/>
  <c r="DR6" i="7"/>
  <c r="DH6" i="7"/>
  <c r="DH7" i="7"/>
  <c r="DR7" i="7"/>
  <c r="DO6" i="7"/>
  <c r="DG5" i="7" l="1"/>
  <c r="DQ5" i="7"/>
  <c r="DV6" i="7"/>
  <c r="DL6" i="7"/>
  <c r="DQ6" i="7"/>
  <c r="DG6" i="7"/>
  <c r="DV5" i="7"/>
  <c r="DL5" i="7"/>
  <c r="DO5" i="7"/>
  <c r="DN5" i="7"/>
  <c r="DK5" i="7" l="1"/>
  <c r="DU5" i="7"/>
  <c r="DP5" i="7"/>
  <c r="DK4" i="7"/>
  <c r="DU4" i="7"/>
  <c r="DV4" i="7"/>
  <c r="DL4" i="7"/>
  <c r="DN4" i="7"/>
  <c r="DP4" i="7"/>
  <c r="DV3" i="7" l="1"/>
  <c r="DL3" i="7"/>
  <c r="DO4" i="7"/>
  <c r="DU3" i="7"/>
  <c r="DK3" i="7"/>
  <c r="DJ3" i="7"/>
  <c r="DT3" i="7"/>
  <c r="DO3" i="7"/>
  <c r="DJ4" i="7"/>
  <c r="DT4" i="7"/>
  <c r="DN3" i="7" l="1"/>
  <c r="DT2" i="7"/>
  <c r="DJ2" i="7"/>
  <c r="DI3" i="7"/>
  <c r="DS3" i="7"/>
  <c r="DK2" i="7"/>
  <c r="DU2" i="7"/>
  <c r="DS2" i="7"/>
  <c r="DI2" i="7"/>
  <c r="DL2" i="7" l="1"/>
  <c r="DV2" i="7"/>
  <c r="DH2" i="7"/>
  <c r="DR2" i="7"/>
  <c r="DQ66" i="7" l="1"/>
  <c r="DG66" i="7"/>
  <c r="DG67" i="7"/>
  <c r="DQ67" i="7"/>
  <c r="DK71" i="7"/>
  <c r="DU71" i="7"/>
  <c r="DH67" i="7"/>
  <c r="DR67" i="7"/>
  <c r="DH68" i="7"/>
  <c r="DR68" i="7"/>
  <c r="DS68" i="7"/>
  <c r="DI68" i="7"/>
  <c r="DT69" i="7"/>
  <c r="DJ69" i="7"/>
  <c r="DK70" i="7"/>
  <c r="DU70" i="7"/>
  <c r="DV71" i="7"/>
  <c r="DL71" i="7"/>
  <c r="DV72" i="7"/>
  <c r="DL72" i="7"/>
  <c r="DO65" i="7"/>
  <c r="DS69" i="7"/>
  <c r="DI69" i="7"/>
  <c r="DT70" i="7"/>
  <c r="DJ70" i="7"/>
  <c r="DW71" i="7"/>
  <c r="ED71" i="7" s="1"/>
  <c r="DW72" i="7"/>
  <c r="EE72" i="7" s="1"/>
  <c r="DO64" i="7"/>
  <c r="DP66" i="7"/>
  <c r="DP65" i="7"/>
  <c r="DN64" i="7"/>
  <c r="DN63" i="7"/>
  <c r="DN54" i="7"/>
  <c r="EG72" i="7" l="1"/>
  <c r="EF71" i="7"/>
  <c r="EB72" i="7"/>
  <c r="EC71" i="7"/>
  <c r="EG71" i="7"/>
  <c r="EC72" i="7"/>
  <c r="EE71" i="7"/>
  <c r="ED72" i="7"/>
  <c r="EA72" i="7"/>
  <c r="EA71" i="7"/>
  <c r="DO56" i="7"/>
  <c r="DW62" i="7"/>
  <c r="EE62" i="7" s="1"/>
  <c r="DG57" i="7"/>
  <c r="DT60" i="7"/>
  <c r="DW63" i="7"/>
  <c r="ED63" i="7" s="1"/>
  <c r="DQ58" i="7"/>
  <c r="DJ61" i="7"/>
  <c r="DO55" i="7"/>
  <c r="DL62" i="7"/>
  <c r="DI59" i="7"/>
  <c r="DL63" i="7"/>
  <c r="DG58" i="7"/>
  <c r="DT61" i="7"/>
  <c r="DN55" i="7"/>
  <c r="DQ57" i="7"/>
  <c r="DJ60" i="7"/>
  <c r="DS59" i="7"/>
  <c r="DV62" i="7"/>
  <c r="DV63" i="7"/>
  <c r="DP57" i="7"/>
  <c r="DR59" i="7"/>
  <c r="DK61" i="7"/>
  <c r="DR58" i="7"/>
  <c r="DU62" i="7"/>
  <c r="DI60" i="7"/>
  <c r="DU61" i="7"/>
  <c r="DP56" i="7"/>
  <c r="DH58" i="7"/>
  <c r="DK62" i="7"/>
  <c r="DS60" i="7"/>
  <c r="DH59" i="7"/>
  <c r="EF72" i="7"/>
  <c r="DZ71" i="7"/>
  <c r="EB71" i="7"/>
  <c r="ED62" i="7" l="1"/>
  <c r="EB62" i="7"/>
  <c r="EF62" i="7"/>
  <c r="EG62" i="7"/>
  <c r="EA62" i="7"/>
  <c r="EF63" i="7"/>
  <c r="EE63" i="7"/>
  <c r="DY63" i="7"/>
  <c r="EB63" i="7"/>
  <c r="EC63" i="7"/>
  <c r="EA63" i="7"/>
  <c r="EG63" i="7"/>
  <c r="EC62" i="7"/>
  <c r="DZ62" i="7"/>
  <c r="DV53" i="7"/>
  <c r="DL53" i="7"/>
  <c r="DV54" i="7"/>
  <c r="DL54" i="7"/>
  <c r="DW54" i="7"/>
  <c r="DK53" i="7" l="1"/>
  <c r="DU53" i="7"/>
  <c r="DW53" i="7"/>
  <c r="DU52" i="7"/>
  <c r="DK52" i="7"/>
  <c r="EC54" i="7"/>
  <c r="EG54" i="7"/>
  <c r="EA54" i="7"/>
  <c r="ED54" i="7"/>
  <c r="EB54" i="7"/>
  <c r="EF54" i="7"/>
  <c r="EE54" i="7"/>
  <c r="DY54" i="7"/>
  <c r="EG53" i="7" l="1"/>
  <c r="EF53" i="7"/>
  <c r="DZ53" i="7"/>
  <c r="EA53" i="7"/>
  <c r="EC53" i="7"/>
  <c r="EE53" i="7"/>
  <c r="ED53" i="7"/>
  <c r="EB53" i="7"/>
  <c r="DT52" i="7"/>
  <c r="DJ52" i="7"/>
  <c r="DT51" i="7"/>
  <c r="DJ51" i="7"/>
  <c r="DI50" i="7" l="1"/>
  <c r="DS50" i="7"/>
  <c r="DI51" i="7"/>
  <c r="DS51" i="7"/>
  <c r="DR50" i="7" l="1"/>
  <c r="DH50" i="7"/>
  <c r="DR49" i="7"/>
  <c r="DH49" i="7"/>
  <c r="DQ48" i="7" l="1"/>
  <c r="DG48" i="7"/>
  <c r="DG49" i="7"/>
  <c r="DQ49" i="7"/>
  <c r="DP47" i="7" l="1"/>
  <c r="DP48" i="7"/>
  <c r="DO47" i="7" l="1"/>
  <c r="DO46" i="7"/>
  <c r="DN46" i="7" l="1"/>
  <c r="DN45" i="7"/>
  <c r="DV44" i="7" l="1"/>
  <c r="DL44" i="7"/>
  <c r="DV45" i="7"/>
  <c r="DL45" i="7"/>
  <c r="DW45" i="7"/>
  <c r="DY45" i="7" l="1"/>
  <c r="EA45" i="7"/>
  <c r="EC45" i="7"/>
  <c r="EB45" i="7"/>
  <c r="EG45" i="7"/>
  <c r="EF45" i="7"/>
  <c r="ED45" i="7"/>
  <c r="EE45" i="7"/>
  <c r="DU43" i="7"/>
  <c r="DK43" i="7"/>
  <c r="DW44" i="7"/>
  <c r="DK44" i="7"/>
  <c r="DU44" i="7"/>
  <c r="EF44" i="7" l="1"/>
  <c r="EC44" i="7"/>
  <c r="DZ44" i="7"/>
  <c r="EB44" i="7"/>
  <c r="EA44" i="7"/>
  <c r="ED44" i="7"/>
  <c r="EG44" i="7"/>
  <c r="EE44" i="7"/>
  <c r="DT43" i="7"/>
  <c r="DJ43" i="7"/>
  <c r="DJ42" i="7"/>
  <c r="DT42" i="7"/>
  <c r="DS42" i="7" l="1"/>
  <c r="DI42" i="7"/>
  <c r="DS41" i="7"/>
  <c r="DI41" i="7"/>
  <c r="DH40" i="7" l="1"/>
  <c r="DR40" i="7"/>
  <c r="DR41" i="7"/>
  <c r="DH41" i="7"/>
  <c r="DG40" i="7" l="1"/>
  <c r="DQ40" i="7"/>
  <c r="DG39" i="7"/>
  <c r="DQ39" i="7"/>
  <c r="DP39" i="7" l="1"/>
  <c r="DP38" i="7"/>
  <c r="DO37" i="7" l="1"/>
  <c r="DO38" i="7"/>
  <c r="DN36" i="7" l="1"/>
  <c r="DN37" i="7"/>
  <c r="DV35" i="7" l="1"/>
  <c r="DL35" i="7"/>
  <c r="DW36" i="7"/>
  <c r="DV36" i="7"/>
  <c r="DL36" i="7"/>
  <c r="DY36" i="7" l="1"/>
  <c r="ED36" i="7"/>
  <c r="EE36" i="7"/>
  <c r="EC36" i="7"/>
  <c r="EG36" i="7"/>
  <c r="EB36" i="7"/>
  <c r="EF36" i="7"/>
  <c r="EA36" i="7"/>
  <c r="DU35" i="7"/>
  <c r="DW35" i="7"/>
  <c r="DK35" i="7"/>
  <c r="DK34" i="7"/>
  <c r="DU34" i="7"/>
  <c r="DT33" i="7" l="1"/>
  <c r="DJ33" i="7"/>
  <c r="EE35" i="7"/>
  <c r="EA35" i="7"/>
  <c r="EF35" i="7"/>
  <c r="DZ35" i="7"/>
  <c r="EC35" i="7"/>
  <c r="EG35" i="7"/>
  <c r="EB35" i="7"/>
  <c r="ED35" i="7"/>
  <c r="DT34" i="7"/>
  <c r="DJ34" i="7"/>
  <c r="DS33" i="7" l="1"/>
  <c r="DI33" i="7"/>
  <c r="DS32" i="7"/>
  <c r="DI32" i="7"/>
  <c r="DR31" i="7" l="1"/>
  <c r="DH31" i="7"/>
  <c r="DH32" i="7"/>
  <c r="DR32" i="7"/>
  <c r="DG30" i="7" l="1"/>
  <c r="DQ30" i="7"/>
  <c r="DG31" i="7"/>
  <c r="DQ31" i="7"/>
  <c r="DP29" i="7" l="1"/>
  <c r="DP30" i="7"/>
  <c r="DO29" i="7" l="1"/>
  <c r="DO28" i="7"/>
  <c r="DN27" i="7" l="1"/>
  <c r="DN28" i="7"/>
  <c r="DL26" i="7" l="1"/>
  <c r="DV26" i="7"/>
  <c r="DL27" i="7"/>
  <c r="DW27" i="7"/>
  <c r="DV27" i="7"/>
  <c r="EA27" i="7" l="1"/>
  <c r="EG27" i="7"/>
  <c r="EB27" i="7"/>
  <c r="ED27" i="7"/>
  <c r="EE27" i="7"/>
  <c r="EF27" i="7"/>
  <c r="EC27" i="7"/>
  <c r="DU26" i="7"/>
  <c r="DK26" i="7"/>
  <c r="DW26" i="7"/>
  <c r="DY27" i="7"/>
  <c r="DU25" i="7"/>
  <c r="DK25" i="7"/>
  <c r="EE26" i="7" l="1"/>
  <c r="EB26" i="7"/>
  <c r="ED26" i="7"/>
  <c r="DZ26" i="7"/>
  <c r="EC26" i="7"/>
  <c r="EA26" i="7"/>
  <c r="EG26" i="7"/>
  <c r="EF26" i="7"/>
  <c r="DT24" i="7"/>
  <c r="DJ24" i="7"/>
  <c r="DJ25" i="7"/>
  <c r="DT25" i="7"/>
  <c r="DI23" i="7" l="1"/>
  <c r="DS23" i="7"/>
  <c r="DI24" i="7"/>
  <c r="DS24" i="7"/>
  <c r="DH23" i="7" l="1"/>
  <c r="DR23" i="7"/>
  <c r="DH22" i="7"/>
  <c r="DR22" i="7"/>
  <c r="DG22" i="7" l="1"/>
  <c r="DQ22" i="7"/>
  <c r="DG21" i="7"/>
  <c r="DQ21" i="7"/>
  <c r="DP20" i="7" l="1"/>
  <c r="DP21" i="7"/>
  <c r="DO19" i="7" l="1"/>
  <c r="DO20" i="7"/>
  <c r="DN19" i="7" l="1"/>
  <c r="DN18" i="7"/>
  <c r="DW18" i="7" l="1"/>
  <c r="DY18" i="7" s="1"/>
  <c r="DL18" i="7"/>
  <c r="DV18" i="7"/>
  <c r="DL17" i="7"/>
  <c r="DV17" i="7"/>
  <c r="DU17" i="7" l="1"/>
  <c r="DK17" i="7"/>
  <c r="DW17" i="7"/>
  <c r="DK16" i="7"/>
  <c r="DU16" i="7"/>
  <c r="EB18" i="7"/>
  <c r="EC18" i="7"/>
  <c r="EF18" i="7"/>
  <c r="ED18" i="7"/>
  <c r="EA18" i="7"/>
  <c r="EG18" i="7"/>
  <c r="EE18" i="7"/>
  <c r="DJ16" i="7" l="1"/>
  <c r="DT16" i="7"/>
  <c r="EE17" i="7"/>
  <c r="EB17" i="7"/>
  <c r="EA17" i="7"/>
  <c r="EF17" i="7"/>
  <c r="EG17" i="7"/>
  <c r="ED17" i="7"/>
  <c r="DZ17" i="7"/>
  <c r="EC17" i="7"/>
  <c r="DJ15" i="7"/>
  <c r="DT15" i="7"/>
  <c r="DI15" i="7" l="1"/>
  <c r="DS15" i="7"/>
  <c r="DS14" i="7"/>
  <c r="DI14" i="7"/>
  <c r="DR14" i="7" l="1"/>
  <c r="DH14" i="7"/>
  <c r="DH13" i="7"/>
  <c r="DR13" i="7"/>
  <c r="DQ13" i="7" l="1"/>
  <c r="DG13" i="7"/>
  <c r="DG12" i="7"/>
  <c r="DQ12" i="7"/>
  <c r="DP11" i="7" l="1"/>
  <c r="DP12" i="7"/>
  <c r="DO10" i="7" l="1"/>
  <c r="DO11" i="7"/>
  <c r="DN9" i="7" l="1"/>
  <c r="DN10" i="7"/>
  <c r="DV8" i="7" l="1"/>
  <c r="DL8" i="7"/>
  <c r="DW9" i="7"/>
  <c r="DL9" i="7"/>
  <c r="DV9" i="7"/>
  <c r="DU8" i="7" l="1"/>
  <c r="DK8" i="7"/>
  <c r="DW8" i="7"/>
  <c r="EC9" i="7"/>
  <c r="EA9" i="7"/>
  <c r="EF9" i="7"/>
  <c r="EE9" i="7"/>
  <c r="EG9" i="7"/>
  <c r="ED9" i="7"/>
  <c r="EB9" i="7"/>
  <c r="DK7" i="7"/>
  <c r="DU7" i="7"/>
  <c r="DY9" i="7"/>
  <c r="DZ8" i="7" l="1"/>
  <c r="EG8" i="7"/>
  <c r="EA8" i="7"/>
  <c r="EE8" i="7"/>
  <c r="EC8" i="7"/>
  <c r="EF8" i="7"/>
  <c r="EB8" i="7"/>
  <c r="ED8" i="7"/>
  <c r="DJ6" i="7"/>
  <c r="DT6" i="7"/>
  <c r="DJ7" i="7"/>
  <c r="DT7" i="7"/>
  <c r="DI5" i="7" l="1"/>
  <c r="DS5" i="7"/>
  <c r="DS6" i="7"/>
  <c r="DI6" i="7"/>
  <c r="DH4" i="7" l="1"/>
  <c r="DR4" i="7"/>
  <c r="DH5" i="7"/>
  <c r="DR5" i="7"/>
  <c r="DG4" i="7" l="1"/>
  <c r="DQ4" i="7"/>
  <c r="DQ3" i="7"/>
  <c r="DG3" i="7"/>
  <c r="DP2" i="7" l="1"/>
  <c r="DP3" i="7"/>
  <c r="DO2" i="7" l="1"/>
  <c r="DL70" i="7"/>
  <c r="DV70" i="7"/>
  <c r="DW70" i="7"/>
  <c r="EA70" i="7" s="1"/>
  <c r="DY70" i="7" l="1"/>
  <c r="DW66" i="7"/>
  <c r="CV66" i="7"/>
  <c r="EU66" i="7" s="1"/>
  <c r="DH66" i="7"/>
  <c r="DR66" i="7"/>
  <c r="DI67" i="7"/>
  <c r="CW67" i="7"/>
  <c r="EV67" i="7" s="1"/>
  <c r="DS67" i="7"/>
  <c r="DW67" i="7"/>
  <c r="DW68" i="7"/>
  <c r="DJ68" i="7"/>
  <c r="CX68" i="7"/>
  <c r="EW68" i="7" s="1"/>
  <c r="DT68" i="7"/>
  <c r="DU69" i="7"/>
  <c r="DK69" i="7"/>
  <c r="DW69" i="7"/>
  <c r="CY70" i="7"/>
  <c r="EX70" i="7" s="1"/>
  <c r="DZ70" i="7"/>
  <c r="EF70" i="7"/>
  <c r="CZ70" i="7"/>
  <c r="EY70" i="7" s="1"/>
  <c r="CU70" i="7"/>
  <c r="ET70" i="7" s="1"/>
  <c r="CX70" i="7"/>
  <c r="EW70" i="7" s="1"/>
  <c r="EE70" i="7"/>
  <c r="CT70" i="7"/>
  <c r="ES70" i="7" s="1"/>
  <c r="CV70" i="7"/>
  <c r="EU70" i="7" s="1"/>
  <c r="EG70" i="7"/>
  <c r="EB70" i="7"/>
  <c r="CW70" i="7"/>
  <c r="EV70" i="7" s="1"/>
  <c r="EC70" i="7"/>
  <c r="ED70" i="7"/>
  <c r="EZ70" i="7" l="1"/>
  <c r="FE70" i="7" s="1"/>
  <c r="DB70" i="7"/>
  <c r="ED69" i="7"/>
  <c r="EF69" i="7"/>
  <c r="EG69" i="7"/>
  <c r="DY69" i="7"/>
  <c r="EE69" i="7"/>
  <c r="EA69" i="7"/>
  <c r="EB69" i="7"/>
  <c r="EC69" i="7"/>
  <c r="DZ69" i="7"/>
  <c r="DQ65" i="7"/>
  <c r="DG65" i="7"/>
  <c r="DW65" i="7"/>
  <c r="EB68" i="7"/>
  <c r="ED68" i="7"/>
  <c r="EF68" i="7"/>
  <c r="DY68" i="7"/>
  <c r="EG68" i="7"/>
  <c r="DZ68" i="7"/>
  <c r="EE68" i="7"/>
  <c r="EA68" i="7"/>
  <c r="EC68" i="7"/>
  <c r="CZ69" i="7"/>
  <c r="EY69" i="7" s="1"/>
  <c r="CU69" i="7"/>
  <c r="ET69" i="7" s="1"/>
  <c r="CW69" i="7"/>
  <c r="EV69" i="7" s="1"/>
  <c r="CT69" i="7"/>
  <c r="ES69" i="7" s="1"/>
  <c r="CX69" i="7"/>
  <c r="EW69" i="7" s="1"/>
  <c r="CV69" i="7"/>
  <c r="EU69" i="7" s="1"/>
  <c r="EE67" i="7"/>
  <c r="DZ67" i="7"/>
  <c r="EA67" i="7"/>
  <c r="EB67" i="7"/>
  <c r="EF67" i="7"/>
  <c r="DY67" i="7"/>
  <c r="EG67" i="7"/>
  <c r="EC67" i="7"/>
  <c r="ED67" i="7"/>
  <c r="DA70" i="7"/>
  <c r="CY67" i="7"/>
  <c r="EX67" i="7" s="1"/>
  <c r="CU67" i="7"/>
  <c r="ET67" i="7" s="1"/>
  <c r="CV67" i="7"/>
  <c r="EU67" i="7" s="1"/>
  <c r="CX67" i="7"/>
  <c r="EW67" i="7" s="1"/>
  <c r="CT67" i="7"/>
  <c r="ES67" i="7" s="1"/>
  <c r="CZ67" i="7"/>
  <c r="EY67" i="7" s="1"/>
  <c r="CZ66" i="7"/>
  <c r="EY66" i="7" s="1"/>
  <c r="CX66" i="7"/>
  <c r="EW66" i="7" s="1"/>
  <c r="CT66" i="7"/>
  <c r="ES66" i="7" s="1"/>
  <c r="CU66" i="7"/>
  <c r="ET66" i="7" s="1"/>
  <c r="CY66" i="7"/>
  <c r="EX66" i="7" s="1"/>
  <c r="CW66" i="7"/>
  <c r="EV66" i="7" s="1"/>
  <c r="CY69" i="7"/>
  <c r="EX69" i="7" s="1"/>
  <c r="CZ68" i="7"/>
  <c r="EY68" i="7" s="1"/>
  <c r="CU68" i="7"/>
  <c r="ET68" i="7" s="1"/>
  <c r="CY68" i="7"/>
  <c r="EX68" i="7" s="1"/>
  <c r="CW68" i="7"/>
  <c r="EV68" i="7" s="1"/>
  <c r="CT68" i="7"/>
  <c r="ES68" i="7" s="1"/>
  <c r="CV68" i="7"/>
  <c r="EU68" i="7" s="1"/>
  <c r="EA66" i="7"/>
  <c r="EE66" i="7"/>
  <c r="EF66" i="7"/>
  <c r="EB66" i="7"/>
  <c r="ED66" i="7"/>
  <c r="EG66" i="7"/>
  <c r="DZ66" i="7"/>
  <c r="EC66" i="7"/>
  <c r="DY66" i="7"/>
  <c r="EZ68" i="7" l="1"/>
  <c r="FE68" i="7" s="1"/>
  <c r="EZ67" i="7"/>
  <c r="FE67" i="7" s="1"/>
  <c r="EZ66" i="7"/>
  <c r="FE66" i="7" s="1"/>
  <c r="EZ69" i="7"/>
  <c r="FE69" i="7" s="1"/>
  <c r="EA65" i="7"/>
  <c r="ED65" i="7"/>
  <c r="EF65" i="7"/>
  <c r="EG65" i="7"/>
  <c r="EC65" i="7"/>
  <c r="EE65" i="7"/>
  <c r="DZ65" i="7"/>
  <c r="EB65" i="7"/>
  <c r="DY65" i="7"/>
  <c r="DB69" i="7"/>
  <c r="DA69" i="7"/>
  <c r="CY65" i="7"/>
  <c r="EX65" i="7" s="1"/>
  <c r="CT65" i="7"/>
  <c r="ES65" i="7" s="1"/>
  <c r="CX65" i="7"/>
  <c r="EW65" i="7" s="1"/>
  <c r="CW65" i="7"/>
  <c r="EV65" i="7" s="1"/>
  <c r="CV65" i="7"/>
  <c r="EU65" i="7" s="1"/>
  <c r="CZ65" i="7"/>
  <c r="EY65" i="7" s="1"/>
  <c r="CT64" i="7"/>
  <c r="ES64" i="7" s="1"/>
  <c r="DW64" i="7"/>
  <c r="DP64" i="7"/>
  <c r="CU65" i="7"/>
  <c r="ET65" i="7" s="1"/>
  <c r="DA68" i="7"/>
  <c r="DB68" i="7"/>
  <c r="DA67" i="7"/>
  <c r="DB67" i="7"/>
  <c r="DB66" i="7"/>
  <c r="DA66" i="7"/>
  <c r="EZ65" i="7" l="1"/>
  <c r="FE65" i="7" s="1"/>
  <c r="EF64" i="7"/>
  <c r="EG64" i="7"/>
  <c r="DZ64" i="7"/>
  <c r="EA64" i="7"/>
  <c r="EE64" i="7"/>
  <c r="DY64" i="7"/>
  <c r="EC64" i="7"/>
  <c r="ED64" i="7"/>
  <c r="EB64" i="7"/>
  <c r="CU64" i="7"/>
  <c r="ET64" i="7" s="1"/>
  <c r="CY64" i="7"/>
  <c r="EX64" i="7" s="1"/>
  <c r="CX64" i="7"/>
  <c r="EW64" i="7" s="1"/>
  <c r="CW64" i="7"/>
  <c r="EV64" i="7" s="1"/>
  <c r="CV64" i="7"/>
  <c r="EU64" i="7" s="1"/>
  <c r="CZ64" i="7"/>
  <c r="EY64" i="7" s="1"/>
  <c r="DB65" i="7"/>
  <c r="DA65" i="7"/>
  <c r="DO63" i="7"/>
  <c r="DZ63" i="7" s="1"/>
  <c r="EZ64" i="7" l="1"/>
  <c r="FE64" i="7" s="1"/>
  <c r="CT63" i="7"/>
  <c r="ES63" i="7" s="1"/>
  <c r="CU63" i="7"/>
  <c r="ET63" i="7" s="1"/>
  <c r="CZ63" i="7"/>
  <c r="EY63" i="7" s="1"/>
  <c r="CV63" i="7"/>
  <c r="EU63" i="7" s="1"/>
  <c r="CY63" i="7"/>
  <c r="EX63" i="7" s="1"/>
  <c r="CX63" i="7"/>
  <c r="EW63" i="7" s="1"/>
  <c r="CW63" i="7"/>
  <c r="EV63" i="7" s="1"/>
  <c r="DB64" i="7"/>
  <c r="DA64" i="7"/>
  <c r="DN62" i="7"/>
  <c r="DY62" i="7" s="1"/>
  <c r="EZ63" i="7" l="1"/>
  <c r="FE63" i="7" s="1"/>
  <c r="DB63" i="7"/>
  <c r="DA63" i="7"/>
  <c r="DL61" i="7"/>
  <c r="DW61" i="7"/>
  <c r="DV61" i="7"/>
  <c r="CT62" i="7"/>
  <c r="ES62" i="7" s="1"/>
  <c r="CW62" i="7"/>
  <c r="EV62" i="7" s="1"/>
  <c r="CU62" i="7"/>
  <c r="ET62" i="7" s="1"/>
  <c r="CZ62" i="7"/>
  <c r="EY62" i="7" s="1"/>
  <c r="CX62" i="7"/>
  <c r="EW62" i="7" s="1"/>
  <c r="CY62" i="7"/>
  <c r="EX62" i="7" s="1"/>
  <c r="CV62" i="7"/>
  <c r="EU62" i="7" s="1"/>
  <c r="EZ62" i="7" l="1"/>
  <c r="FE62" i="7" s="1"/>
  <c r="DA62" i="7"/>
  <c r="EF61" i="7"/>
  <c r="ED61" i="7"/>
  <c r="EE61" i="7"/>
  <c r="EC61" i="7"/>
  <c r="EA61" i="7"/>
  <c r="DZ61" i="7"/>
  <c r="EB61" i="7"/>
  <c r="DY61" i="7"/>
  <c r="EG61" i="7"/>
  <c r="CY61" i="7"/>
  <c r="EX61" i="7" s="1"/>
  <c r="CU61" i="7"/>
  <c r="ET61" i="7" s="1"/>
  <c r="CV61" i="7"/>
  <c r="EU61" i="7" s="1"/>
  <c r="CT61" i="7"/>
  <c r="ES61" i="7" s="1"/>
  <c r="CX61" i="7"/>
  <c r="EW61" i="7" s="1"/>
  <c r="CW61" i="7"/>
  <c r="EV61" i="7" s="1"/>
  <c r="DU60" i="7"/>
  <c r="CY60" i="7"/>
  <c r="EX60" i="7" s="1"/>
  <c r="DW60" i="7"/>
  <c r="DK60" i="7"/>
  <c r="DB62" i="7"/>
  <c r="CZ61" i="7"/>
  <c r="EY61" i="7" s="1"/>
  <c r="EZ61" i="7" l="1"/>
  <c r="FE61" i="7" s="1"/>
  <c r="DB61" i="7"/>
  <c r="DA61" i="7"/>
  <c r="EF60" i="7"/>
  <c r="EC60" i="7"/>
  <c r="EG60" i="7"/>
  <c r="ED60" i="7"/>
  <c r="DZ60" i="7"/>
  <c r="EA60" i="7"/>
  <c r="EE60" i="7"/>
  <c r="DY60" i="7"/>
  <c r="EB60" i="7"/>
  <c r="CV60" i="7"/>
  <c r="EU60" i="7" s="1"/>
  <c r="CW60" i="7"/>
  <c r="EV60" i="7" s="1"/>
  <c r="CZ60" i="7"/>
  <c r="EY60" i="7" s="1"/>
  <c r="CT60" i="7"/>
  <c r="ES60" i="7" s="1"/>
  <c r="CX60" i="7"/>
  <c r="EW60" i="7" s="1"/>
  <c r="CU60" i="7"/>
  <c r="ET60" i="7" s="1"/>
  <c r="DW59" i="7"/>
  <c r="DT59" i="7"/>
  <c r="DJ59" i="7"/>
  <c r="EZ60" i="7" l="1"/>
  <c r="FE60" i="7" s="1"/>
  <c r="ED59" i="7"/>
  <c r="EG59" i="7"/>
  <c r="DY59" i="7"/>
  <c r="EE59" i="7"/>
  <c r="EF59" i="7"/>
  <c r="EB59" i="7"/>
  <c r="EA59" i="7"/>
  <c r="DZ59" i="7"/>
  <c r="EC59" i="7"/>
  <c r="CT59" i="7"/>
  <c r="ES59" i="7" s="1"/>
  <c r="CZ59" i="7"/>
  <c r="EY59" i="7" s="1"/>
  <c r="CY59" i="7"/>
  <c r="EX59" i="7" s="1"/>
  <c r="CU59" i="7"/>
  <c r="ET59" i="7" s="1"/>
  <c r="CV59" i="7"/>
  <c r="EU59" i="7" s="1"/>
  <c r="CW59" i="7"/>
  <c r="EV59" i="7" s="1"/>
  <c r="DS58" i="7"/>
  <c r="DW58" i="7"/>
  <c r="DI58" i="7"/>
  <c r="DA60" i="7"/>
  <c r="DB60" i="7"/>
  <c r="CX59" i="7"/>
  <c r="EW59" i="7" s="1"/>
  <c r="EZ59" i="7" l="1"/>
  <c r="FE59" i="7" s="1"/>
  <c r="DW57" i="7"/>
  <c r="DR57" i="7"/>
  <c r="DH57" i="7"/>
  <c r="CV57" i="7"/>
  <c r="EU57" i="7" s="1"/>
  <c r="CU58" i="7"/>
  <c r="ET58" i="7" s="1"/>
  <c r="CZ58" i="7"/>
  <c r="EY58" i="7" s="1"/>
  <c r="CX58" i="7"/>
  <c r="EW58" i="7" s="1"/>
  <c r="CT58" i="7"/>
  <c r="ES58" i="7" s="1"/>
  <c r="CY58" i="7"/>
  <c r="EX58" i="7" s="1"/>
  <c r="CV58" i="7"/>
  <c r="EU58" i="7" s="1"/>
  <c r="CW58" i="7"/>
  <c r="EV58" i="7" s="1"/>
  <c r="EE58" i="7"/>
  <c r="DZ58" i="7"/>
  <c r="EA58" i="7"/>
  <c r="ED58" i="7"/>
  <c r="EG58" i="7"/>
  <c r="EC58" i="7"/>
  <c r="DY58" i="7"/>
  <c r="EF58" i="7"/>
  <c r="EB58" i="7"/>
  <c r="DA59" i="7"/>
  <c r="DB59" i="7"/>
  <c r="EZ58" i="7" l="1"/>
  <c r="FE58" i="7" s="1"/>
  <c r="DW56" i="7"/>
  <c r="DQ56" i="7"/>
  <c r="CU56" i="7"/>
  <c r="ET56" i="7" s="1"/>
  <c r="DG56" i="7"/>
  <c r="CT57" i="7"/>
  <c r="ES57" i="7" s="1"/>
  <c r="CZ57" i="7"/>
  <c r="EY57" i="7" s="1"/>
  <c r="CY57" i="7"/>
  <c r="EX57" i="7" s="1"/>
  <c r="CX57" i="7"/>
  <c r="EW57" i="7" s="1"/>
  <c r="CW57" i="7"/>
  <c r="EV57" i="7" s="1"/>
  <c r="CU57" i="7"/>
  <c r="ET57" i="7" s="1"/>
  <c r="DB58" i="7"/>
  <c r="DA58" i="7"/>
  <c r="EF57" i="7"/>
  <c r="EG57" i="7"/>
  <c r="DZ57" i="7"/>
  <c r="EA57" i="7"/>
  <c r="EC57" i="7"/>
  <c r="EB57" i="7"/>
  <c r="EE57" i="7"/>
  <c r="ED57" i="7"/>
  <c r="DY57" i="7"/>
  <c r="EZ57" i="7" l="1"/>
  <c r="FE57" i="7" s="1"/>
  <c r="DB57" i="7"/>
  <c r="DA57" i="7"/>
  <c r="CV56" i="7"/>
  <c r="EU56" i="7" s="1"/>
  <c r="CT56" i="7"/>
  <c r="ES56" i="7" s="1"/>
  <c r="CW56" i="7"/>
  <c r="EV56" i="7" s="1"/>
  <c r="CX56" i="7"/>
  <c r="EW56" i="7" s="1"/>
  <c r="CY56" i="7"/>
  <c r="EX56" i="7" s="1"/>
  <c r="CZ56" i="7"/>
  <c r="EY56" i="7" s="1"/>
  <c r="CT55" i="7"/>
  <c r="ES55" i="7" s="1"/>
  <c r="DW55" i="7"/>
  <c r="DP55" i="7"/>
  <c r="EC56" i="7"/>
  <c r="ED56" i="7"/>
  <c r="EE56" i="7"/>
  <c r="EG56" i="7"/>
  <c r="EF56" i="7"/>
  <c r="DY56" i="7"/>
  <c r="EB56" i="7"/>
  <c r="EA56" i="7"/>
  <c r="DZ56" i="7"/>
  <c r="EZ56" i="7" l="1"/>
  <c r="FE56" i="7" s="1"/>
  <c r="DO54" i="7"/>
  <c r="DZ54" i="7" s="1"/>
  <c r="DA56" i="7"/>
  <c r="DB56" i="7"/>
  <c r="DY55" i="7"/>
  <c r="EE55" i="7"/>
  <c r="DZ55" i="7"/>
  <c r="EC55" i="7"/>
  <c r="EG55" i="7"/>
  <c r="EB55" i="7"/>
  <c r="EA55" i="7"/>
  <c r="ED55" i="7"/>
  <c r="EF55" i="7"/>
  <c r="CU55" i="7"/>
  <c r="ET55" i="7" s="1"/>
  <c r="CZ55" i="7"/>
  <c r="EY55" i="7" s="1"/>
  <c r="CV55" i="7"/>
  <c r="EU55" i="7" s="1"/>
  <c r="CW55" i="7"/>
  <c r="EV55" i="7" s="1"/>
  <c r="CY55" i="7"/>
  <c r="EX55" i="7" s="1"/>
  <c r="CX55" i="7"/>
  <c r="EW55" i="7" s="1"/>
  <c r="EZ55" i="7" l="1"/>
  <c r="FE55" i="7" s="1"/>
  <c r="CY54" i="7"/>
  <c r="EX54" i="7" s="1"/>
  <c r="CU54" i="7"/>
  <c r="ET54" i="7" s="1"/>
  <c r="CW54" i="7"/>
  <c r="EV54" i="7" s="1"/>
  <c r="CT54" i="7"/>
  <c r="ES54" i="7" s="1"/>
  <c r="CV54" i="7"/>
  <c r="EU54" i="7" s="1"/>
  <c r="CZ54" i="7"/>
  <c r="EY54" i="7" s="1"/>
  <c r="CX54" i="7"/>
  <c r="EW54" i="7" s="1"/>
  <c r="DN53" i="7"/>
  <c r="DY53" i="7" s="1"/>
  <c r="DB55" i="7"/>
  <c r="DA55" i="7"/>
  <c r="EZ54" i="7" l="1"/>
  <c r="FE54" i="7" s="1"/>
  <c r="DL52" i="7"/>
  <c r="CZ52" i="7"/>
  <c r="EY52" i="7" s="1"/>
  <c r="DV52" i="7"/>
  <c r="DW52" i="7"/>
  <c r="DA54" i="7"/>
  <c r="DB54" i="7"/>
  <c r="CZ53" i="7"/>
  <c r="EY53" i="7" s="1"/>
  <c r="CV53" i="7"/>
  <c r="EU53" i="7" s="1"/>
  <c r="CW53" i="7"/>
  <c r="EV53" i="7" s="1"/>
  <c r="CX53" i="7"/>
  <c r="EW53" i="7" s="1"/>
  <c r="CY53" i="7"/>
  <c r="EX53" i="7" s="1"/>
  <c r="CU53" i="7"/>
  <c r="ET53" i="7" s="1"/>
  <c r="CT53" i="7"/>
  <c r="ES53" i="7" s="1"/>
  <c r="EZ53" i="7" l="1"/>
  <c r="FE53" i="7" s="1"/>
  <c r="EA52" i="7"/>
  <c r="EE52" i="7"/>
  <c r="ED52" i="7"/>
  <c r="EB52" i="7"/>
  <c r="EC52" i="7"/>
  <c r="DY52" i="7"/>
  <c r="DZ52" i="7"/>
  <c r="EG52" i="7"/>
  <c r="EF52" i="7"/>
  <c r="CV52" i="7"/>
  <c r="EU52" i="7" s="1"/>
  <c r="CW52" i="7"/>
  <c r="EV52" i="7" s="1"/>
  <c r="CY52" i="7"/>
  <c r="EX52" i="7" s="1"/>
  <c r="CU52" i="7"/>
  <c r="ET52" i="7" s="1"/>
  <c r="CT52" i="7"/>
  <c r="ES52" i="7" s="1"/>
  <c r="CX52" i="7"/>
  <c r="EW52" i="7" s="1"/>
  <c r="DA53" i="7"/>
  <c r="DB53" i="7"/>
  <c r="DW51" i="7"/>
  <c r="DU51" i="7"/>
  <c r="DK51" i="7"/>
  <c r="EZ52" i="7" l="1"/>
  <c r="FE52" i="7" s="1"/>
  <c r="CV51" i="7"/>
  <c r="EU51" i="7" s="1"/>
  <c r="CZ51" i="7"/>
  <c r="EY51" i="7" s="1"/>
  <c r="CU51" i="7"/>
  <c r="ET51" i="7" s="1"/>
  <c r="CT51" i="7"/>
  <c r="ES51" i="7" s="1"/>
  <c r="CW51" i="7"/>
  <c r="EV51" i="7" s="1"/>
  <c r="CX51" i="7"/>
  <c r="EW51" i="7" s="1"/>
  <c r="DZ51" i="7"/>
  <c r="ED51" i="7"/>
  <c r="EC51" i="7"/>
  <c r="EE51" i="7"/>
  <c r="EA51" i="7"/>
  <c r="EF51" i="7"/>
  <c r="EG51" i="7"/>
  <c r="DY51" i="7"/>
  <c r="EB51" i="7"/>
  <c r="DB52" i="7"/>
  <c r="DA52" i="7"/>
  <c r="CX50" i="7"/>
  <c r="EW50" i="7" s="1"/>
  <c r="DW50" i="7"/>
  <c r="DT50" i="7"/>
  <c r="DJ50" i="7"/>
  <c r="CY51" i="7"/>
  <c r="EX51" i="7" s="1"/>
  <c r="EZ51" i="7" l="1"/>
  <c r="FE51" i="7" s="1"/>
  <c r="DB51" i="7"/>
  <c r="DA51" i="7"/>
  <c r="EF50" i="7"/>
  <c r="ED50" i="7"/>
  <c r="EG50" i="7"/>
  <c r="EB50" i="7"/>
  <c r="DY50" i="7"/>
  <c r="EC50" i="7"/>
  <c r="EE50" i="7"/>
  <c r="DZ50" i="7"/>
  <c r="EA50" i="7"/>
  <c r="CT50" i="7"/>
  <c r="ES50" i="7" s="1"/>
  <c r="CW50" i="7"/>
  <c r="EV50" i="7" s="1"/>
  <c r="CU50" i="7"/>
  <c r="ET50" i="7" s="1"/>
  <c r="CY50" i="7"/>
  <c r="EX50" i="7" s="1"/>
  <c r="CZ50" i="7"/>
  <c r="EY50" i="7" s="1"/>
  <c r="CV50" i="7"/>
  <c r="EU50" i="7" s="1"/>
  <c r="CW49" i="7"/>
  <c r="EV49" i="7" s="1"/>
  <c r="DS49" i="7"/>
  <c r="DW49" i="7"/>
  <c r="DI49" i="7"/>
  <c r="EZ50" i="7" l="1"/>
  <c r="FE50" i="7" s="1"/>
  <c r="CT49" i="7"/>
  <c r="ES49" i="7" s="1"/>
  <c r="CX49" i="7"/>
  <c r="EW49" i="7" s="1"/>
  <c r="CY49" i="7"/>
  <c r="EX49" i="7" s="1"/>
  <c r="CU49" i="7"/>
  <c r="ET49" i="7" s="1"/>
  <c r="CZ49" i="7"/>
  <c r="EY49" i="7" s="1"/>
  <c r="CV49" i="7"/>
  <c r="EU49" i="7" s="1"/>
  <c r="DA50" i="7"/>
  <c r="DB50" i="7"/>
  <c r="EF49" i="7"/>
  <c r="EC49" i="7"/>
  <c r="EB49" i="7"/>
  <c r="ED49" i="7"/>
  <c r="DZ49" i="7"/>
  <c r="EG49" i="7"/>
  <c r="DY49" i="7"/>
  <c r="EE49" i="7"/>
  <c r="EA49" i="7"/>
  <c r="CV48" i="7"/>
  <c r="EU48" i="7" s="1"/>
  <c r="DW48" i="7"/>
  <c r="DR48" i="7"/>
  <c r="DH48" i="7"/>
  <c r="EZ49" i="7" l="1"/>
  <c r="FE49" i="7" s="1"/>
  <c r="EA48" i="7"/>
  <c r="EC48" i="7"/>
  <c r="EB48" i="7"/>
  <c r="DY48" i="7"/>
  <c r="DZ48" i="7"/>
  <c r="EE48" i="7"/>
  <c r="EG48" i="7"/>
  <c r="EF48" i="7"/>
  <c r="ED48" i="7"/>
  <c r="CX48" i="7"/>
  <c r="EW48" i="7" s="1"/>
  <c r="CW48" i="7"/>
  <c r="EV48" i="7" s="1"/>
  <c r="CU48" i="7"/>
  <c r="ET48" i="7" s="1"/>
  <c r="CT48" i="7"/>
  <c r="ES48" i="7" s="1"/>
  <c r="CZ48" i="7"/>
  <c r="EY48" i="7" s="1"/>
  <c r="CY48" i="7"/>
  <c r="EX48" i="7" s="1"/>
  <c r="DW47" i="7"/>
  <c r="DQ47" i="7"/>
  <c r="DG47" i="7"/>
  <c r="DA49" i="7"/>
  <c r="DB49" i="7"/>
  <c r="EZ48" i="7" l="1"/>
  <c r="FE48" i="7" s="1"/>
  <c r="DP46" i="7"/>
  <c r="DW46" i="7"/>
  <c r="CX47" i="7"/>
  <c r="EW47" i="7" s="1"/>
  <c r="CV47" i="7"/>
  <c r="EU47" i="7" s="1"/>
  <c r="CT47" i="7"/>
  <c r="ES47" i="7" s="1"/>
  <c r="CW47" i="7"/>
  <c r="EV47" i="7" s="1"/>
  <c r="CZ47" i="7"/>
  <c r="EY47" i="7" s="1"/>
  <c r="CY47" i="7"/>
  <c r="EX47" i="7" s="1"/>
  <c r="EE47" i="7"/>
  <c r="EG47" i="7"/>
  <c r="EF47" i="7"/>
  <c r="ED47" i="7"/>
  <c r="DZ47" i="7"/>
  <c r="DY47" i="7"/>
  <c r="EB47" i="7"/>
  <c r="EA47" i="7"/>
  <c r="EC47" i="7"/>
  <c r="CU47" i="7"/>
  <c r="ET47" i="7" s="1"/>
  <c r="DB48" i="7"/>
  <c r="DA48" i="7"/>
  <c r="EZ47" i="7" l="1"/>
  <c r="FE47" i="7" s="1"/>
  <c r="DO45" i="7"/>
  <c r="DZ45" i="7" s="1"/>
  <c r="EF46" i="7"/>
  <c r="EC46" i="7"/>
  <c r="ED46" i="7"/>
  <c r="EA46" i="7"/>
  <c r="DY46" i="7"/>
  <c r="EG46" i="7"/>
  <c r="EB46" i="7"/>
  <c r="EE46" i="7"/>
  <c r="DZ46" i="7"/>
  <c r="DB47" i="7"/>
  <c r="DA47" i="7"/>
  <c r="CY46" i="7"/>
  <c r="EX46" i="7" s="1"/>
  <c r="CU46" i="7"/>
  <c r="ET46" i="7" s="1"/>
  <c r="CV46" i="7"/>
  <c r="EU46" i="7" s="1"/>
  <c r="CX46" i="7"/>
  <c r="EW46" i="7" s="1"/>
  <c r="CW46" i="7"/>
  <c r="EV46" i="7" s="1"/>
  <c r="CZ46" i="7"/>
  <c r="EY46" i="7" s="1"/>
  <c r="CT46" i="7"/>
  <c r="ES46" i="7" s="1"/>
  <c r="EZ46" i="7" l="1"/>
  <c r="FE46" i="7" s="1"/>
  <c r="CV45" i="7"/>
  <c r="EU45" i="7" s="1"/>
  <c r="CZ45" i="7"/>
  <c r="EY45" i="7" s="1"/>
  <c r="CT45" i="7"/>
  <c r="ES45" i="7" s="1"/>
  <c r="CY45" i="7"/>
  <c r="EX45" i="7" s="1"/>
  <c r="CX45" i="7"/>
  <c r="EW45" i="7" s="1"/>
  <c r="CW45" i="7"/>
  <c r="EV45" i="7" s="1"/>
  <c r="CU45" i="7"/>
  <c r="ET45" i="7" s="1"/>
  <c r="DN44" i="7"/>
  <c r="DY44" i="7" s="1"/>
  <c r="DB46" i="7"/>
  <c r="DA46" i="7"/>
  <c r="EZ45" i="7" l="1"/>
  <c r="FE45" i="7" s="1"/>
  <c r="DV43" i="7"/>
  <c r="DL43" i="7"/>
  <c r="DW43" i="7"/>
  <c r="CW44" i="7"/>
  <c r="EV44" i="7" s="1"/>
  <c r="CV44" i="7"/>
  <c r="EU44" i="7" s="1"/>
  <c r="CU44" i="7"/>
  <c r="ET44" i="7" s="1"/>
  <c r="CX44" i="7"/>
  <c r="EW44" i="7" s="1"/>
  <c r="CT44" i="7"/>
  <c r="ES44" i="7" s="1"/>
  <c r="CY44" i="7"/>
  <c r="EX44" i="7" s="1"/>
  <c r="CZ44" i="7"/>
  <c r="EY44" i="7" s="1"/>
  <c r="DA45" i="7"/>
  <c r="DB45" i="7"/>
  <c r="EZ44" i="7" l="1"/>
  <c r="FE44" i="7" s="1"/>
  <c r="DB44" i="7"/>
  <c r="CV43" i="7"/>
  <c r="EU43" i="7" s="1"/>
  <c r="CW43" i="7"/>
  <c r="EV43" i="7" s="1"/>
  <c r="CY43" i="7"/>
  <c r="EX43" i="7" s="1"/>
  <c r="CT43" i="7"/>
  <c r="ES43" i="7" s="1"/>
  <c r="CU43" i="7"/>
  <c r="ET43" i="7" s="1"/>
  <c r="CX43" i="7"/>
  <c r="EW43" i="7" s="1"/>
  <c r="EC43" i="7"/>
  <c r="EE43" i="7"/>
  <c r="ED43" i="7"/>
  <c r="EB43" i="7"/>
  <c r="EA43" i="7"/>
  <c r="EF43" i="7"/>
  <c r="DY43" i="7"/>
  <c r="DZ43" i="7"/>
  <c r="EG43" i="7"/>
  <c r="CZ43" i="7"/>
  <c r="EY43" i="7" s="1"/>
  <c r="DA44" i="7"/>
  <c r="DK42" i="7"/>
  <c r="DU42" i="7"/>
  <c r="DW42" i="7"/>
  <c r="CY42" i="7"/>
  <c r="EX42" i="7" s="1"/>
  <c r="EZ43" i="7" l="1"/>
  <c r="FE43" i="7" s="1"/>
  <c r="EA42" i="7"/>
  <c r="ED42" i="7"/>
  <c r="DZ42" i="7"/>
  <c r="EB42" i="7"/>
  <c r="EG42" i="7"/>
  <c r="EE42" i="7"/>
  <c r="EC42" i="7"/>
  <c r="EF42" i="7"/>
  <c r="DY42" i="7"/>
  <c r="DJ41" i="7"/>
  <c r="DT41" i="7"/>
  <c r="DW41" i="7"/>
  <c r="DA43" i="7"/>
  <c r="DB43" i="7"/>
  <c r="CW42" i="7"/>
  <c r="EV42" i="7" s="1"/>
  <c r="CX42" i="7"/>
  <c r="EW42" i="7" s="1"/>
  <c r="CV42" i="7"/>
  <c r="EU42" i="7" s="1"/>
  <c r="CU42" i="7"/>
  <c r="ET42" i="7" s="1"/>
  <c r="CT42" i="7"/>
  <c r="ES42" i="7" s="1"/>
  <c r="CZ42" i="7"/>
  <c r="EY42" i="7" s="1"/>
  <c r="EZ42" i="7" l="1"/>
  <c r="FE42" i="7" s="1"/>
  <c r="CV41" i="7"/>
  <c r="EU41" i="7" s="1"/>
  <c r="CY41" i="7"/>
  <c r="EX41" i="7" s="1"/>
  <c r="CZ41" i="7"/>
  <c r="EY41" i="7" s="1"/>
  <c r="CW41" i="7"/>
  <c r="EV41" i="7" s="1"/>
  <c r="CT41" i="7"/>
  <c r="ES41" i="7" s="1"/>
  <c r="CU41" i="7"/>
  <c r="ET41" i="7" s="1"/>
  <c r="EE41" i="7"/>
  <c r="DY41" i="7"/>
  <c r="EB41" i="7"/>
  <c r="EG41" i="7"/>
  <c r="DZ41" i="7"/>
  <c r="EF41" i="7"/>
  <c r="ED41" i="7"/>
  <c r="EA41" i="7"/>
  <c r="EC41" i="7"/>
  <c r="DA42" i="7"/>
  <c r="DB42" i="7"/>
  <c r="CX41" i="7"/>
  <c r="EW41" i="7" s="1"/>
  <c r="DI40" i="7"/>
  <c r="DS40" i="7"/>
  <c r="CW40" i="7"/>
  <c r="EV40" i="7" s="1"/>
  <c r="DW40" i="7"/>
  <c r="EZ41" i="7" l="1"/>
  <c r="FE41" i="7" s="1"/>
  <c r="DA41" i="7"/>
  <c r="DB41" i="7"/>
  <c r="DR39" i="7"/>
  <c r="DH39" i="7"/>
  <c r="DW39" i="7"/>
  <c r="EB40" i="7"/>
  <c r="EG40" i="7"/>
  <c r="EA40" i="7"/>
  <c r="EF40" i="7"/>
  <c r="DZ40" i="7"/>
  <c r="EE40" i="7"/>
  <c r="ED40" i="7"/>
  <c r="DY40" i="7"/>
  <c r="EC40" i="7"/>
  <c r="CX40" i="7"/>
  <c r="EW40" i="7" s="1"/>
  <c r="CV40" i="7"/>
  <c r="EU40" i="7" s="1"/>
  <c r="CU40" i="7"/>
  <c r="ET40" i="7" s="1"/>
  <c r="CZ40" i="7"/>
  <c r="EY40" i="7" s="1"/>
  <c r="CT40" i="7"/>
  <c r="ES40" i="7" s="1"/>
  <c r="CY40" i="7"/>
  <c r="EX40" i="7" s="1"/>
  <c r="EZ40" i="7" l="1"/>
  <c r="FE40" i="7" s="1"/>
  <c r="EA39" i="7"/>
  <c r="DZ39" i="7"/>
  <c r="DY39" i="7"/>
  <c r="EE39" i="7"/>
  <c r="EC39" i="7"/>
  <c r="EG39" i="7"/>
  <c r="ED39" i="7"/>
  <c r="EF39" i="7"/>
  <c r="EB39" i="7"/>
  <c r="DB40" i="7"/>
  <c r="DA40" i="7"/>
  <c r="CZ39" i="7"/>
  <c r="EY39" i="7" s="1"/>
  <c r="CU39" i="7"/>
  <c r="ET39" i="7" s="1"/>
  <c r="CT39" i="7"/>
  <c r="ES39" i="7" s="1"/>
  <c r="CW39" i="7"/>
  <c r="EV39" i="7" s="1"/>
  <c r="CX39" i="7"/>
  <c r="EW39" i="7" s="1"/>
  <c r="CY39" i="7"/>
  <c r="EX39" i="7" s="1"/>
  <c r="CV39" i="7"/>
  <c r="EU39" i="7" s="1"/>
  <c r="DQ38" i="7"/>
  <c r="DG38" i="7"/>
  <c r="CU38" i="7"/>
  <c r="ET38" i="7" s="1"/>
  <c r="DW38" i="7"/>
  <c r="EZ39" i="7" l="1"/>
  <c r="FE39" i="7" s="1"/>
  <c r="DB39" i="7"/>
  <c r="DA39" i="7"/>
  <c r="DW37" i="7"/>
  <c r="DP37" i="7"/>
  <c r="CT37" i="7"/>
  <c r="ES37" i="7" s="1"/>
  <c r="ED38" i="7"/>
  <c r="DZ38" i="7"/>
  <c r="EG38" i="7"/>
  <c r="EE38" i="7"/>
  <c r="DY38" i="7"/>
  <c r="EB38" i="7"/>
  <c r="EF38" i="7"/>
  <c r="EA38" i="7"/>
  <c r="EC38" i="7"/>
  <c r="CZ38" i="7"/>
  <c r="EY38" i="7" s="1"/>
  <c r="CV38" i="7"/>
  <c r="EU38" i="7" s="1"/>
  <c r="CX38" i="7"/>
  <c r="EW38" i="7" s="1"/>
  <c r="CT38" i="7"/>
  <c r="ES38" i="7" s="1"/>
  <c r="CY38" i="7"/>
  <c r="EX38" i="7" s="1"/>
  <c r="CW38" i="7"/>
  <c r="EV38" i="7" s="1"/>
  <c r="EZ38" i="7" l="1"/>
  <c r="FE38" i="7" s="1"/>
  <c r="DO36" i="7"/>
  <c r="DZ36" i="7" s="1"/>
  <c r="EB37" i="7"/>
  <c r="EF37" i="7"/>
  <c r="DY37" i="7"/>
  <c r="EG37" i="7"/>
  <c r="DZ37" i="7"/>
  <c r="EC37" i="7"/>
  <c r="EE37" i="7"/>
  <c r="ED37" i="7"/>
  <c r="EA37" i="7"/>
  <c r="DA38" i="7"/>
  <c r="DB38" i="7"/>
  <c r="CX37" i="7"/>
  <c r="EW37" i="7" s="1"/>
  <c r="CV37" i="7"/>
  <c r="EU37" i="7" s="1"/>
  <c r="CY37" i="7"/>
  <c r="EX37" i="7" s="1"/>
  <c r="CU37" i="7"/>
  <c r="ET37" i="7" s="1"/>
  <c r="CW37" i="7"/>
  <c r="EV37" i="7" s="1"/>
  <c r="CZ37" i="7"/>
  <c r="EY37" i="7" s="1"/>
  <c r="EZ37" i="7" l="1"/>
  <c r="FE37" i="7" s="1"/>
  <c r="CW36" i="7"/>
  <c r="EV36" i="7" s="1"/>
  <c r="CV36" i="7"/>
  <c r="EU36" i="7" s="1"/>
  <c r="CU36" i="7"/>
  <c r="ET36" i="7" s="1"/>
  <c r="CT36" i="7"/>
  <c r="ES36" i="7" s="1"/>
  <c r="CX36" i="7"/>
  <c r="EW36" i="7" s="1"/>
  <c r="CY36" i="7"/>
  <c r="EX36" i="7" s="1"/>
  <c r="CZ36" i="7"/>
  <c r="EY36" i="7" s="1"/>
  <c r="DN35" i="7"/>
  <c r="DY35" i="7" s="1"/>
  <c r="DA37" i="7"/>
  <c r="DB37" i="7"/>
  <c r="EZ36" i="7" l="1"/>
  <c r="FE36" i="7" s="1"/>
  <c r="DB36" i="7"/>
  <c r="DA36" i="7"/>
  <c r="DV34" i="7"/>
  <c r="DL34" i="7"/>
  <c r="DW34" i="7"/>
  <c r="CY35" i="7"/>
  <c r="EX35" i="7" s="1"/>
  <c r="CW35" i="7"/>
  <c r="EV35" i="7" s="1"/>
  <c r="CU35" i="7"/>
  <c r="ET35" i="7" s="1"/>
  <c r="CV35" i="7"/>
  <c r="EU35" i="7" s="1"/>
  <c r="CT35" i="7"/>
  <c r="ES35" i="7" s="1"/>
  <c r="CZ35" i="7"/>
  <c r="EY35" i="7" s="1"/>
  <c r="CX35" i="7"/>
  <c r="EW35" i="7" s="1"/>
  <c r="EZ35" i="7" l="1"/>
  <c r="FE35" i="7" s="1"/>
  <c r="CT34" i="7"/>
  <c r="ES34" i="7" s="1"/>
  <c r="CV34" i="7"/>
  <c r="EU34" i="7" s="1"/>
  <c r="CW34" i="7"/>
  <c r="EV34" i="7" s="1"/>
  <c r="CY34" i="7"/>
  <c r="EX34" i="7" s="1"/>
  <c r="CX34" i="7"/>
  <c r="EW34" i="7" s="1"/>
  <c r="CU34" i="7"/>
  <c r="ET34" i="7" s="1"/>
  <c r="DY34" i="7"/>
  <c r="ED34" i="7"/>
  <c r="EF34" i="7"/>
  <c r="EG34" i="7"/>
  <c r="EE34" i="7"/>
  <c r="EA34" i="7"/>
  <c r="DZ34" i="7"/>
  <c r="EB34" i="7"/>
  <c r="EC34" i="7"/>
  <c r="CZ34" i="7"/>
  <c r="EY34" i="7" s="1"/>
  <c r="DB35" i="7"/>
  <c r="DA35" i="7"/>
  <c r="DK33" i="7"/>
  <c r="DU33" i="7"/>
  <c r="CY33" i="7"/>
  <c r="EX33" i="7" s="1"/>
  <c r="DW33" i="7"/>
  <c r="EZ34" i="7" l="1"/>
  <c r="FE34" i="7" s="1"/>
  <c r="DB34" i="7"/>
  <c r="DA34" i="7"/>
  <c r="DZ33" i="7"/>
  <c r="EE33" i="7"/>
  <c r="DY33" i="7"/>
  <c r="EC33" i="7"/>
  <c r="EF33" i="7"/>
  <c r="ED33" i="7"/>
  <c r="EB33" i="7"/>
  <c r="EA33" i="7"/>
  <c r="EG33" i="7"/>
  <c r="DJ32" i="7"/>
  <c r="DT32" i="7"/>
  <c r="DW32" i="7"/>
  <c r="CX32" i="7"/>
  <c r="EW32" i="7" s="1"/>
  <c r="CT33" i="7"/>
  <c r="ES33" i="7" s="1"/>
  <c r="CV33" i="7"/>
  <c r="EU33" i="7" s="1"/>
  <c r="CW33" i="7"/>
  <c r="EV33" i="7" s="1"/>
  <c r="CX33" i="7"/>
  <c r="EW33" i="7" s="1"/>
  <c r="CZ33" i="7"/>
  <c r="EY33" i="7" s="1"/>
  <c r="CU33" i="7"/>
  <c r="ET33" i="7" s="1"/>
  <c r="EZ33" i="7" l="1"/>
  <c r="FE33" i="7" s="1"/>
  <c r="DY32" i="7"/>
  <c r="DZ32" i="7"/>
  <c r="EC32" i="7"/>
  <c r="EF32" i="7"/>
  <c r="EB32" i="7"/>
  <c r="EE32" i="7"/>
  <c r="EA32" i="7"/>
  <c r="EG32" i="7"/>
  <c r="ED32" i="7"/>
  <c r="DI31" i="7"/>
  <c r="DS31" i="7"/>
  <c r="DW31" i="7"/>
  <c r="DA33" i="7"/>
  <c r="DB33" i="7"/>
  <c r="CU32" i="7"/>
  <c r="ET32" i="7" s="1"/>
  <c r="CV32" i="7"/>
  <c r="EU32" i="7" s="1"/>
  <c r="CW32" i="7"/>
  <c r="EV32" i="7" s="1"/>
  <c r="CY32" i="7"/>
  <c r="EX32" i="7" s="1"/>
  <c r="CZ32" i="7"/>
  <c r="EY32" i="7" s="1"/>
  <c r="CT32" i="7"/>
  <c r="ES32" i="7" s="1"/>
  <c r="EZ32" i="7" l="1"/>
  <c r="FE32" i="7" s="1"/>
  <c r="DH30" i="7"/>
  <c r="DR30" i="7"/>
  <c r="DW30" i="7"/>
  <c r="CU31" i="7"/>
  <c r="ET31" i="7" s="1"/>
  <c r="CY31" i="7"/>
  <c r="EX31" i="7" s="1"/>
  <c r="CV31" i="7"/>
  <c r="EU31" i="7" s="1"/>
  <c r="CT31" i="7"/>
  <c r="ES31" i="7" s="1"/>
  <c r="CX31" i="7"/>
  <c r="EW31" i="7" s="1"/>
  <c r="CZ31" i="7"/>
  <c r="EY31" i="7" s="1"/>
  <c r="DY31" i="7"/>
  <c r="EB31" i="7"/>
  <c r="EC31" i="7"/>
  <c r="DZ31" i="7"/>
  <c r="EG31" i="7"/>
  <c r="EE31" i="7"/>
  <c r="EA31" i="7"/>
  <c r="EF31" i="7"/>
  <c r="ED31" i="7"/>
  <c r="CW31" i="7"/>
  <c r="EV31" i="7" s="1"/>
  <c r="DB32" i="7"/>
  <c r="DA32" i="7"/>
  <c r="EZ31" i="7" l="1"/>
  <c r="FE31" i="7" s="1"/>
  <c r="EA30" i="7"/>
  <c r="EC30" i="7"/>
  <c r="EB30" i="7"/>
  <c r="EF30" i="7"/>
  <c r="EE30" i="7"/>
  <c r="DY30" i="7"/>
  <c r="DZ30" i="7"/>
  <c r="EG30" i="7"/>
  <c r="ED30" i="7"/>
  <c r="CU30" i="7"/>
  <c r="ET30" i="7" s="1"/>
  <c r="CZ30" i="7"/>
  <c r="EY30" i="7" s="1"/>
  <c r="CY30" i="7"/>
  <c r="EX30" i="7" s="1"/>
  <c r="CT30" i="7"/>
  <c r="ES30" i="7" s="1"/>
  <c r="CW30" i="7"/>
  <c r="EV30" i="7" s="1"/>
  <c r="CX30" i="7"/>
  <c r="EW30" i="7" s="1"/>
  <c r="DQ29" i="7"/>
  <c r="DG29" i="7"/>
  <c r="DW29" i="7"/>
  <c r="DA31" i="7"/>
  <c r="DB31" i="7"/>
  <c r="CV30" i="7"/>
  <c r="EU30" i="7" s="1"/>
  <c r="EZ30" i="7" l="1"/>
  <c r="FE30" i="7" s="1"/>
  <c r="DW28" i="7"/>
  <c r="DP28" i="7"/>
  <c r="CV29" i="7"/>
  <c r="EU29" i="7" s="1"/>
  <c r="CX29" i="7"/>
  <c r="EW29" i="7" s="1"/>
  <c r="CY29" i="7"/>
  <c r="EX29" i="7" s="1"/>
  <c r="CT29" i="7"/>
  <c r="ES29" i="7" s="1"/>
  <c r="CW29" i="7"/>
  <c r="EV29" i="7" s="1"/>
  <c r="CZ29" i="7"/>
  <c r="EY29" i="7" s="1"/>
  <c r="DA30" i="7"/>
  <c r="DB30" i="7"/>
  <c r="CU29" i="7"/>
  <c r="ET29" i="7" s="1"/>
  <c r="EB29" i="7"/>
  <c r="DY29" i="7"/>
  <c r="EA29" i="7"/>
  <c r="ED29" i="7"/>
  <c r="DZ29" i="7"/>
  <c r="EF29" i="7"/>
  <c r="EC29" i="7"/>
  <c r="EE29" i="7"/>
  <c r="EG29" i="7"/>
  <c r="EZ29" i="7" l="1"/>
  <c r="FE29" i="7" s="1"/>
  <c r="DA29" i="7"/>
  <c r="DB29" i="7"/>
  <c r="CU28" i="7"/>
  <c r="ET28" i="7" s="1"/>
  <c r="CX28" i="7"/>
  <c r="EW28" i="7" s="1"/>
  <c r="CW28" i="7"/>
  <c r="EV28" i="7" s="1"/>
  <c r="CZ28" i="7"/>
  <c r="EY28" i="7" s="1"/>
  <c r="CV28" i="7"/>
  <c r="EU28" i="7" s="1"/>
  <c r="CY28" i="7"/>
  <c r="EX28" i="7" s="1"/>
  <c r="DY28" i="7"/>
  <c r="ED28" i="7"/>
  <c r="EF28" i="7"/>
  <c r="EE28" i="7"/>
  <c r="EG28" i="7"/>
  <c r="DZ28" i="7"/>
  <c r="EC28" i="7"/>
  <c r="EB28" i="7"/>
  <c r="EA28" i="7"/>
  <c r="DO27" i="7"/>
  <c r="DZ27" i="7" s="1"/>
  <c r="CT28" i="7"/>
  <c r="ES28" i="7" s="1"/>
  <c r="EZ28" i="7" l="1"/>
  <c r="FE28" i="7" s="1"/>
  <c r="DA28" i="7"/>
  <c r="DB28" i="7"/>
  <c r="CW27" i="7"/>
  <c r="EV27" i="7" s="1"/>
  <c r="CY27" i="7"/>
  <c r="EX27" i="7" s="1"/>
  <c r="CV27" i="7"/>
  <c r="EU27" i="7" s="1"/>
  <c r="CZ27" i="7"/>
  <c r="EY27" i="7" s="1"/>
  <c r="CT27" i="7"/>
  <c r="ES27" i="7" s="1"/>
  <c r="CU27" i="7"/>
  <c r="ET27" i="7" s="1"/>
  <c r="CX27" i="7"/>
  <c r="EW27" i="7" s="1"/>
  <c r="DN26" i="7"/>
  <c r="DY26" i="7" s="1"/>
  <c r="EZ27" i="7" l="1"/>
  <c r="FE27" i="7" s="1"/>
  <c r="DB27" i="7"/>
  <c r="DA27" i="7"/>
  <c r="CZ26" i="7"/>
  <c r="EY26" i="7" s="1"/>
  <c r="CX26" i="7"/>
  <c r="EW26" i="7" s="1"/>
  <c r="CV26" i="7"/>
  <c r="EU26" i="7" s="1"/>
  <c r="CY26" i="7"/>
  <c r="EX26" i="7" s="1"/>
  <c r="CU26" i="7"/>
  <c r="ET26" i="7" s="1"/>
  <c r="CW26" i="7"/>
  <c r="EV26" i="7" s="1"/>
  <c r="CT26" i="7"/>
  <c r="ES26" i="7" s="1"/>
  <c r="EZ26" i="7" l="1"/>
  <c r="FE26" i="7" s="1"/>
  <c r="DL25" i="7"/>
  <c r="DW25" i="7"/>
  <c r="CZ25" i="7"/>
  <c r="EY25" i="7" s="1"/>
  <c r="DV25" i="7"/>
  <c r="DA26" i="7"/>
  <c r="DB26" i="7"/>
  <c r="DK24" i="7" l="1"/>
  <c r="DU24" i="7"/>
  <c r="CY24" i="7"/>
  <c r="EX24" i="7" s="1"/>
  <c r="DW24" i="7"/>
  <c r="CT25" i="7"/>
  <c r="ES25" i="7" s="1"/>
  <c r="CU25" i="7"/>
  <c r="ET25" i="7" s="1"/>
  <c r="CX25" i="7"/>
  <c r="EW25" i="7" s="1"/>
  <c r="CY25" i="7"/>
  <c r="EX25" i="7" s="1"/>
  <c r="CV25" i="7"/>
  <c r="EU25" i="7" s="1"/>
  <c r="CW25" i="7"/>
  <c r="EV25" i="7" s="1"/>
  <c r="EE25" i="7"/>
  <c r="DY25" i="7"/>
  <c r="DZ25" i="7"/>
  <c r="ED25" i="7"/>
  <c r="EC25" i="7"/>
  <c r="EG25" i="7"/>
  <c r="EF25" i="7"/>
  <c r="EB25" i="7"/>
  <c r="EA25" i="7"/>
  <c r="EZ25" i="7" l="1"/>
  <c r="FE25" i="7" s="1"/>
  <c r="DT23" i="7"/>
  <c r="DJ23" i="7"/>
  <c r="DW23" i="7"/>
  <c r="DY23" i="7" s="1"/>
  <c r="CW24" i="7"/>
  <c r="EV24" i="7" s="1"/>
  <c r="CV24" i="7"/>
  <c r="EU24" i="7" s="1"/>
  <c r="CT24" i="7"/>
  <c r="ES24" i="7" s="1"/>
  <c r="CX24" i="7"/>
  <c r="EW24" i="7" s="1"/>
  <c r="CZ24" i="7"/>
  <c r="EY24" i="7" s="1"/>
  <c r="CU24" i="7"/>
  <c r="ET24" i="7" s="1"/>
  <c r="EC24" i="7"/>
  <c r="EB24" i="7"/>
  <c r="EA24" i="7"/>
  <c r="DZ24" i="7"/>
  <c r="EG24" i="7"/>
  <c r="EF24" i="7"/>
  <c r="DY24" i="7"/>
  <c r="ED24" i="7"/>
  <c r="EE24" i="7"/>
  <c r="DA25" i="7"/>
  <c r="DB25" i="7"/>
  <c r="DN78" i="7" l="1"/>
  <c r="DN80" i="7" s="1"/>
  <c r="BZ2" i="7" s="1"/>
  <c r="EZ24" i="7"/>
  <c r="FE24" i="7" s="1"/>
  <c r="EE23" i="7"/>
  <c r="ED23" i="7"/>
  <c r="EG23" i="7"/>
  <c r="EF23" i="7"/>
  <c r="DU78" i="7" s="1"/>
  <c r="EB23" i="7"/>
  <c r="EC23" i="7"/>
  <c r="EA23" i="7"/>
  <c r="DZ23" i="7"/>
  <c r="DS22" i="7"/>
  <c r="DI22" i="7"/>
  <c r="DW22" i="7"/>
  <c r="CZ23" i="7"/>
  <c r="EY23" i="7" s="1"/>
  <c r="CV23" i="7"/>
  <c r="EU23" i="7" s="1"/>
  <c r="CY23" i="7"/>
  <c r="EX23" i="7" s="1"/>
  <c r="CW23" i="7"/>
  <c r="EV23" i="7" s="1"/>
  <c r="CT23" i="7"/>
  <c r="ES23" i="7" s="1"/>
  <c r="CU23" i="7"/>
  <c r="ET23" i="7" s="1"/>
  <c r="DA24" i="7"/>
  <c r="DB24" i="7"/>
  <c r="CX23" i="7"/>
  <c r="EW23" i="7" s="1"/>
  <c r="DD2" i="7" l="1"/>
  <c r="BM73" i="7"/>
  <c r="EZ23" i="7"/>
  <c r="FE23" i="7" s="1"/>
  <c r="DH21" i="7"/>
  <c r="DW21" i="7"/>
  <c r="DR21" i="7"/>
  <c r="DX79" i="7"/>
  <c r="EA22" i="7"/>
  <c r="DZ22" i="7"/>
  <c r="ED22" i="7"/>
  <c r="DY22" i="7"/>
  <c r="EC22" i="7"/>
  <c r="EE22" i="7"/>
  <c r="EB22" i="7"/>
  <c r="EF22" i="7"/>
  <c r="EG22" i="7"/>
  <c r="EB79" i="7"/>
  <c r="DR78" i="7"/>
  <c r="CT22" i="7"/>
  <c r="ES22" i="7" s="1"/>
  <c r="CZ22" i="7"/>
  <c r="EY22" i="7" s="1"/>
  <c r="CV22" i="7"/>
  <c r="EU22" i="7" s="1"/>
  <c r="CX22" i="7"/>
  <c r="EW22" i="7" s="1"/>
  <c r="CU22" i="7"/>
  <c r="ET22" i="7" s="1"/>
  <c r="CY22" i="7"/>
  <c r="EX22" i="7" s="1"/>
  <c r="DQ78" i="7"/>
  <c r="EA79" i="7"/>
  <c r="CW22" i="7"/>
  <c r="EV22" i="7" s="1"/>
  <c r="EE79" i="7"/>
  <c r="EC79" i="7"/>
  <c r="DS78" i="7"/>
  <c r="DZ79" i="7"/>
  <c r="DP78" i="7"/>
  <c r="DP80" i="7" s="1"/>
  <c r="DB23" i="7"/>
  <c r="DA23" i="7"/>
  <c r="DY79" i="7"/>
  <c r="DO78" i="7"/>
  <c r="DO80" i="7" s="1"/>
  <c r="CA2" i="7" s="1"/>
  <c r="ED79" i="7"/>
  <c r="DT78" i="7"/>
  <c r="CB2" i="7" l="1"/>
  <c r="BO73" i="7" s="1"/>
  <c r="BN73" i="7"/>
  <c r="BM72" i="7" s="1"/>
  <c r="DE2" i="7"/>
  <c r="EZ22" i="7"/>
  <c r="FE22" i="7" s="1"/>
  <c r="DG20" i="7"/>
  <c r="DQ20" i="7"/>
  <c r="DW20" i="7"/>
  <c r="DY21" i="7"/>
  <c r="DZ21" i="7"/>
  <c r="EG21" i="7"/>
  <c r="EF21" i="7"/>
  <c r="EB21" i="7"/>
  <c r="EE21" i="7"/>
  <c r="ED21" i="7"/>
  <c r="EC21" i="7"/>
  <c r="EA21" i="7"/>
  <c r="DF63" i="7"/>
  <c r="DF20" i="7"/>
  <c r="DF69" i="7"/>
  <c r="DF46" i="7"/>
  <c r="DF30" i="7"/>
  <c r="DF64" i="7"/>
  <c r="DF44" i="7"/>
  <c r="DF39" i="7"/>
  <c r="DF23" i="7"/>
  <c r="DF57" i="7"/>
  <c r="DF55" i="7"/>
  <c r="DF26" i="7"/>
  <c r="DF13" i="7"/>
  <c r="DF11" i="7"/>
  <c r="DF41" i="7"/>
  <c r="DF34" i="7"/>
  <c r="DF72" i="7"/>
  <c r="DF71" i="7"/>
  <c r="DF35" i="7"/>
  <c r="DF67" i="7"/>
  <c r="DF61" i="7"/>
  <c r="DF49" i="7"/>
  <c r="DF65" i="7"/>
  <c r="DF60" i="7"/>
  <c r="DF2" i="7"/>
  <c r="DF36" i="7"/>
  <c r="DF66" i="7"/>
  <c r="DF48" i="7"/>
  <c r="DF38" i="7"/>
  <c r="DF14" i="7"/>
  <c r="DF31" i="7"/>
  <c r="DF16" i="7"/>
  <c r="DF56" i="7"/>
  <c r="DF62" i="7"/>
  <c r="DF18" i="7"/>
  <c r="DF27" i="7"/>
  <c r="DF53" i="7"/>
  <c r="DF51" i="7"/>
  <c r="DF42" i="7"/>
  <c r="DF22" i="7"/>
  <c r="DF68" i="7"/>
  <c r="DF32" i="7"/>
  <c r="DF47" i="7"/>
  <c r="DF19" i="7"/>
  <c r="DF59" i="7"/>
  <c r="DF40" i="7"/>
  <c r="DF7" i="7"/>
  <c r="DF43" i="7"/>
  <c r="DF54" i="7"/>
  <c r="DF45" i="7"/>
  <c r="DF8" i="7"/>
  <c r="DF21" i="7"/>
  <c r="DF25" i="7"/>
  <c r="DF58" i="7"/>
  <c r="DF6" i="7"/>
  <c r="DF29" i="7"/>
  <c r="DF28" i="7"/>
  <c r="DF15" i="7"/>
  <c r="DF9" i="7"/>
  <c r="DF70" i="7"/>
  <c r="DF3" i="7"/>
  <c r="DF24" i="7"/>
  <c r="DF5" i="7"/>
  <c r="DF17" i="7"/>
  <c r="DF4" i="7"/>
  <c r="DF50" i="7"/>
  <c r="DF12" i="7"/>
  <c r="DF52" i="7"/>
  <c r="DF33" i="7"/>
  <c r="DF37" i="7"/>
  <c r="CB3" i="7"/>
  <c r="DA22" i="7"/>
  <c r="DB22" i="7"/>
  <c r="CY21" i="7"/>
  <c r="EX21" i="7" s="1"/>
  <c r="CW21" i="7"/>
  <c r="EV21" i="7" s="1"/>
  <c r="CU21" i="7"/>
  <c r="ET21" i="7" s="1"/>
  <c r="CZ21" i="7"/>
  <c r="EY21" i="7" s="1"/>
  <c r="CT21" i="7"/>
  <c r="ES21" i="7" s="1"/>
  <c r="CX21" i="7"/>
  <c r="EW21" i="7" s="1"/>
  <c r="DE68" i="7"/>
  <c r="DE21" i="7"/>
  <c r="DE41" i="7"/>
  <c r="DE7" i="7"/>
  <c r="DE61" i="7"/>
  <c r="DE26" i="7"/>
  <c r="DE23" i="7"/>
  <c r="DE22" i="7"/>
  <c r="DE63" i="7"/>
  <c r="DE64" i="7"/>
  <c r="DE71" i="7"/>
  <c r="DE14" i="7"/>
  <c r="DE44" i="7"/>
  <c r="DE6" i="7"/>
  <c r="DE65" i="7"/>
  <c r="DE15" i="7"/>
  <c r="DE67" i="7"/>
  <c r="DE19" i="7"/>
  <c r="DE62" i="7"/>
  <c r="DE33" i="7"/>
  <c r="DE35" i="7"/>
  <c r="DE32" i="7"/>
  <c r="DE30" i="7"/>
  <c r="DE50" i="7"/>
  <c r="DE53" i="7"/>
  <c r="DE29" i="7"/>
  <c r="DE59" i="7"/>
  <c r="DE52" i="7"/>
  <c r="DE8" i="7"/>
  <c r="DE39" i="7"/>
  <c r="DE70" i="7"/>
  <c r="DE55" i="7"/>
  <c r="DE42" i="7"/>
  <c r="DE25" i="7"/>
  <c r="DE10" i="7"/>
  <c r="DE48" i="7"/>
  <c r="DE46" i="7"/>
  <c r="DE11" i="7"/>
  <c r="DE38" i="7"/>
  <c r="DE66" i="7"/>
  <c r="DE27" i="7"/>
  <c r="DE36" i="7"/>
  <c r="DE3" i="7"/>
  <c r="DE56" i="7"/>
  <c r="DE17" i="7"/>
  <c r="DE58" i="7"/>
  <c r="DE43" i="7"/>
  <c r="DE60" i="7"/>
  <c r="DE5" i="7"/>
  <c r="DE16" i="7"/>
  <c r="DE20" i="7"/>
  <c r="DE24" i="7"/>
  <c r="DE13" i="7"/>
  <c r="DE49" i="7"/>
  <c r="DE12" i="7"/>
  <c r="DE37" i="7"/>
  <c r="DE34" i="7"/>
  <c r="DE57" i="7"/>
  <c r="DE73" i="7"/>
  <c r="DE51" i="7"/>
  <c r="DE45" i="7"/>
  <c r="DE69" i="7"/>
  <c r="DE47" i="7"/>
  <c r="DE28" i="7"/>
  <c r="DE40" i="7"/>
  <c r="DE54" i="7"/>
  <c r="DE31" i="7"/>
  <c r="DE4" i="7"/>
  <c r="CA3" i="7"/>
  <c r="DD26" i="7"/>
  <c r="DD20" i="7"/>
  <c r="DD11" i="7"/>
  <c r="DD12" i="7"/>
  <c r="DD67" i="7"/>
  <c r="DD19" i="7"/>
  <c r="DD45" i="7"/>
  <c r="DD62" i="7"/>
  <c r="DD28" i="7"/>
  <c r="BZ3" i="7"/>
  <c r="DD47" i="7"/>
  <c r="DD48" i="7"/>
  <c r="DD50" i="7"/>
  <c r="DD5" i="7"/>
  <c r="DD37" i="7"/>
  <c r="DD13" i="7"/>
  <c r="DD40" i="7"/>
  <c r="DD59" i="7"/>
  <c r="DD63" i="7"/>
  <c r="DD10" i="7"/>
  <c r="DD43" i="7"/>
  <c r="DD29" i="7"/>
  <c r="DD16" i="7"/>
  <c r="DD54" i="7"/>
  <c r="DD25" i="7"/>
  <c r="DD56" i="7"/>
  <c r="DD24" i="7"/>
  <c r="DD15" i="7"/>
  <c r="DD31" i="7"/>
  <c r="DD30" i="7"/>
  <c r="DD34" i="7"/>
  <c r="DD22" i="7"/>
  <c r="DD53" i="7"/>
  <c r="DD49" i="7"/>
  <c r="DD41" i="7"/>
  <c r="DD68" i="7"/>
  <c r="DD58" i="7"/>
  <c r="DD27" i="7"/>
  <c r="DD4" i="7"/>
  <c r="DD60" i="7"/>
  <c r="DD14" i="7"/>
  <c r="DD52" i="7"/>
  <c r="DD35" i="7"/>
  <c r="DD23" i="7"/>
  <c r="DD51" i="7"/>
  <c r="DD70" i="7"/>
  <c r="DD69" i="7"/>
  <c r="DD64" i="7"/>
  <c r="DD32" i="7"/>
  <c r="DD38" i="7"/>
  <c r="DD57" i="7"/>
  <c r="DD46" i="7"/>
  <c r="DD7" i="7"/>
  <c r="DD18" i="7"/>
  <c r="DD39" i="7"/>
  <c r="DD3" i="7"/>
  <c r="DD36" i="7"/>
  <c r="DD33" i="7"/>
  <c r="DD42" i="7"/>
  <c r="DD44" i="7"/>
  <c r="DD65" i="7"/>
  <c r="DD21" i="7"/>
  <c r="DD61" i="7"/>
  <c r="DD66" i="7"/>
  <c r="DD55" i="7"/>
  <c r="DD6" i="7"/>
  <c r="DD9" i="7"/>
  <c r="CV21" i="7"/>
  <c r="EU21" i="7" s="1"/>
  <c r="BN72" i="7" l="1"/>
  <c r="BM71" i="7" s="1"/>
  <c r="CL73" i="7"/>
  <c r="DF73" i="7"/>
  <c r="EZ21" i="7"/>
  <c r="FE21" i="7" s="1"/>
  <c r="BV55" i="7"/>
  <c r="F55" i="7" s="1"/>
  <c r="G55" i="7" s="1"/>
  <c r="BV37" i="7"/>
  <c r="F37" i="7" s="1"/>
  <c r="G37" i="7" s="1"/>
  <c r="BV67" i="7"/>
  <c r="F67" i="7" s="1"/>
  <c r="G67" i="7" s="1"/>
  <c r="BV47" i="7"/>
  <c r="F47" i="7" s="1"/>
  <c r="G47" i="7" s="1"/>
  <c r="BV66" i="7"/>
  <c r="F66" i="7" s="1"/>
  <c r="G66" i="7" s="1"/>
  <c r="BV53" i="7"/>
  <c r="F53" i="7" s="1"/>
  <c r="G53" i="7" s="1"/>
  <c r="BV59" i="7"/>
  <c r="F59" i="7" s="1"/>
  <c r="G59" i="7" s="1"/>
  <c r="BV21" i="7"/>
  <c r="F21" i="7" s="1"/>
  <c r="G21" i="7" s="1"/>
  <c r="BV58" i="7"/>
  <c r="F58" i="7" s="1"/>
  <c r="G58" i="7" s="1"/>
  <c r="BV40" i="7"/>
  <c r="F40" i="7" s="1"/>
  <c r="G40" i="7" s="1"/>
  <c r="BV64" i="7"/>
  <c r="F64" i="7" s="1"/>
  <c r="G64" i="7" s="1"/>
  <c r="BV25" i="7"/>
  <c r="F25" i="7" s="1"/>
  <c r="G25" i="7" s="1"/>
  <c r="BV27" i="7"/>
  <c r="F27" i="7" s="1"/>
  <c r="G27" i="7" s="1"/>
  <c r="BV19" i="7"/>
  <c r="F19" i="7" s="1"/>
  <c r="G19" i="7" s="1"/>
  <c r="BV31" i="7"/>
  <c r="F31" i="7" s="1"/>
  <c r="G31" i="7" s="1"/>
  <c r="BV28" i="7"/>
  <c r="F28" i="7" s="1"/>
  <c r="G28" i="7" s="1"/>
  <c r="BV65" i="7"/>
  <c r="F65" i="7" s="1"/>
  <c r="G65" i="7" s="1"/>
  <c r="BV60" i="7"/>
  <c r="F60" i="7" s="1"/>
  <c r="G60" i="7" s="1"/>
  <c r="BV22" i="7"/>
  <c r="F22" i="7" s="1"/>
  <c r="G22" i="7" s="1"/>
  <c r="BV20" i="7"/>
  <c r="F20" i="7" s="1"/>
  <c r="G20" i="7" s="1"/>
  <c r="BV61" i="7"/>
  <c r="F61" i="7" s="1"/>
  <c r="G61" i="7" s="1"/>
  <c r="BV39" i="7"/>
  <c r="F39" i="7" s="1"/>
  <c r="G39" i="7" s="1"/>
  <c r="BV34" i="7"/>
  <c r="F34" i="7" s="1"/>
  <c r="G34" i="7" s="1"/>
  <c r="BV44" i="7"/>
  <c r="F44" i="7" s="1"/>
  <c r="G44" i="7" s="1"/>
  <c r="BV42" i="7"/>
  <c r="F42" i="7" s="1"/>
  <c r="G42" i="7" s="1"/>
  <c r="BV41" i="7"/>
  <c r="F41" i="7" s="1"/>
  <c r="G41" i="7" s="1"/>
  <c r="BV48" i="7"/>
  <c r="F48" i="7" s="1"/>
  <c r="G48" i="7" s="1"/>
  <c r="BV33" i="7"/>
  <c r="F33" i="7" s="1"/>
  <c r="G33" i="7" s="1"/>
  <c r="BV52" i="7"/>
  <c r="F52" i="7" s="1"/>
  <c r="G52" i="7" s="1"/>
  <c r="BV51" i="7"/>
  <c r="F51" i="7" s="1"/>
  <c r="G51" i="7" s="1"/>
  <c r="BV69" i="7"/>
  <c r="F69" i="7" s="1"/>
  <c r="G69" i="7" s="1"/>
  <c r="BV30" i="7"/>
  <c r="F30" i="7" s="1"/>
  <c r="G30" i="7" s="1"/>
  <c r="BV62" i="7"/>
  <c r="F62" i="7" s="1"/>
  <c r="G62" i="7" s="1"/>
  <c r="BV43" i="7"/>
  <c r="F43" i="7" s="1"/>
  <c r="G43" i="7" s="1"/>
  <c r="BV45" i="7"/>
  <c r="F45" i="7" s="1"/>
  <c r="G45" i="7" s="1"/>
  <c r="BV70" i="7"/>
  <c r="F70" i="7" s="1"/>
  <c r="G70" i="7" s="1"/>
  <c r="BV50" i="7"/>
  <c r="F50" i="7" s="1"/>
  <c r="G50" i="7" s="1"/>
  <c r="BV57" i="7"/>
  <c r="F57" i="7" s="1"/>
  <c r="G57" i="7" s="1"/>
  <c r="BV38" i="7"/>
  <c r="F38" i="7" s="1"/>
  <c r="G38" i="7" s="1"/>
  <c r="BV49" i="7"/>
  <c r="F49" i="7" s="1"/>
  <c r="G49" i="7" s="1"/>
  <c r="BV36" i="7"/>
  <c r="F36" i="7" s="1"/>
  <c r="G36" i="7" s="1"/>
  <c r="BV32" i="7"/>
  <c r="F32" i="7" s="1"/>
  <c r="G32" i="7" s="1"/>
  <c r="BV46" i="7"/>
  <c r="F46" i="7" s="1"/>
  <c r="G46" i="7" s="1"/>
  <c r="BV23" i="7"/>
  <c r="F23" i="7" s="1"/>
  <c r="G23" i="7" s="1"/>
  <c r="BV68" i="7"/>
  <c r="F68" i="7" s="1"/>
  <c r="G68" i="7" s="1"/>
  <c r="BV35" i="7"/>
  <c r="F35" i="7" s="1"/>
  <c r="G35" i="7" s="1"/>
  <c r="BV24" i="7"/>
  <c r="F24" i="7" s="1"/>
  <c r="G24" i="7" s="1"/>
  <c r="BV63" i="7"/>
  <c r="F63" i="7" s="1"/>
  <c r="G63" i="7" s="1"/>
  <c r="BV56" i="7"/>
  <c r="F56" i="7" s="1"/>
  <c r="G56" i="7" s="1"/>
  <c r="BV54" i="7"/>
  <c r="F54" i="7" s="1"/>
  <c r="G54" i="7" s="1"/>
  <c r="BV26" i="7"/>
  <c r="F26" i="7" s="1"/>
  <c r="G26" i="7" s="1"/>
  <c r="BV29" i="7"/>
  <c r="F29" i="7" s="1"/>
  <c r="G29" i="7" s="1"/>
  <c r="DO73" i="7"/>
  <c r="DP19" i="7"/>
  <c r="DW19" i="7"/>
  <c r="CY20" i="7"/>
  <c r="EX20" i="7" s="1"/>
  <c r="CT20" i="7"/>
  <c r="ES20" i="7" s="1"/>
  <c r="CZ20" i="7"/>
  <c r="EY20" i="7" s="1"/>
  <c r="CV20" i="7"/>
  <c r="EU20" i="7" s="1"/>
  <c r="CW20" i="7"/>
  <c r="EV20" i="7" s="1"/>
  <c r="CX20" i="7"/>
  <c r="EW20" i="7" s="1"/>
  <c r="EE20" i="7"/>
  <c r="EG20" i="7"/>
  <c r="EF20" i="7"/>
  <c r="EB20" i="7"/>
  <c r="DY20" i="7"/>
  <c r="EC20" i="7"/>
  <c r="DZ20" i="7"/>
  <c r="EA20" i="7"/>
  <c r="ED20" i="7"/>
  <c r="CU20" i="7"/>
  <c r="ET20" i="7" s="1"/>
  <c r="DN73" i="7"/>
  <c r="DA21" i="7"/>
  <c r="DB21" i="7"/>
  <c r="DW73" i="7"/>
  <c r="DP73" i="7"/>
  <c r="DD73" i="7"/>
  <c r="BV73" i="7" s="1"/>
  <c r="F73" i="7" s="1"/>
  <c r="G73" i="7" s="1"/>
  <c r="EZ20" i="7" l="1"/>
  <c r="FE20" i="7" s="1"/>
  <c r="CT73" i="7"/>
  <c r="ES73" i="7" s="1"/>
  <c r="DN72" i="7"/>
  <c r="DY72" i="7" s="1"/>
  <c r="DD72" i="7"/>
  <c r="DZ73" i="7"/>
  <c r="ED73" i="7"/>
  <c r="EB73" i="7"/>
  <c r="EA73" i="7"/>
  <c r="EF73" i="7"/>
  <c r="DY73" i="7"/>
  <c r="EC73" i="7"/>
  <c r="EE73" i="7"/>
  <c r="EG73" i="7"/>
  <c r="DO18" i="7"/>
  <c r="DZ18" i="7" s="1"/>
  <c r="DE18" i="7"/>
  <c r="BV18" i="7" s="1"/>
  <c r="F18" i="7" s="1"/>
  <c r="G18" i="7" s="1"/>
  <c r="CU19" i="7"/>
  <c r="ET19" i="7" s="1"/>
  <c r="CY19" i="7"/>
  <c r="EX19" i="7" s="1"/>
  <c r="CX19" i="7"/>
  <c r="EW19" i="7" s="1"/>
  <c r="CZ19" i="7"/>
  <c r="EY19" i="7" s="1"/>
  <c r="CV19" i="7"/>
  <c r="EU19" i="7" s="1"/>
  <c r="CW19" i="7"/>
  <c r="EV19" i="7" s="1"/>
  <c r="EA19" i="7"/>
  <c r="EC19" i="7"/>
  <c r="EB19" i="7"/>
  <c r="DY19" i="7"/>
  <c r="EG19" i="7"/>
  <c r="DZ19" i="7"/>
  <c r="EE19" i="7"/>
  <c r="ED19" i="7"/>
  <c r="EF19" i="7"/>
  <c r="CT19" i="7"/>
  <c r="ES19" i="7" s="1"/>
  <c r="DO72" i="7"/>
  <c r="DZ72" i="7" s="1"/>
  <c r="DE72" i="7"/>
  <c r="CX73" i="7"/>
  <c r="EW73" i="7" s="1"/>
  <c r="CY73" i="7"/>
  <c r="EX73" i="7" s="1"/>
  <c r="CW73" i="7"/>
  <c r="EV73" i="7" s="1"/>
  <c r="CU73" i="7"/>
  <c r="ET73" i="7" s="1"/>
  <c r="CV73" i="7"/>
  <c r="EU73" i="7" s="1"/>
  <c r="CZ73" i="7"/>
  <c r="EY73" i="7" s="1"/>
  <c r="DB20" i="7"/>
  <c r="DA20" i="7"/>
  <c r="EZ19" i="7" l="1"/>
  <c r="FE19" i="7" s="1"/>
  <c r="EZ73" i="7"/>
  <c r="FE73" i="7" s="1"/>
  <c r="DA73" i="7"/>
  <c r="CW18" i="7"/>
  <c r="EV18" i="7" s="1"/>
  <c r="CT18" i="7"/>
  <c r="ES18" i="7" s="1"/>
  <c r="CU18" i="7"/>
  <c r="ET18" i="7" s="1"/>
  <c r="CZ18" i="7"/>
  <c r="EY18" i="7" s="1"/>
  <c r="CV18" i="7"/>
  <c r="EU18" i="7" s="1"/>
  <c r="CY18" i="7"/>
  <c r="EX18" i="7" s="1"/>
  <c r="CX18" i="7"/>
  <c r="EW18" i="7" s="1"/>
  <c r="CX72" i="7"/>
  <c r="EW72" i="7" s="1"/>
  <c r="CT72" i="7"/>
  <c r="ES72" i="7" s="1"/>
  <c r="CV72" i="7"/>
  <c r="EU72" i="7" s="1"/>
  <c r="CZ72" i="7"/>
  <c r="EY72" i="7" s="1"/>
  <c r="CW72" i="7"/>
  <c r="EV72" i="7" s="1"/>
  <c r="CY72" i="7"/>
  <c r="EX72" i="7" s="1"/>
  <c r="CU72" i="7"/>
  <c r="ET72" i="7" s="1"/>
  <c r="DN17" i="7"/>
  <c r="DY17" i="7" s="1"/>
  <c r="DD17" i="7"/>
  <c r="BV17" i="7" s="1"/>
  <c r="F17" i="7" s="1"/>
  <c r="G17" i="7" s="1"/>
  <c r="DN71" i="7"/>
  <c r="DY71" i="7" s="1"/>
  <c r="DD71" i="7"/>
  <c r="BV71" i="7" s="1"/>
  <c r="F71" i="7" s="1"/>
  <c r="G71" i="7" s="1"/>
  <c r="DB19" i="7"/>
  <c r="DA19" i="7"/>
  <c r="DB73" i="7"/>
  <c r="BV72" i="7"/>
  <c r="F72" i="7" s="1"/>
  <c r="G72" i="7" s="1"/>
  <c r="EZ72" i="7" l="1"/>
  <c r="FE72" i="7" s="1"/>
  <c r="EZ18" i="7"/>
  <c r="FE18" i="7" s="1"/>
  <c r="DB18" i="7"/>
  <c r="DA18" i="7"/>
  <c r="DV16" i="7"/>
  <c r="DL16" i="7"/>
  <c r="BV16" i="7" s="1"/>
  <c r="F16" i="7" s="1"/>
  <c r="G16" i="7" s="1"/>
  <c r="CZ16" i="7"/>
  <c r="EY16" i="7" s="1"/>
  <c r="DW16" i="7"/>
  <c r="DA72" i="7"/>
  <c r="DB72" i="7"/>
  <c r="CU17" i="7"/>
  <c r="ET17" i="7" s="1"/>
  <c r="CT17" i="7"/>
  <c r="ES17" i="7" s="1"/>
  <c r="CY17" i="7"/>
  <c r="EX17" i="7" s="1"/>
  <c r="CZ17" i="7"/>
  <c r="EY17" i="7" s="1"/>
  <c r="CV17" i="7"/>
  <c r="EU17" i="7" s="1"/>
  <c r="CX17" i="7"/>
  <c r="EW17" i="7" s="1"/>
  <c r="CW17" i="7"/>
  <c r="EV17" i="7" s="1"/>
  <c r="CX71" i="7"/>
  <c r="EW71" i="7" s="1"/>
  <c r="CU71" i="7"/>
  <c r="ET71" i="7" s="1"/>
  <c r="CY71" i="7"/>
  <c r="EX71" i="7" s="1"/>
  <c r="CZ71" i="7"/>
  <c r="EY71" i="7" s="1"/>
  <c r="CW71" i="7"/>
  <c r="EV71" i="7" s="1"/>
  <c r="CT71" i="7"/>
  <c r="ES71" i="7" s="1"/>
  <c r="CV71" i="7"/>
  <c r="EU71" i="7" s="1"/>
  <c r="EZ17" i="7" l="1"/>
  <c r="FE17" i="7" s="1"/>
  <c r="EZ71" i="7"/>
  <c r="FE71" i="7" s="1"/>
  <c r="EB16" i="7"/>
  <c r="EF16" i="7"/>
  <c r="DZ16" i="7"/>
  <c r="EE16" i="7"/>
  <c r="EC16" i="7"/>
  <c r="DY16" i="7"/>
  <c r="EG16" i="7"/>
  <c r="ED16" i="7"/>
  <c r="EA16" i="7"/>
  <c r="CX16" i="7"/>
  <c r="EW16" i="7" s="1"/>
  <c r="CY16" i="7"/>
  <c r="EX16" i="7" s="1"/>
  <c r="CV16" i="7"/>
  <c r="EU16" i="7" s="1"/>
  <c r="CW16" i="7"/>
  <c r="EV16" i="7" s="1"/>
  <c r="CU16" i="7"/>
  <c r="ET16" i="7" s="1"/>
  <c r="CT16" i="7"/>
  <c r="ES16" i="7" s="1"/>
  <c r="DB71" i="7"/>
  <c r="DA71" i="7"/>
  <c r="DB17" i="7"/>
  <c r="DA17" i="7"/>
  <c r="DK15" i="7"/>
  <c r="BV15" i="7" s="1"/>
  <c r="F15" i="7" s="1"/>
  <c r="G15" i="7" s="1"/>
  <c r="DU15" i="7"/>
  <c r="CY15" i="7"/>
  <c r="EX15" i="7" s="1"/>
  <c r="DW15" i="7"/>
  <c r="EZ16" i="7" l="1"/>
  <c r="FE16" i="7" s="1"/>
  <c r="DB16" i="7"/>
  <c r="DA16" i="7"/>
  <c r="DT14" i="7"/>
  <c r="DJ14" i="7"/>
  <c r="BV14" i="7" s="1"/>
  <c r="F14" i="7" s="1"/>
  <c r="G14" i="7" s="1"/>
  <c r="CX14" i="7"/>
  <c r="EW14" i="7" s="1"/>
  <c r="DW14" i="7"/>
  <c r="EC15" i="7"/>
  <c r="EA15" i="7"/>
  <c r="EE15" i="7"/>
  <c r="DY15" i="7"/>
  <c r="EB15" i="7"/>
  <c r="DZ15" i="7"/>
  <c r="EG15" i="7"/>
  <c r="EF15" i="7"/>
  <c r="ED15" i="7"/>
  <c r="CW15" i="7"/>
  <c r="EV15" i="7" s="1"/>
  <c r="CV15" i="7"/>
  <c r="EU15" i="7" s="1"/>
  <c r="CU15" i="7"/>
  <c r="ET15" i="7" s="1"/>
  <c r="CX15" i="7"/>
  <c r="EW15" i="7" s="1"/>
  <c r="CZ15" i="7"/>
  <c r="EY15" i="7" s="1"/>
  <c r="CT15" i="7"/>
  <c r="ES15" i="7" s="1"/>
  <c r="EZ15" i="7" l="1"/>
  <c r="FE15" i="7" s="1"/>
  <c r="EE14" i="7"/>
  <c r="ED14" i="7"/>
  <c r="EG14" i="7"/>
  <c r="DY14" i="7"/>
  <c r="EA14" i="7"/>
  <c r="EC14" i="7"/>
  <c r="DZ14" i="7"/>
  <c r="EB14" i="7"/>
  <c r="EF14" i="7"/>
  <c r="CZ14" i="7"/>
  <c r="EY14" i="7" s="1"/>
  <c r="CY14" i="7"/>
  <c r="EX14" i="7" s="1"/>
  <c r="CU14" i="7"/>
  <c r="ET14" i="7" s="1"/>
  <c r="CT14" i="7"/>
  <c r="ES14" i="7" s="1"/>
  <c r="CV14" i="7"/>
  <c r="EU14" i="7" s="1"/>
  <c r="CW14" i="7"/>
  <c r="EV14" i="7" s="1"/>
  <c r="DA15" i="7"/>
  <c r="DB15" i="7"/>
  <c r="DS13" i="7"/>
  <c r="DI13" i="7"/>
  <c r="BV13" i="7" s="1"/>
  <c r="F13" i="7" s="1"/>
  <c r="G13" i="7" s="1"/>
  <c r="CW13" i="7"/>
  <c r="EV13" i="7" s="1"/>
  <c r="DW13" i="7"/>
  <c r="EZ14" i="7" l="1"/>
  <c r="FE14" i="7" s="1"/>
  <c r="CT13" i="7"/>
  <c r="ES13" i="7" s="1"/>
  <c r="CZ13" i="7"/>
  <c r="EY13" i="7" s="1"/>
  <c r="CY13" i="7"/>
  <c r="EX13" i="7" s="1"/>
  <c r="CX13" i="7"/>
  <c r="EW13" i="7" s="1"/>
  <c r="CU13" i="7"/>
  <c r="ET13" i="7" s="1"/>
  <c r="CV13" i="7"/>
  <c r="EU13" i="7" s="1"/>
  <c r="DA14" i="7"/>
  <c r="DB14" i="7"/>
  <c r="DH12" i="7"/>
  <c r="BV12" i="7" s="1"/>
  <c r="F12" i="7" s="1"/>
  <c r="G12" i="7" s="1"/>
  <c r="DR12" i="7"/>
  <c r="DW12" i="7"/>
  <c r="EE13" i="7"/>
  <c r="EG13" i="7"/>
  <c r="EB13" i="7"/>
  <c r="EF13" i="7"/>
  <c r="DY13" i="7"/>
  <c r="EC13" i="7"/>
  <c r="DZ13" i="7"/>
  <c r="EA13" i="7"/>
  <c r="ED13" i="7"/>
  <c r="EZ13" i="7" l="1"/>
  <c r="FE13" i="7" s="1"/>
  <c r="CW12" i="7"/>
  <c r="EV12" i="7" s="1"/>
  <c r="CX12" i="7"/>
  <c r="EW12" i="7" s="1"/>
  <c r="CT12" i="7"/>
  <c r="ES12" i="7" s="1"/>
  <c r="CU12" i="7"/>
  <c r="ET12" i="7" s="1"/>
  <c r="CZ12" i="7"/>
  <c r="EY12" i="7" s="1"/>
  <c r="CY12" i="7"/>
  <c r="EX12" i="7" s="1"/>
  <c r="EE12" i="7"/>
  <c r="DY12" i="7"/>
  <c r="EB12" i="7"/>
  <c r="DZ12" i="7"/>
  <c r="EG12" i="7"/>
  <c r="EF12" i="7"/>
  <c r="EC12" i="7"/>
  <c r="ED12" i="7"/>
  <c r="EA12" i="7"/>
  <c r="CV12" i="7"/>
  <c r="EU12" i="7" s="1"/>
  <c r="DB13" i="7"/>
  <c r="DA13" i="7"/>
  <c r="DQ11" i="7"/>
  <c r="DG11" i="7"/>
  <c r="BV11" i="7" s="1"/>
  <c r="F11" i="7" s="1"/>
  <c r="G11" i="7" s="1"/>
  <c r="CU11" i="7"/>
  <c r="ET11" i="7" s="1"/>
  <c r="DW11" i="7"/>
  <c r="EZ12" i="7" l="1"/>
  <c r="FE12" i="7" s="1"/>
  <c r="DA12" i="7"/>
  <c r="DB12" i="7"/>
  <c r="EB11" i="7"/>
  <c r="DY11" i="7"/>
  <c r="DZ11" i="7"/>
  <c r="EE11" i="7"/>
  <c r="EA11" i="7"/>
  <c r="EC11" i="7"/>
  <c r="EG11" i="7"/>
  <c r="EF11" i="7"/>
  <c r="ED11" i="7"/>
  <c r="DW10" i="7"/>
  <c r="DP10" i="7"/>
  <c r="DP76" i="7" s="1"/>
  <c r="CT10" i="7"/>
  <c r="ES10" i="7" s="1"/>
  <c r="DF10" i="7"/>
  <c r="BV10" i="7" s="1"/>
  <c r="F10" i="7" s="1"/>
  <c r="G10" i="7" s="1"/>
  <c r="CZ11" i="7"/>
  <c r="EY11" i="7" s="1"/>
  <c r="CW11" i="7"/>
  <c r="EV11" i="7" s="1"/>
  <c r="CV11" i="7"/>
  <c r="EU11" i="7" s="1"/>
  <c r="CT11" i="7"/>
  <c r="ES11" i="7" s="1"/>
  <c r="CX11" i="7"/>
  <c r="EW11" i="7" s="1"/>
  <c r="CY11" i="7"/>
  <c r="EX11" i="7" s="1"/>
  <c r="EZ11" i="7" l="1"/>
  <c r="FE11" i="7" s="1"/>
  <c r="DO9" i="7"/>
  <c r="DE9" i="7"/>
  <c r="BV9" i="7" s="1"/>
  <c r="F9" i="7" s="1"/>
  <c r="G9" i="7" s="1"/>
  <c r="DA11" i="7"/>
  <c r="DB11" i="7"/>
  <c r="ED10" i="7"/>
  <c r="EA10" i="7"/>
  <c r="EG10" i="7"/>
  <c r="DZ10" i="7"/>
  <c r="EB10" i="7"/>
  <c r="EC10" i="7"/>
  <c r="DY10" i="7"/>
  <c r="EE10" i="7"/>
  <c r="EF10" i="7"/>
  <c r="CW10" i="7"/>
  <c r="EV10" i="7" s="1"/>
  <c r="CZ10" i="7"/>
  <c r="EY10" i="7" s="1"/>
  <c r="CY10" i="7"/>
  <c r="EX10" i="7" s="1"/>
  <c r="CV10" i="7"/>
  <c r="EU10" i="7" s="1"/>
  <c r="CX10" i="7"/>
  <c r="EW10" i="7" s="1"/>
  <c r="CU10" i="7"/>
  <c r="ET10" i="7" s="1"/>
  <c r="EZ10" i="7" l="1"/>
  <c r="FE10" i="7" s="1"/>
  <c r="CU9" i="7"/>
  <c r="ET9" i="7" s="1"/>
  <c r="CZ9" i="7"/>
  <c r="EY9" i="7" s="1"/>
  <c r="CT9" i="7"/>
  <c r="ES9" i="7" s="1"/>
  <c r="CV9" i="7"/>
  <c r="EU9" i="7" s="1"/>
  <c r="CX9" i="7"/>
  <c r="EW9" i="7" s="1"/>
  <c r="CW9" i="7"/>
  <c r="EV9" i="7" s="1"/>
  <c r="CY9" i="7"/>
  <c r="EX9" i="7" s="1"/>
  <c r="DZ9" i="7"/>
  <c r="DO76" i="7"/>
  <c r="DN8" i="7"/>
  <c r="DN76" i="7" s="1"/>
  <c r="DD8" i="7"/>
  <c r="BV8" i="7" s="1"/>
  <c r="F8" i="7" s="1"/>
  <c r="G8" i="7" s="1"/>
  <c r="DA10" i="7"/>
  <c r="DB10" i="7"/>
  <c r="EZ9" i="7" l="1"/>
  <c r="FE9" i="7" s="1"/>
  <c r="DY8" i="7"/>
  <c r="DL7" i="7"/>
  <c r="BV7" i="7" s="1"/>
  <c r="F7" i="7" s="1"/>
  <c r="G7" i="7" s="1"/>
  <c r="DW7" i="7"/>
  <c r="DV7" i="7"/>
  <c r="CZ8" i="7"/>
  <c r="EY8" i="7" s="1"/>
  <c r="CW8" i="7"/>
  <c r="EV8" i="7" s="1"/>
  <c r="CV8" i="7"/>
  <c r="EU8" i="7" s="1"/>
  <c r="CY8" i="7"/>
  <c r="EX8" i="7" s="1"/>
  <c r="CU8" i="7"/>
  <c r="ET8" i="7" s="1"/>
  <c r="CX8" i="7"/>
  <c r="EW8" i="7" s="1"/>
  <c r="CT8" i="7"/>
  <c r="ES8" i="7" s="1"/>
  <c r="DA9" i="7"/>
  <c r="DB9" i="7"/>
  <c r="EZ8" i="7" l="1"/>
  <c r="FE8" i="7" s="1"/>
  <c r="EE7" i="7"/>
  <c r="EC7" i="7"/>
  <c r="DZ7" i="7"/>
  <c r="ED7" i="7"/>
  <c r="EG7" i="7"/>
  <c r="EB7" i="7"/>
  <c r="EF7" i="7"/>
  <c r="EA7" i="7"/>
  <c r="DY7" i="7"/>
  <c r="CT7" i="7"/>
  <c r="ES7" i="7" s="1"/>
  <c r="CY7" i="7"/>
  <c r="EX7" i="7" s="1"/>
  <c r="CU7" i="7"/>
  <c r="ET7" i="7" s="1"/>
  <c r="CW7" i="7"/>
  <c r="EV7" i="7" s="1"/>
  <c r="CX7" i="7"/>
  <c r="EW7" i="7" s="1"/>
  <c r="CV7" i="7"/>
  <c r="EU7" i="7" s="1"/>
  <c r="CZ7" i="7"/>
  <c r="EY7" i="7" s="1"/>
  <c r="DA8" i="7"/>
  <c r="DB8" i="7"/>
  <c r="DK6" i="7"/>
  <c r="BV6" i="7" s="1"/>
  <c r="F6" i="7" s="1"/>
  <c r="G6" i="7" s="1"/>
  <c r="CY6" i="7"/>
  <c r="EX6" i="7" s="1"/>
  <c r="DW6" i="7"/>
  <c r="DU6" i="7"/>
  <c r="DU76" i="7" s="1"/>
  <c r="EZ7" i="7" l="1"/>
  <c r="FE7" i="7" s="1"/>
  <c r="DB7" i="7"/>
  <c r="DA7" i="7"/>
  <c r="DJ5" i="7"/>
  <c r="BV5" i="7" s="1"/>
  <c r="F5" i="7" s="1"/>
  <c r="G5" i="7" s="1"/>
  <c r="DW5" i="7"/>
  <c r="DT5" i="7"/>
  <c r="DT76" i="7" s="1"/>
  <c r="DY6" i="7"/>
  <c r="EE6" i="7"/>
  <c r="EF6" i="7"/>
  <c r="EG6" i="7"/>
  <c r="EB6" i="7"/>
  <c r="DZ6" i="7"/>
  <c r="ED6" i="7"/>
  <c r="EA6" i="7"/>
  <c r="EC6" i="7"/>
  <c r="CV6" i="7"/>
  <c r="EU6" i="7" s="1"/>
  <c r="CZ6" i="7"/>
  <c r="EY6" i="7" s="1"/>
  <c r="CX6" i="7"/>
  <c r="EW6" i="7" s="1"/>
  <c r="CT6" i="7"/>
  <c r="ES6" i="7" s="1"/>
  <c r="CW6" i="7"/>
  <c r="EV6" i="7" s="1"/>
  <c r="CU6" i="7"/>
  <c r="ET6" i="7" s="1"/>
  <c r="EZ6" i="7" l="1"/>
  <c r="FE6" i="7" s="1"/>
  <c r="CV5" i="7"/>
  <c r="EU5" i="7" s="1"/>
  <c r="CU5" i="7"/>
  <c r="ET5" i="7" s="1"/>
  <c r="CZ5" i="7"/>
  <c r="EY5" i="7" s="1"/>
  <c r="CW5" i="7"/>
  <c r="EV5" i="7" s="1"/>
  <c r="CY5" i="7"/>
  <c r="EX5" i="7" s="1"/>
  <c r="CT5" i="7"/>
  <c r="ES5" i="7" s="1"/>
  <c r="EG5" i="7"/>
  <c r="EC5" i="7"/>
  <c r="EE5" i="7"/>
  <c r="ED5" i="7"/>
  <c r="EA5" i="7"/>
  <c r="EB5" i="7"/>
  <c r="EF5" i="7"/>
  <c r="DZ5" i="7"/>
  <c r="DY5" i="7"/>
  <c r="CX5" i="7"/>
  <c r="EW5" i="7" s="1"/>
  <c r="DB6" i="7"/>
  <c r="DA6" i="7"/>
  <c r="DW4" i="7"/>
  <c r="DI4" i="7"/>
  <c r="BV4" i="7" s="1"/>
  <c r="F4" i="7" s="1"/>
  <c r="G4" i="7" s="1"/>
  <c r="DS4" i="7"/>
  <c r="DS76" i="7" s="1"/>
  <c r="CW4" i="7"/>
  <c r="EV4" i="7" s="1"/>
  <c r="EZ5" i="7" l="1"/>
  <c r="FE5" i="7" s="1"/>
  <c r="DH3" i="7"/>
  <c r="BV3" i="7" s="1"/>
  <c r="F3" i="7" s="1"/>
  <c r="G3" i="7" s="1"/>
  <c r="DW3" i="7"/>
  <c r="DR3" i="7"/>
  <c r="DR76" i="7" s="1"/>
  <c r="EB4" i="7"/>
  <c r="ED4" i="7"/>
  <c r="DY4" i="7"/>
  <c r="EF4" i="7"/>
  <c r="EE4" i="7"/>
  <c r="EC4" i="7"/>
  <c r="EA4" i="7"/>
  <c r="EG4" i="7"/>
  <c r="DZ4" i="7"/>
  <c r="CT4" i="7"/>
  <c r="ES4" i="7" s="1"/>
  <c r="CX4" i="7"/>
  <c r="EW4" i="7" s="1"/>
  <c r="CV4" i="7"/>
  <c r="EU4" i="7" s="1"/>
  <c r="CZ4" i="7"/>
  <c r="EY4" i="7" s="1"/>
  <c r="CY4" i="7"/>
  <c r="EX4" i="7" s="1"/>
  <c r="CU4" i="7"/>
  <c r="ET4" i="7" s="1"/>
  <c r="DA5" i="7"/>
  <c r="DB5" i="7"/>
  <c r="EZ4" i="7" l="1"/>
  <c r="FE4" i="7" s="1"/>
  <c r="CX3" i="7"/>
  <c r="EW3" i="7" s="1"/>
  <c r="CT3" i="7"/>
  <c r="CY3" i="7"/>
  <c r="EX3" i="7" s="1"/>
  <c r="CW3" i="7"/>
  <c r="EV3" i="7" s="1"/>
  <c r="CU3" i="7"/>
  <c r="ET3" i="7" s="1"/>
  <c r="CZ3" i="7"/>
  <c r="EY3" i="7" s="1"/>
  <c r="DG2" i="7"/>
  <c r="BV2" i="7" s="1"/>
  <c r="DQ2" i="7"/>
  <c r="DQ76" i="7" s="1"/>
  <c r="DN77" i="7" s="1"/>
  <c r="EC3" i="7"/>
  <c r="DZ3" i="7"/>
  <c r="EA3" i="7"/>
  <c r="EG3" i="7"/>
  <c r="EB3" i="7"/>
  <c r="ED3" i="7"/>
  <c r="EF3" i="7"/>
  <c r="EE3" i="7"/>
  <c r="DY3" i="7"/>
  <c r="DB4" i="7"/>
  <c r="DA4" i="7"/>
  <c r="CV3" i="7"/>
  <c r="EU3" i="7" s="1"/>
  <c r="B10" i="7" l="1"/>
  <c r="F2" i="7"/>
  <c r="G2" i="7" s="1"/>
  <c r="ES3" i="7"/>
  <c r="DA3" i="7"/>
  <c r="EZ3" i="7"/>
  <c r="FE3" i="7" s="1"/>
  <c r="CW2" i="7"/>
  <c r="EV2" i="7" s="1"/>
  <c r="CY2" i="7"/>
  <c r="EX2" i="7" s="1"/>
  <c r="CV2" i="7"/>
  <c r="EU2" i="7" s="1"/>
  <c r="CX2" i="7"/>
  <c r="EW2" i="7" s="1"/>
  <c r="CZ2" i="7"/>
  <c r="EY2" i="7" s="1"/>
  <c r="DQ77" i="7"/>
  <c r="DP77" i="7"/>
  <c r="DO77" i="7"/>
  <c r="DU77" i="7"/>
  <c r="DT77" i="7"/>
  <c r="DS77" i="7"/>
  <c r="DB3" i="7"/>
  <c r="CU2" i="7"/>
  <c r="EE2" i="7"/>
  <c r="ED78" i="7" s="1"/>
  <c r="ED81" i="7" s="1"/>
  <c r="EG2" i="7"/>
  <c r="EC2" i="7"/>
  <c r="EB78" i="7" s="1"/>
  <c r="EB81" i="7" s="1"/>
  <c r="DX78" i="7"/>
  <c r="DX81" i="7" s="1"/>
  <c r="ED2" i="7"/>
  <c r="EC78" i="7" s="1"/>
  <c r="EC81" i="7" s="1"/>
  <c r="EF2" i="7"/>
  <c r="EE78" i="7" s="1"/>
  <c r="EE81" i="7" s="1"/>
  <c r="EA2" i="7"/>
  <c r="DZ78" i="7" s="1"/>
  <c r="DZ81" i="7" s="1"/>
  <c r="DZ2" i="7"/>
  <c r="DY78" i="7" s="1"/>
  <c r="DY81" i="7" s="1"/>
  <c r="EB2" i="7"/>
  <c r="EA78" i="7" s="1"/>
  <c r="EA81" i="7" s="1"/>
  <c r="DR77" i="7"/>
  <c r="ET2" i="7" l="1"/>
  <c r="EZ2" i="7"/>
  <c r="DB2" i="7"/>
  <c r="FE2" i="7" l="1"/>
  <c r="FF2" i="7" s="1"/>
  <c r="B16" i="7" s="1"/>
  <c r="B20" i="7" s="1"/>
  <c r="B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Henriquez Tribinos, Vania</author>
    <author>Rho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Henriquez Tribinos, Vania:</t>
        </r>
        <r>
          <rPr>
            <sz val="9"/>
            <color indexed="81"/>
            <rFont val="Tahoma"/>
            <family val="2"/>
          </rPr>
          <t xml:space="preserve">
I used altSSB (so I have the final year)</t>
        </r>
      </text>
    </comment>
    <comment ref="G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Henriquez Tribinos, Vania:</t>
        </r>
        <r>
          <rPr>
            <sz val="9"/>
            <color indexed="81"/>
            <rFont val="Tahoma"/>
            <family val="2"/>
          </rPr>
          <t xml:space="preserve">
I believe I should use this to compare with SRA</t>
        </r>
      </text>
    </comment>
    <comment ref="DN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Henriquez Tribinos, Vania:</t>
        </r>
        <r>
          <rPr>
            <sz val="9"/>
            <color indexed="81"/>
            <rFont val="Tahoma"/>
            <family val="2"/>
          </rPr>
          <t xml:space="preserve">
depend on catch , Q and  predN</t>
        </r>
      </text>
    </comment>
    <comment ref="DW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Henriquez Tribinos, Vania:</t>
        </r>
        <r>
          <rPr>
            <sz val="9"/>
            <color indexed="81"/>
            <rFont val="Tahoma"/>
            <family val="2"/>
          </rPr>
          <t xml:space="preserve">
depend on catch, Q, and Npred (for ages fully vuln (age4+)
</t>
        </r>
      </text>
    </comment>
    <comment ref="DC6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Rho:</t>
        </r>
        <r>
          <rPr>
            <sz val="9"/>
            <color indexed="81"/>
            <rFont val="Tahoma"/>
            <family val="2"/>
          </rPr>
          <t xml:space="preserve">
61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<sst xmlns="http://schemas.openxmlformats.org/spreadsheetml/2006/main" count="205" uniqueCount="171">
  <si>
    <t>Year</t>
  </si>
  <si>
    <t>Catch</t>
  </si>
  <si>
    <t>SSB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</si>
  <si>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</si>
  <si>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</si>
  <si>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</si>
  <si>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</si>
  <si>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</si>
  <si>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</si>
  <si>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</si>
  <si>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</si>
  <si>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</si>
  <si>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Ctot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</si>
  <si>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</si>
  <si>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</si>
  <si>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</si>
  <si>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</si>
  <si>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</si>
  <si>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</si>
  <si>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</si>
  <si>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</si>
  <si>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</si>
  <si>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</si>
  <si>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</si>
  <si>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</si>
  <si>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</si>
  <si>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</si>
  <si>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</si>
  <si>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</si>
  <si>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</si>
  <si>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</si>
  <si>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Wbar</t>
  </si>
  <si>
    <t>SSN</t>
  </si>
  <si>
    <t>Naged2</t>
  </si>
  <si>
    <t>Naged3</t>
  </si>
  <si>
    <t>Naged4</t>
  </si>
  <si>
    <t>Naged5</t>
  </si>
  <si>
    <t>Naged6</t>
  </si>
  <si>
    <t>Naged7</t>
  </si>
  <si>
    <t>Naged8</t>
  </si>
  <si>
    <t>Naged9</t>
  </si>
  <si>
    <t>Naged10</t>
  </si>
  <si>
    <t>Nagetot</t>
  </si>
  <si>
    <t>SSL Q</t>
  </si>
  <si>
    <t>Bt</t>
  </si>
  <si>
    <t>Ufishery</t>
  </si>
  <si>
    <t>Su</t>
  </si>
  <si>
    <t>SSL base Q</t>
  </si>
  <si>
    <t>SSLQmult</t>
  </si>
  <si>
    <t>age</t>
  </si>
  <si>
    <t>year</t>
  </si>
  <si>
    <t>spq</t>
  </si>
  <si>
    <t>va</t>
  </si>
  <si>
    <t>va/va+1</t>
  </si>
  <si>
    <t>ratio Mbar</t>
  </si>
  <si>
    <t>Tanas ratio ma3</t>
  </si>
  <si>
    <t>QN2</t>
  </si>
  <si>
    <t>QN3</t>
  </si>
  <si>
    <t>QN4</t>
  </si>
  <si>
    <t>QN5</t>
  </si>
  <si>
    <t>QN6</t>
  </si>
  <si>
    <t>QN7</t>
  </si>
  <si>
    <t>QN8</t>
  </si>
  <si>
    <t>QN9</t>
  </si>
  <si>
    <t>QN10</t>
  </si>
  <si>
    <t>VPA2</t>
  </si>
  <si>
    <t>VPA3</t>
  </si>
  <si>
    <t>VPA4</t>
  </si>
  <si>
    <t>VPA5</t>
  </si>
  <si>
    <t>VPA6</t>
  </si>
  <si>
    <t>VPA7</t>
  </si>
  <si>
    <t>VPA8</t>
  </si>
  <si>
    <t>VPA9</t>
  </si>
  <si>
    <t>VPA10</t>
  </si>
  <si>
    <t>av va</t>
  </si>
  <si>
    <t>Relm</t>
  </si>
  <si>
    <t>Mage</t>
  </si>
  <si>
    <t>tanasMsl</t>
  </si>
  <si>
    <t>M</t>
  </si>
  <si>
    <t>Tanasichuck average Ms (his Table 2)</t>
  </si>
  <si>
    <t>Ssspawn</t>
  </si>
  <si>
    <t>Ssrelm</t>
  </si>
  <si>
    <t>varssb</t>
  </si>
  <si>
    <t>varrelm</t>
  </si>
  <si>
    <t>qspawn</t>
  </si>
  <si>
    <t>SSB raw</t>
  </si>
  <si>
    <t>Po5</t>
  </si>
  <si>
    <t>Po6</t>
  </si>
  <si>
    <t>Po7</t>
  </si>
  <si>
    <t>Po8</t>
  </si>
  <si>
    <t>Po9</t>
  </si>
  <si>
    <t>Po10</t>
  </si>
  <si>
    <t>Po4</t>
  </si>
  <si>
    <t>pp4</t>
  </si>
  <si>
    <t>pp5</t>
  </si>
  <si>
    <t>pp6</t>
  </si>
  <si>
    <t>pp7</t>
  </si>
  <si>
    <t>pp8</t>
  </si>
  <si>
    <t>pp9</t>
  </si>
  <si>
    <t>pp10</t>
  </si>
  <si>
    <t>lnbin</t>
  </si>
  <si>
    <t>alt lnbin</t>
  </si>
  <si>
    <t>neffective</t>
  </si>
  <si>
    <t>do not use</t>
  </si>
  <si>
    <t>Neff</t>
  </si>
  <si>
    <t>USSL vpa</t>
  </si>
  <si>
    <t>Pred M vpa</t>
  </si>
  <si>
    <t>SN2</t>
  </si>
  <si>
    <t>Sn3</t>
  </si>
  <si>
    <t>SN4</t>
  </si>
  <si>
    <t>SN5</t>
  </si>
  <si>
    <t>SN6</t>
  </si>
  <si>
    <t>SN7</t>
  </si>
  <si>
    <t>SN8</t>
  </si>
  <si>
    <t>SN9</t>
  </si>
  <si>
    <t>SN10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</si>
  <si>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</si>
  <si>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</si>
  <si>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</si>
  <si>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</si>
  <si>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</si>
  <si>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</si>
  <si>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</si>
  <si>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</si>
  <si>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</si>
  <si>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 xml:space="preserve">age </t>
  </si>
  <si>
    <t>Ufull</t>
  </si>
  <si>
    <t>vul2</t>
  </si>
  <si>
    <t>vul3</t>
  </si>
  <si>
    <t>vul4</t>
  </si>
  <si>
    <t>vul5</t>
  </si>
  <si>
    <t>vul6</t>
  </si>
  <si>
    <t>vul7</t>
  </si>
  <si>
    <t>vul8</t>
  </si>
  <si>
    <t>vul9</t>
  </si>
  <si>
    <t>vul10</t>
  </si>
  <si>
    <t>mean Ut</t>
  </si>
  <si>
    <t>v(a) from Ubar over time</t>
  </si>
  <si>
    <t>v(a) from yearly Ufull (av U over ages 4-10)</t>
  </si>
  <si>
    <t>alt vpa SSB</t>
  </si>
  <si>
    <t>age 2</t>
  </si>
  <si>
    <t>age 3</t>
  </si>
  <si>
    <t>From 1972</t>
  </si>
  <si>
    <t>theta_dm</t>
  </si>
  <si>
    <t>Dirichlet-mult calcs</t>
  </si>
  <si>
    <t>Obs_Sample_size (Naged)</t>
  </si>
  <si>
    <t>a4</t>
  </si>
  <si>
    <t>a5</t>
  </si>
  <si>
    <t>a6</t>
  </si>
  <si>
    <t>a7</t>
  </si>
  <si>
    <t>a8</t>
  </si>
  <si>
    <t>a9</t>
  </si>
  <si>
    <t>a10</t>
  </si>
  <si>
    <t>calc sum1</t>
  </si>
  <si>
    <t>calc sum2</t>
  </si>
  <si>
    <t>term1</t>
  </si>
  <si>
    <t>term2</t>
  </si>
  <si>
    <t>term3</t>
  </si>
  <si>
    <t>SUM_ALL</t>
  </si>
  <si>
    <t>JNLL</t>
  </si>
  <si>
    <t>Est_Sample_Size(t)</t>
  </si>
  <si>
    <t>sstot_mult</t>
  </si>
  <si>
    <t>sstot_dm</t>
  </si>
  <si>
    <t>like_cat_dm</t>
  </si>
  <si>
    <t>SSB_SRA</t>
  </si>
  <si>
    <t>No4+</t>
  </si>
  <si>
    <t>Np4+</t>
  </si>
  <si>
    <t>SSLbaseQ</t>
  </si>
  <si>
    <t>SSBraw</t>
  </si>
  <si>
    <t>like_age_multi</t>
  </si>
  <si>
    <t>RelmSca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</si>
</sst>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00"/>
    <numFmt numFmtId="167" formatCode="0.0000"/>
    <numFmt numFmtId="168" formatCode="0.0"/>
  </numFmts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92D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66FF"/>
        <bgColor indexed="64"/>
      </patternFill>
    </fill>
    <fill>
      <patternFill patternType="solid">
        <fgColor rgb="FFD1A2F8"/>
        <bgColor indexed="64"/>
      </patternFill>
    </fill>
    <fill>
      <patternFill patternType="solid">
        <fgColor rgb="FFD0B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06D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1" fillId="3" borderId="0" xfId="1"/>
    <xf numFmtId="0" fontId="2" fillId="4" borderId="0" xfId="2"/>
    <xf numFmtId="0" fontId="3" fillId="0" borderId="0" xfId="0" applyFont="1"/>
    <xf numFmtId="0" fontId="1" fillId="0" borderId="0" xfId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0" fillId="0" borderId="0" xfId="0" applyNumberFormat="1"/>
    <xf numFmtId="0" fontId="0" fillId="8" borderId="0" xfId="0" applyFill="1"/>
    <xf numFmtId="0" fontId="8" fillId="0" borderId="0" xfId="3" applyFill="1"/>
    <xf numFmtId="0" fontId="9" fillId="0" borderId="0" xfId="3" applyFont="1" applyFill="1"/>
    <xf numFmtId="0" fontId="0" fillId="9" borderId="0" xfId="0" applyFill="1"/>
    <xf numFmtId="0" fontId="11" fillId="7" borderId="0" xfId="3" applyFont="1" applyFill="1"/>
    <xf numFmtId="2" fontId="8" fillId="0" borderId="0" xfId="3" applyNumberFormat="1" applyFill="1"/>
    <xf numFmtId="0" fontId="11" fillId="10" borderId="0" xfId="3" applyFont="1" applyFill="1"/>
    <xf numFmtId="164" fontId="11" fillId="10" borderId="0" xfId="3" applyNumberFormat="1" applyFont="1" applyFill="1"/>
    <xf numFmtId="0" fontId="1" fillId="5" borderId="0" xfId="1" applyFill="1" applyAlignment="1">
      <alignment wrapText="1"/>
    </xf>
    <xf numFmtId="0" fontId="0" fillId="0" borderId="0" xfId="0" applyAlignment="1">
      <alignment wrapText="1"/>
    </xf>
    <xf numFmtId="0" fontId="6" fillId="2" borderId="0" xfId="0" applyFont="1" applyFill="1" applyAlignment="1">
      <alignment wrapText="1"/>
    </xf>
    <xf numFmtId="167" fontId="0" fillId="8" borderId="0" xfId="0" applyNumberFormat="1" applyFill="1"/>
    <xf numFmtId="2" fontId="10" fillId="8" borderId="0" xfId="0" applyNumberFormat="1" applyFont="1" applyFill="1"/>
    <xf numFmtId="168" fontId="0" fillId="8" borderId="0" xfId="0" applyNumberFormat="1" applyFill="1"/>
    <xf numFmtId="168" fontId="10" fillId="8" borderId="0" xfId="0" applyNumberFormat="1" applyFont="1" applyFill="1"/>
    <xf numFmtId="168" fontId="0" fillId="0" borderId="0" xfId="0" applyNumberFormat="1"/>
    <xf numFmtId="167" fontId="0" fillId="0" borderId="0" xfId="0" applyNumberFormat="1"/>
    <xf numFmtId="166" fontId="0" fillId="0" borderId="0" xfId="0" applyNumberFormat="1"/>
    <xf numFmtId="0" fontId="12" fillId="0" borderId="0" xfId="0" applyFont="1"/>
    <xf numFmtId="164" fontId="12" fillId="0" borderId="0" xfId="0" applyNumberFormat="1" applyFont="1"/>
    <xf numFmtId="165" fontId="1" fillId="5" borderId="0" xfId="1" applyNumberFormat="1" applyFill="1"/>
    <xf numFmtId="165" fontId="0" fillId="2" borderId="0" xfId="0" applyNumberFormat="1" applyFill="1"/>
    <xf numFmtId="165" fontId="7" fillId="2" borderId="0" xfId="1" applyNumberFormat="1" applyFont="1" applyFill="1"/>
    <xf numFmtId="165" fontId="2" fillId="4" borderId="0" xfId="2" applyNumberFormat="1"/>
  </cellXfs>
  <cellStyles count="4">
    <cellStyle name="Bad" xfId="2" builtinId="27"/>
    <cellStyle name="Explanatory Text" xfId="3" builtinId="53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D0B9FF"/>
      <color rgb="FFFA06D1"/>
      <color rgb="FFD1A2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'relm fit'!$E$1</c:f>
              <c:strCache>
                <c:ptCount val="1"/>
                <c:pt idx="0">
                  <c:v>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'relm fit'!$E$2:$E$89</c:f>
              <c:numCache>
                <c:formatCode>General</c:formatCode>
                <c:ptCount val="88"/>
                <c:pt idx="0">
                  <c:v>47.251740170173179</c:v>
                </c:pt>
                <c:pt idx="1">
                  <c:v>46.030518228223656</c:v>
                </c:pt>
                <c:pt idx="2">
                  <c:v>45.182296286274116</c:v>
                </c:pt>
                <c:pt idx="3">
                  <c:v>59.327074344324586</c:v>
                </c:pt>
                <c:pt idx="4">
                  <c:v>26.583852402375065</c:v>
                </c:pt>
                <c:pt idx="5">
                  <c:v>49.629852402375064</c:v>
                </c:pt>
                <c:pt idx="6">
                  <c:v>50.81936031667491</c:v>
                </c:pt>
                <c:pt idx="7">
                  <c:v>22.465828797624937</c:v>
                </c:pt>
                <c:pt idx="8">
                  <c:v>84.541063038099949</c:v>
                </c:pt>
                <c:pt idx="9">
                  <c:v>62.422365027412177</c:v>
                </c:pt>
                <c:pt idx="10">
                  <c:v>39.423157747016326</c:v>
                </c:pt>
                <c:pt idx="11">
                  <c:v>60.521950466620481</c:v>
                </c:pt>
                <c:pt idx="12">
                  <c:v>31.754743186224637</c:v>
                </c:pt>
                <c:pt idx="13">
                  <c:v>46.266535905828796</c:v>
                </c:pt>
                <c:pt idx="14">
                  <c:v>30.112328625432951</c:v>
                </c:pt>
                <c:pt idx="15">
                  <c:v>16.67612134503711</c:v>
                </c:pt>
                <c:pt idx="16">
                  <c:v>22.004914064641266</c:v>
                </c:pt>
                <c:pt idx="17">
                  <c:v>13.011706784245423</c:v>
                </c:pt>
                <c:pt idx="18">
                  <c:v>12.383499503849579</c:v>
                </c:pt>
                <c:pt idx="19">
                  <c:v>28.766292223453735</c:v>
                </c:pt>
                <c:pt idx="20">
                  <c:v>38.060292223453736</c:v>
                </c:pt>
                <c:pt idx="21">
                  <c:v>50.563773854527462</c:v>
                </c:pt>
                <c:pt idx="22">
                  <c:v>39.566950800791687</c:v>
                </c:pt>
                <c:pt idx="23">
                  <c:v>43.803727006432453</c:v>
                </c:pt>
                <c:pt idx="24">
                  <c:v>77.303680158337457</c:v>
                </c:pt>
                <c:pt idx="25">
                  <c:v>106.71763331024246</c:v>
                </c:pt>
                <c:pt idx="26">
                  <c:v>91.004340759426029</c:v>
                </c:pt>
                <c:pt idx="27">
                  <c:v>70.632586462147458</c:v>
                </c:pt>
                <c:pt idx="28">
                  <c:v>89.286348174171195</c:v>
                </c:pt>
                <c:pt idx="29">
                  <c:v>68.512109886194949</c:v>
                </c:pt>
                <c:pt idx="30">
                  <c:v>62.234262228599704</c:v>
                </c:pt>
                <c:pt idx="31">
                  <c:v>41.180999336763975</c:v>
                </c:pt>
                <c:pt idx="32">
                  <c:v>27.685063038099951</c:v>
                </c:pt>
                <c:pt idx="33">
                  <c:v>33.060539614052445</c:v>
                </c:pt>
                <c:pt idx="34">
                  <c:v>32.253254477981194</c:v>
                </c:pt>
                <c:pt idx="35">
                  <c:v>42.29096934190995</c:v>
                </c:pt>
                <c:pt idx="36">
                  <c:v>35.502389295398316</c:v>
                </c:pt>
                <c:pt idx="37">
                  <c:v>58.714399069767438</c:v>
                </c:pt>
                <c:pt idx="38">
                  <c:v>63.813875645719946</c:v>
                </c:pt>
                <c:pt idx="39">
                  <c:v>59.684352221672441</c:v>
                </c:pt>
                <c:pt idx="40">
                  <c:v>41.727781949529934</c:v>
                </c:pt>
                <c:pt idx="41">
                  <c:v>49.216853065611083</c:v>
                </c:pt>
                <c:pt idx="42">
                  <c:v>45.454828797624934</c:v>
                </c:pt>
                <c:pt idx="43">
                  <c:v>33.998389295398312</c:v>
                </c:pt>
                <c:pt idx="44">
                  <c:v>32.002828797624936</c:v>
                </c:pt>
                <c:pt idx="45">
                  <c:v>37.128211677387434</c:v>
                </c:pt>
                <c:pt idx="46">
                  <c:v>55.526594557149927</c:v>
                </c:pt>
                <c:pt idx="47">
                  <c:v>51.846267292231573</c:v>
                </c:pt>
                <c:pt idx="48">
                  <c:v>28.200360316674914</c:v>
                </c:pt>
                <c:pt idx="49">
                  <c:v>18.810743196437407</c:v>
                </c:pt>
                <c:pt idx="50">
                  <c:v>18.0921260761999</c:v>
                </c:pt>
                <c:pt idx="51">
                  <c:v>27.197828134388917</c:v>
                </c:pt>
                <c:pt idx="52">
                  <c:v>40.175891835724883</c:v>
                </c:pt>
                <c:pt idx="53">
                  <c:v>26.733657595249873</c:v>
                </c:pt>
                <c:pt idx="54">
                  <c:v>20.365423354774862</c:v>
                </c:pt>
                <c:pt idx="55">
                  <c:v>9.7927789351806034</c:v>
                </c:pt>
                <c:pt idx="56">
                  <c:v>8.970806234537358</c:v>
                </c:pt>
                <c:pt idx="57">
                  <c:v>9.3000718218703611</c:v>
                </c:pt>
                <c:pt idx="58">
                  <c:v>17.916571994062345</c:v>
                </c:pt>
                <c:pt idx="59">
                  <c:v>10.7366812</c:v>
                </c:pt>
                <c:pt idx="60">
                  <c:v>18.434486392874813</c:v>
                </c:pt>
                <c:pt idx="61">
                  <c:v>14.763252152399801</c:v>
                </c:pt>
                <c:pt idx="62">
                  <c:v>22.527071503018306</c:v>
                </c:pt>
                <c:pt idx="63">
                  <c:v>24.822215793199405</c:v>
                </c:pt>
                <c:pt idx="64">
                  <c:v>22.861328740791372</c:v>
                </c:pt>
                <c:pt idx="65">
                  <c:v>32.75862846523885</c:v>
                </c:pt>
                <c:pt idx="66">
                  <c:v>29.440466173153183</c:v>
                </c:pt>
                <c:pt idx="67">
                  <c:v>41.849334143542379</c:v>
                </c:pt>
                <c:pt idx="68">
                  <c:v>31.184604167848651</c:v>
                </c:pt>
                <c:pt idx="69">
                  <c:v>33.340242292884106</c:v>
                </c:pt>
                <c:pt idx="70">
                  <c:v>44.355619561670629</c:v>
                </c:pt>
                <c:pt idx="71">
                  <c:v>39.174118148520755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E-4527-9F84-EF9FD76EF269}"/>
            </c:ext>
          </c:extLst>
        </c:ser>
        <c:ser>
          <c:idx val="1"/>
          <c:order val="1"/>
          <c:tx>
            <c:strRef>
              <c:f>'relm fit'!$K$1</c:f>
              <c:strCache>
                <c:ptCount val="1"/>
                <c:pt idx="0">
                  <c:v>Catch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'relm fit'!$K$2:$K$89</c:f>
              <c:numCache>
                <c:formatCode>General</c:formatCode>
                <c:ptCount val="88"/>
                <c:pt idx="0">
                  <c:v>21.821000000000002</c:v>
                </c:pt>
                <c:pt idx="1">
                  <c:v>27.007999999999999</c:v>
                </c:pt>
                <c:pt idx="2">
                  <c:v>0.02</c:v>
                </c:pt>
                <c:pt idx="3">
                  <c:v>33.209000000000003</c:v>
                </c:pt>
                <c:pt idx="4">
                  <c:v>6.1230000000000002</c:v>
                </c:pt>
                <c:pt idx="5">
                  <c:v>17.097999999999999</c:v>
                </c:pt>
                <c:pt idx="6">
                  <c:v>2.6120000000000001</c:v>
                </c:pt>
                <c:pt idx="7">
                  <c:v>0.55600000000000005</c:v>
                </c:pt>
                <c:pt idx="8">
                  <c:v>69.222999999999999</c:v>
                </c:pt>
                <c:pt idx="9">
                  <c:v>53.911000000000001</c:v>
                </c:pt>
                <c:pt idx="10">
                  <c:v>26.434999999999999</c:v>
                </c:pt>
                <c:pt idx="11">
                  <c:v>23.684000000000001</c:v>
                </c:pt>
                <c:pt idx="12">
                  <c:v>18.206</c:v>
                </c:pt>
                <c:pt idx="13">
                  <c:v>21.265999999999998</c:v>
                </c:pt>
                <c:pt idx="14">
                  <c:v>16.045999999999999</c:v>
                </c:pt>
                <c:pt idx="15">
                  <c:v>10.843</c:v>
                </c:pt>
                <c:pt idx="16">
                  <c:v>15.145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6.8940000000000001</c:v>
                </c:pt>
                <c:pt idx="22">
                  <c:v>18.302999999999997</c:v>
                </c:pt>
                <c:pt idx="23">
                  <c:v>16.334</c:v>
                </c:pt>
                <c:pt idx="24">
                  <c:v>26.107999999999997</c:v>
                </c:pt>
                <c:pt idx="25">
                  <c:v>38.825000000000003</c:v>
                </c:pt>
                <c:pt idx="26">
                  <c:v>30.042999999999999</c:v>
                </c:pt>
                <c:pt idx="27">
                  <c:v>22.745000000000001</c:v>
                </c:pt>
                <c:pt idx="28">
                  <c:v>18.693999999999999</c:v>
                </c:pt>
                <c:pt idx="29">
                  <c:v>3.9819999999999998</c:v>
                </c:pt>
                <c:pt idx="30">
                  <c:v>8.0890000000000004</c:v>
                </c:pt>
                <c:pt idx="31">
                  <c:v>5.4870000000000001</c:v>
                </c:pt>
                <c:pt idx="32">
                  <c:v>8.5749999999999993</c:v>
                </c:pt>
                <c:pt idx="33">
                  <c:v>6.5759999999999996</c:v>
                </c:pt>
                <c:pt idx="34">
                  <c:v>0.17799999999999999</c:v>
                </c:pt>
                <c:pt idx="35">
                  <c:v>0.20400000000000001</c:v>
                </c:pt>
                <c:pt idx="36">
                  <c:v>15.933999999999999</c:v>
                </c:pt>
                <c:pt idx="37">
                  <c:v>9.7240000000000002</c:v>
                </c:pt>
                <c:pt idx="38">
                  <c:v>13.289</c:v>
                </c:pt>
                <c:pt idx="39">
                  <c:v>9.8490000000000002</c:v>
                </c:pt>
                <c:pt idx="40">
                  <c:v>8.6349999999999998</c:v>
                </c:pt>
                <c:pt idx="41">
                  <c:v>3.7130000000000001</c:v>
                </c:pt>
                <c:pt idx="42">
                  <c:v>5.6120000000000001</c:v>
                </c:pt>
                <c:pt idx="43">
                  <c:v>6.0389999999999997</c:v>
                </c:pt>
                <c:pt idx="44">
                  <c:v>1.9510000000000001</c:v>
                </c:pt>
                <c:pt idx="45">
                  <c:v>0.79100000000000004</c:v>
                </c:pt>
                <c:pt idx="46">
                  <c:v>6.6559999999999997</c:v>
                </c:pt>
                <c:pt idx="47">
                  <c:v>6.984</c:v>
                </c:pt>
                <c:pt idx="48">
                  <c:v>4.3729999999999993</c:v>
                </c:pt>
                <c:pt idx="49">
                  <c:v>1.6259999999999999</c:v>
                </c:pt>
                <c:pt idx="50">
                  <c:v>0</c:v>
                </c:pt>
                <c:pt idx="51">
                  <c:v>0.82099999999999995</c:v>
                </c:pt>
                <c:pt idx="52">
                  <c:v>3.516</c:v>
                </c:pt>
                <c:pt idx="53">
                  <c:v>4.4540000000000006</c:v>
                </c:pt>
                <c:pt idx="54">
                  <c:v>4.2690000000000001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527-9F84-EF9FD76EF269}"/>
            </c:ext>
          </c:extLst>
        </c:ser>
        <c:ser>
          <c:idx val="2"/>
          <c:order val="2"/>
          <c:tx>
            <c:strRef>
              <c:f>'relm fit'!$J$1</c:f>
              <c:strCache>
                <c:ptCount val="1"/>
                <c:pt idx="0">
                  <c:v>SSL 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'relm fit'!$J$2:$J$73</c:f>
              <c:numCache>
                <c:formatCode>General</c:formatCode>
                <c:ptCount val="72"/>
                <c:pt idx="0">
                  <c:v>5.8337401701731801</c:v>
                </c:pt>
                <c:pt idx="1">
                  <c:v>5.7125182282236509</c:v>
                </c:pt>
                <c:pt idx="2">
                  <c:v>5.5912962862741216</c:v>
                </c:pt>
                <c:pt idx="3">
                  <c:v>5.4700743443245905</c:v>
                </c:pt>
                <c:pt idx="4">
                  <c:v>5.3488524023750621</c:v>
                </c:pt>
                <c:pt idx="5">
                  <c:v>5.3488524023750621</c:v>
                </c:pt>
                <c:pt idx="6">
                  <c:v>4.0933603166749135</c:v>
                </c:pt>
                <c:pt idx="7">
                  <c:v>2.923828797624938</c:v>
                </c:pt>
                <c:pt idx="8">
                  <c:v>2.3390630380999502</c:v>
                </c:pt>
                <c:pt idx="9">
                  <c:v>2.496365027412172</c:v>
                </c:pt>
                <c:pt idx="10">
                  <c:v>2.432157747016328</c:v>
                </c:pt>
                <c:pt idx="11">
                  <c:v>2.3679504666204849</c:v>
                </c:pt>
                <c:pt idx="12">
                  <c:v>2.3037431862246414</c:v>
                </c:pt>
                <c:pt idx="13">
                  <c:v>2.2395359058287978</c:v>
                </c:pt>
                <c:pt idx="14">
                  <c:v>2.1753286254329538</c:v>
                </c:pt>
                <c:pt idx="15">
                  <c:v>2.1111213450371098</c:v>
                </c:pt>
                <c:pt idx="16">
                  <c:v>2.0469140646412667</c:v>
                </c:pt>
                <c:pt idx="17">
                  <c:v>1.9827067842454229</c:v>
                </c:pt>
                <c:pt idx="18">
                  <c:v>1.9184995038495793</c:v>
                </c:pt>
                <c:pt idx="19">
                  <c:v>1.8542922234537356</c:v>
                </c:pt>
                <c:pt idx="20">
                  <c:v>1.8542922234537356</c:v>
                </c:pt>
                <c:pt idx="21">
                  <c:v>1.8127738545274616</c:v>
                </c:pt>
                <c:pt idx="22">
                  <c:v>1.7829508007916874</c:v>
                </c:pt>
                <c:pt idx="23">
                  <c:v>1.929727006432459</c:v>
                </c:pt>
                <c:pt idx="24">
                  <c:v>2.0466801583374568</c:v>
                </c:pt>
                <c:pt idx="25">
                  <c:v>2.1636333102424543</c:v>
                </c:pt>
                <c:pt idx="26">
                  <c:v>2.2823407594260265</c:v>
                </c:pt>
                <c:pt idx="27">
                  <c:v>2.2805864621474514</c:v>
                </c:pt>
                <c:pt idx="28">
                  <c:v>2.2513481741712025</c:v>
                </c:pt>
                <c:pt idx="29">
                  <c:v>2.2221098861949531</c:v>
                </c:pt>
                <c:pt idx="30">
                  <c:v>2.2162622285997031</c:v>
                </c:pt>
                <c:pt idx="31">
                  <c:v>2.2109993367639782</c:v>
                </c:pt>
                <c:pt idx="32">
                  <c:v>2.3390630380999502</c:v>
                </c:pt>
                <c:pt idx="33">
                  <c:v>2.397539614052449</c:v>
                </c:pt>
                <c:pt idx="34">
                  <c:v>2.4852544779811971</c:v>
                </c:pt>
                <c:pt idx="35">
                  <c:v>2.5729693419099458</c:v>
                </c:pt>
                <c:pt idx="36">
                  <c:v>2.7103892953983175</c:v>
                </c:pt>
                <c:pt idx="37">
                  <c:v>2.7483990697674416</c:v>
                </c:pt>
                <c:pt idx="38">
                  <c:v>2.8068756457199404</c:v>
                </c:pt>
                <c:pt idx="39">
                  <c:v>2.8653522216724392</c:v>
                </c:pt>
                <c:pt idx="40">
                  <c:v>3.0407819495299355</c:v>
                </c:pt>
                <c:pt idx="41">
                  <c:v>3.1378530656110835</c:v>
                </c:pt>
                <c:pt idx="42">
                  <c:v>2.923828797624938</c:v>
                </c:pt>
                <c:pt idx="43">
                  <c:v>2.7103892953983175</c:v>
                </c:pt>
                <c:pt idx="44">
                  <c:v>2.923828797624938</c:v>
                </c:pt>
                <c:pt idx="45">
                  <c:v>3.2162116773874319</c:v>
                </c:pt>
                <c:pt idx="46">
                  <c:v>3.5085945571499257</c:v>
                </c:pt>
                <c:pt idx="47">
                  <c:v>3.8512672922315683</c:v>
                </c:pt>
                <c:pt idx="48">
                  <c:v>4.0933603166749135</c:v>
                </c:pt>
                <c:pt idx="49">
                  <c:v>4.3857431964374065</c:v>
                </c:pt>
                <c:pt idx="50">
                  <c:v>4.6781260761999004</c:v>
                </c:pt>
                <c:pt idx="51">
                  <c:v>5.1348281343889157</c:v>
                </c:pt>
                <c:pt idx="52">
                  <c:v>5.2628918357248882</c:v>
                </c:pt>
                <c:pt idx="53">
                  <c:v>5.8476575952498759</c:v>
                </c:pt>
                <c:pt idx="54">
                  <c:v>6.4324233547748637</c:v>
                </c:pt>
                <c:pt idx="55">
                  <c:v>6.9177789351806025</c:v>
                </c:pt>
                <c:pt idx="56">
                  <c:v>6.7248062345373576</c:v>
                </c:pt>
                <c:pt idx="57">
                  <c:v>6.5610718218703603</c:v>
                </c:pt>
                <c:pt idx="58">
                  <c:v>7.3095719940623454</c:v>
                </c:pt>
                <c:pt idx="59">
                  <c:v>8.2726811999999992</c:v>
                </c:pt>
                <c:pt idx="60">
                  <c:v>8.771486392874813</c:v>
                </c:pt>
                <c:pt idx="61">
                  <c:v>9.3562521523998008</c:v>
                </c:pt>
                <c:pt idx="62">
                  <c:v>10.269071503018308</c:v>
                </c:pt>
                <c:pt idx="63">
                  <c:v>10.885215793199405</c:v>
                </c:pt>
                <c:pt idx="64">
                  <c:v>11.538328740791371</c:v>
                </c:pt>
                <c:pt idx="65">
                  <c:v>12.230628465238853</c:v>
                </c:pt>
                <c:pt idx="66">
                  <c:v>12.964466173153186</c:v>
                </c:pt>
                <c:pt idx="67">
                  <c:v>13.742334143542378</c:v>
                </c:pt>
                <c:pt idx="68">
                  <c:v>14.15460416784865</c:v>
                </c:pt>
                <c:pt idx="69">
                  <c:v>14.579242292884109</c:v>
                </c:pt>
                <c:pt idx="70">
                  <c:v>15.016619561670632</c:v>
                </c:pt>
                <c:pt idx="71">
                  <c:v>15.467118148520752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E-4527-9F84-EF9FD76EF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13248"/>
        <c:axId val="50619136"/>
      </c:lineChart>
      <c:catAx>
        <c:axId val="50613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9136"/>
        <c:crosses val="autoZero"/>
        <c:auto val="1"/>
        <c:lblAlgn val="ctr"/>
        <c:lblOffset val="100"/>
        <c:noMultiLvlLbl val="0"/>
      </c:catAx>
      <c:valAx>
        <c:axId val="506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Exploitation rates by fishery and SSL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'relm fit'!$H$1</c:f>
              <c:strCache>
                <c:ptCount val="1"/>
                <c:pt idx="0">
                  <c:v>Ufishery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fit'!$H$2:$H$73</c:f>
              <c:numCache>
                <c:formatCode>General</c:formatCode>
                <c:ptCount val="72"/>
                <c:pt idx="0">
                  <c:v>0.52684823023806082</c:v>
                </c:pt>
                <c:pt idx="1">
                  <c:v>0.6698744977429435</c:v>
                </c:pt>
                <c:pt idx="2">
                  <c:v>5.0516531534944818E-4</c:v>
                </c:pt>
                <c:pt idx="3">
                  <c:v>0.61661436767736788</c:v>
                </c:pt>
                <c:pt idx="4">
                  <c:v>0.28834471391570515</c:v>
                </c:pt>
                <c:pt idx="5">
                  <c:v>0.38612497459406964</c:v>
                </c:pt>
                <c:pt idx="6">
                  <c:v>5.5900355262594702E-2</c:v>
                </c:pt>
                <c:pt idx="7">
                  <c:v>2.8451540272234167E-2</c:v>
                </c:pt>
                <c:pt idx="8">
                  <c:v>0.84210846451424537</c:v>
                </c:pt>
                <c:pt idx="9">
                  <c:v>0.89962620565363949</c:v>
                </c:pt>
                <c:pt idx="10">
                  <c:v>0.71463328917844882</c:v>
                </c:pt>
                <c:pt idx="11">
                  <c:v>0.4072634728479555</c:v>
                </c:pt>
                <c:pt idx="12">
                  <c:v>0.61817934874876923</c:v>
                </c:pt>
                <c:pt idx="13">
                  <c:v>0.48302178208826396</c:v>
                </c:pt>
                <c:pt idx="14">
                  <c:v>0.57436374700218351</c:v>
                </c:pt>
                <c:pt idx="15">
                  <c:v>0.74445588740130442</c:v>
                </c:pt>
                <c:pt idx="16">
                  <c:v>0.75884357150015036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0.14141248384648522</c:v>
                </c:pt>
                <c:pt idx="22">
                  <c:v>0.48441139106500097</c:v>
                </c:pt>
                <c:pt idx="23">
                  <c:v>0.39007498686535802</c:v>
                </c:pt>
                <c:pt idx="24">
                  <c:v>0.3469178946808934</c:v>
                </c:pt>
                <c:pt idx="25">
                  <c:v>0.37133921227308381</c:v>
                </c:pt>
                <c:pt idx="26">
                  <c:v>0.33861950812650748</c:v>
                </c:pt>
                <c:pt idx="27">
                  <c:v>0.33276275749063672</c:v>
                </c:pt>
                <c:pt idx="28">
                  <c:v>0.21478715459297984</c:v>
                </c:pt>
                <c:pt idx="29">
                  <c:v>6.0069392065168203E-2</c:v>
                </c:pt>
                <c:pt idx="30">
                  <c:v>0.1347762337965277</c:v>
                </c:pt>
                <c:pt idx="31">
                  <c:v>0.14080061585835257</c:v>
                </c:pt>
                <c:pt idx="32">
                  <c:v>0.33831768326363132</c:v>
                </c:pt>
                <c:pt idx="33">
                  <c:v>0.21446042461598672</c:v>
                </c:pt>
                <c:pt idx="34">
                  <c:v>5.9795753829615696E-3</c:v>
                </c:pt>
                <c:pt idx="35">
                  <c:v>5.1362102824915653E-3</c:v>
                </c:pt>
                <c:pt idx="36">
                  <c:v>0.48591119785313486</c:v>
                </c:pt>
                <c:pt idx="37">
                  <c:v>0.17374834721080659</c:v>
                </c:pt>
                <c:pt idx="38">
                  <c:v>0.21782746242234496</c:v>
                </c:pt>
                <c:pt idx="39">
                  <c:v>0.17333990390538376</c:v>
                </c:pt>
                <c:pt idx="40">
                  <c:v>0.22320159226613592</c:v>
                </c:pt>
                <c:pt idx="41">
                  <c:v>8.0579005620781699E-2</c:v>
                </c:pt>
                <c:pt idx="42">
                  <c:v>0.13195081234863981</c:v>
                </c:pt>
                <c:pt idx="43">
                  <c:v>0.19301329583226801</c:v>
                </c:pt>
                <c:pt idx="44">
                  <c:v>6.7093091234224023E-2</c:v>
                </c:pt>
                <c:pt idx="45">
                  <c:v>2.3325076669025717E-2</c:v>
                </c:pt>
                <c:pt idx="46">
                  <c:v>0.12795570763966319</c:v>
                </c:pt>
                <c:pt idx="47">
                  <c:v>0.14551515782894051</c:v>
                </c:pt>
                <c:pt idx="48">
                  <c:v>0.18139959347907245</c:v>
                </c:pt>
                <c:pt idx="49">
                  <c:v>0.11272097053726168</c:v>
                </c:pt>
                <c:pt idx="50">
                  <c:v>0</c:v>
                </c:pt>
                <c:pt idx="51">
                  <c:v>3.7211621266373562E-2</c:v>
                </c:pt>
                <c:pt idx="52">
                  <c:v>0.10070747286111191</c:v>
                </c:pt>
                <c:pt idx="53">
                  <c:v>0.2132528966772001</c:v>
                </c:pt>
                <c:pt idx="54">
                  <c:v>0.30639488982990026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5-4BB1-A9EF-206B86F6237F}"/>
            </c:ext>
          </c:extLst>
        </c:ser>
        <c:ser>
          <c:idx val="2"/>
          <c:order val="2"/>
          <c:tx>
            <c:strRef>
              <c:f>'relm fit'!$DW$1</c:f>
              <c:strCache>
                <c:ptCount val="1"/>
                <c:pt idx="0">
                  <c:v>Ufull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fit'!$DW$2:$DW$73</c:f>
              <c:numCache>
                <c:formatCode>General</c:formatCode>
                <c:ptCount val="72"/>
                <c:pt idx="0">
                  <c:v>0.39051670381216436</c:v>
                </c:pt>
                <c:pt idx="1">
                  <c:v>0.90960912830002338</c:v>
                </c:pt>
                <c:pt idx="2">
                  <c:v>9.6062103526539904E-4</c:v>
                </c:pt>
                <c:pt idx="3">
                  <c:v>0.55312248424374233</c:v>
                </c:pt>
                <c:pt idx="4">
                  <c:v>9.1924185564137215E-2</c:v>
                </c:pt>
                <c:pt idx="5">
                  <c:v>0.21638926867475003</c:v>
                </c:pt>
                <c:pt idx="6">
                  <c:v>3.9235282202904551E-2</c:v>
                </c:pt>
                <c:pt idx="7">
                  <c:v>9.6831263056456045E-3</c:v>
                </c:pt>
                <c:pt idx="8">
                  <c:v>0.78822840052338572</c:v>
                </c:pt>
                <c:pt idx="9">
                  <c:v>0.89631115777675807</c:v>
                </c:pt>
                <c:pt idx="10">
                  <c:v>0.78487536144116044</c:v>
                </c:pt>
                <c:pt idx="11">
                  <c:v>0.58678120489705765</c:v>
                </c:pt>
                <c:pt idx="12">
                  <c:v>0.65284171877660135</c:v>
                </c:pt>
                <c:pt idx="13">
                  <c:v>0.64841219418675478</c:v>
                </c:pt>
                <c:pt idx="14">
                  <c:v>0.64480423953512056</c:v>
                </c:pt>
                <c:pt idx="15">
                  <c:v>0.50730689407834328</c:v>
                </c:pt>
                <c:pt idx="16">
                  <c:v>0.88699264305273795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0.13750501959252689</c:v>
                </c:pt>
                <c:pt idx="22">
                  <c:v>0.30287148071016645</c:v>
                </c:pt>
                <c:pt idx="23">
                  <c:v>0.2252426026847367</c:v>
                </c:pt>
                <c:pt idx="24">
                  <c:v>0.25003954504030729</c:v>
                </c:pt>
                <c:pt idx="25">
                  <c:v>0.40483655166507326</c:v>
                </c:pt>
                <c:pt idx="26">
                  <c:v>0.35766220475267002</c:v>
                </c:pt>
                <c:pt idx="27">
                  <c:v>0.30200309957179888</c:v>
                </c:pt>
                <c:pt idx="28">
                  <c:v>0.30815248871969764</c:v>
                </c:pt>
                <c:pt idx="29">
                  <c:v>8.3660734924343991E-2</c:v>
                </c:pt>
                <c:pt idx="30">
                  <c:v>0.14698295806912495</c:v>
                </c:pt>
                <c:pt idx="31">
                  <c:v>0.13661992500276043</c:v>
                </c:pt>
                <c:pt idx="32">
                  <c:v>0.27580546112046272</c:v>
                </c:pt>
                <c:pt idx="33">
                  <c:v>0.22816416854412241</c:v>
                </c:pt>
                <c:pt idx="34">
                  <c:v>4.2725516319970201E-3</c:v>
                </c:pt>
                <c:pt idx="35">
                  <c:v>4.5678471280113393E-3</c:v>
                </c:pt>
                <c:pt idx="36">
                  <c:v>0.33313112335704359</c:v>
                </c:pt>
                <c:pt idx="37">
                  <c:v>0.17681827211051004</c:v>
                </c:pt>
                <c:pt idx="38">
                  <c:v>0.23328675648944702</c:v>
                </c:pt>
                <c:pt idx="39">
                  <c:v>0.18887857938158942</c:v>
                </c:pt>
                <c:pt idx="40">
                  <c:v>0.22559236485159387</c:v>
                </c:pt>
                <c:pt idx="41">
                  <c:v>9.1953001513358432E-2</c:v>
                </c:pt>
                <c:pt idx="42">
                  <c:v>0.13342334702455405</c:v>
                </c:pt>
                <c:pt idx="43">
                  <c:v>0.16925963606442135</c:v>
                </c:pt>
                <c:pt idx="44">
                  <c:v>6.3617021031412729E-2</c:v>
                </c:pt>
                <c:pt idx="45">
                  <c:v>2.855976868847674E-2</c:v>
                </c:pt>
                <c:pt idx="46">
                  <c:v>0.12852521188335164</c:v>
                </c:pt>
                <c:pt idx="47">
                  <c:v>0.20074855278759654</c:v>
                </c:pt>
                <c:pt idx="48">
                  <c:v>0.17079477333767509</c:v>
                </c:pt>
                <c:pt idx="49">
                  <c:v>9.4775604280327441E-2</c:v>
                </c:pt>
                <c:pt idx="50">
                  <c:v>0</c:v>
                </c:pt>
                <c:pt idx="51">
                  <c:v>3.9433655203644433E-2</c:v>
                </c:pt>
                <c:pt idx="52">
                  <c:v>0.18080484750765571</c:v>
                </c:pt>
                <c:pt idx="53">
                  <c:v>0.28285492549631852</c:v>
                </c:pt>
                <c:pt idx="54">
                  <c:v>0.48359660591406289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D-42EC-B4BA-BBBB19D13343}"/>
            </c:ext>
          </c:extLst>
        </c:ser>
        <c:ser>
          <c:idx val="3"/>
          <c:order val="3"/>
          <c:tx>
            <c:strRef>
              <c:f>'relm fit'!$F$1</c:f>
              <c:strCache>
                <c:ptCount val="1"/>
                <c:pt idx="0">
                  <c:v>USSL vpa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fit'!$F$2:$F$73</c:f>
              <c:numCache>
                <c:formatCode>General</c:formatCode>
                <c:ptCount val="72"/>
                <c:pt idx="0">
                  <c:v>0.11120065004901378</c:v>
                </c:pt>
                <c:pt idx="1">
                  <c:v>0.13315377402450154</c:v>
                </c:pt>
                <c:pt idx="2">
                  <c:v>0.19803083168863259</c:v>
                </c:pt>
                <c:pt idx="3">
                  <c:v>9.1975095678868454E-2</c:v>
                </c:pt>
                <c:pt idx="4">
                  <c:v>0.14138064774259904</c:v>
                </c:pt>
                <c:pt idx="5">
                  <c:v>0.10997966126349193</c:v>
                </c:pt>
                <c:pt idx="6">
                  <c:v>9.5546739866157082E-2</c:v>
                </c:pt>
                <c:pt idx="7">
                  <c:v>6.1845408148175664E-2</c:v>
                </c:pt>
                <c:pt idx="8">
                  <c:v>2.5045416149306898E-2</c:v>
                </c:pt>
                <c:pt idx="9">
                  <c:v>3.8306509527790647E-2</c:v>
                </c:pt>
                <c:pt idx="10">
                  <c:v>6.5668028778203588E-2</c:v>
                </c:pt>
                <c:pt idx="11">
                  <c:v>5.6345192663327749E-2</c:v>
                </c:pt>
                <c:pt idx="12">
                  <c:v>6.749936935720606E-2</c:v>
                </c:pt>
                <c:pt idx="13">
                  <c:v>5.8725721940003729E-2</c:v>
                </c:pt>
                <c:pt idx="14">
                  <c:v>6.9851104691270649E-2</c:v>
                </c:pt>
                <c:pt idx="15">
                  <c:v>8.7658040575257501E-2</c:v>
                </c:pt>
                <c:pt idx="16">
                  <c:v>9.7527079987464155E-2</c:v>
                </c:pt>
                <c:pt idx="17">
                  <c:v>0.26206980722276213</c:v>
                </c:pt>
                <c:pt idx="18">
                  <c:v>0.17624345861451643</c:v>
                </c:pt>
                <c:pt idx="19">
                  <c:v>8.4482105056024451E-2</c:v>
                </c:pt>
                <c:pt idx="20">
                  <c:v>4.5629074090682918E-2</c:v>
                </c:pt>
                <c:pt idx="21">
                  <c:v>3.104404672521003E-2</c:v>
                </c:pt>
                <c:pt idx="22">
                  <c:v>2.7102567000781192E-2</c:v>
                </c:pt>
                <c:pt idx="23">
                  <c:v>2.9078598855311992E-2</c:v>
                </c:pt>
                <c:pt idx="24">
                  <c:v>2.0919894676628911E-2</c:v>
                </c:pt>
                <c:pt idx="25">
                  <c:v>2.0500319997206695E-2</c:v>
                </c:pt>
                <c:pt idx="26">
                  <c:v>2.5593648730650349E-2</c:v>
                </c:pt>
                <c:pt idx="27">
                  <c:v>3.0692601360077516E-2</c:v>
                </c:pt>
                <c:pt idx="28">
                  <c:v>3.6264760875466824E-2</c:v>
                </c:pt>
                <c:pt idx="29">
                  <c:v>4.4482977739338889E-2</c:v>
                </c:pt>
                <c:pt idx="30">
                  <c:v>4.368930943039645E-2</c:v>
                </c:pt>
                <c:pt idx="31">
                  <c:v>5.6975106078389029E-2</c:v>
                </c:pt>
                <c:pt idx="32">
                  <c:v>7.2539966157112959E-2</c:v>
                </c:pt>
                <c:pt idx="33">
                  <c:v>8.9388645960670088E-2</c:v>
                </c:pt>
                <c:pt idx="34">
                  <c:v>8.6580501385818368E-2</c:v>
                </c:pt>
                <c:pt idx="35">
                  <c:v>6.550495734348076E-2</c:v>
                </c:pt>
                <c:pt idx="36">
                  <c:v>5.5780221596773732E-2</c:v>
                </c:pt>
                <c:pt idx="37">
                  <c:v>4.7111024955377917E-2</c:v>
                </c:pt>
                <c:pt idx="38">
                  <c:v>4.8582215559944165E-2</c:v>
                </c:pt>
                <c:pt idx="39">
                  <c:v>5.5443380277642215E-2</c:v>
                </c:pt>
                <c:pt idx="40">
                  <c:v>7.4547857596453049E-2</c:v>
                </c:pt>
                <c:pt idx="41">
                  <c:v>7.5571748651688628E-2</c:v>
                </c:pt>
                <c:pt idx="42">
                  <c:v>7.0751712645375386E-2</c:v>
                </c:pt>
                <c:pt idx="43">
                  <c:v>7.1997085932604399E-2</c:v>
                </c:pt>
                <c:pt idx="44">
                  <c:v>9.1337841228607164E-2</c:v>
                </c:pt>
                <c:pt idx="45">
                  <c:v>0.10738839067640027</c:v>
                </c:pt>
                <c:pt idx="46">
                  <c:v>8.1656935332603833E-2</c:v>
                </c:pt>
                <c:pt idx="47">
                  <c:v>0.10175103736749125</c:v>
                </c:pt>
                <c:pt idx="48">
                  <c:v>0.14792957765169512</c:v>
                </c:pt>
                <c:pt idx="49">
                  <c:v>0.20126496871209415</c:v>
                </c:pt>
                <c:pt idx="50">
                  <c:v>0.23354885589842106</c:v>
                </c:pt>
                <c:pt idx="51">
                  <c:v>0.22536561372916813</c:v>
                </c:pt>
                <c:pt idx="52">
                  <c:v>0.1949795008222</c:v>
                </c:pt>
                <c:pt idx="53">
                  <c:v>0.26596031065485654</c:v>
                </c:pt>
                <c:pt idx="54">
                  <c:v>0.37375861683947276</c:v>
                </c:pt>
                <c:pt idx="55">
                  <c:v>0.56499457841463363</c:v>
                </c:pt>
                <c:pt idx="56">
                  <c:v>0.53026208158225285</c:v>
                </c:pt>
                <c:pt idx="57">
                  <c:v>0.57733734726744923</c:v>
                </c:pt>
                <c:pt idx="58">
                  <c:v>0.47987196596045556</c:v>
                </c:pt>
                <c:pt idx="59">
                  <c:v>0.53029284277904254</c:v>
                </c:pt>
                <c:pt idx="60">
                  <c:v>0.42718487263365412</c:v>
                </c:pt>
                <c:pt idx="61">
                  <c:v>0.47374476829063922</c:v>
                </c:pt>
                <c:pt idx="62">
                  <c:v>0.5506416613102979</c:v>
                </c:pt>
                <c:pt idx="63">
                  <c:v>0.40566146594329483</c:v>
                </c:pt>
                <c:pt idx="64">
                  <c:v>0.40399673671024505</c:v>
                </c:pt>
                <c:pt idx="65">
                  <c:v>0.28977270206526373</c:v>
                </c:pt>
                <c:pt idx="66">
                  <c:v>0.32232881528200363</c:v>
                </c:pt>
                <c:pt idx="67">
                  <c:v>0.38140637603812039</c:v>
                </c:pt>
                <c:pt idx="68">
                  <c:v>0.4006747180374795</c:v>
                </c:pt>
                <c:pt idx="69">
                  <c:v>0.43160384193651724</c:v>
                </c:pt>
                <c:pt idx="70">
                  <c:v>0.36885386704128881</c:v>
                </c:pt>
                <c:pt idx="71">
                  <c:v>0.36613557961671617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DD-42EC-B4BA-BBBB19D1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02048"/>
        <c:axId val="508083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'relm fit'!$D$2:$D$73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1951</c:v>
                      </c:pt>
                      <c:pt idx="1">
                        <c:v>1952</c:v>
                      </c:pt>
                      <c:pt idx="2">
                        <c:v>1953</c:v>
                      </c:pt>
                      <c:pt idx="3">
                        <c:v>1954</c:v>
                      </c:pt>
                      <c:pt idx="4">
                        <c:v>1955</c:v>
                      </c:pt>
                      <c:pt idx="5">
                        <c:v>1956</c:v>
                      </c:pt>
                      <c:pt idx="6">
                        <c:v>1957</c:v>
                      </c:pt>
                      <c:pt idx="7">
                        <c:v>1958</c:v>
                      </c:pt>
                      <c:pt idx="8">
                        <c:v>1959</c:v>
                      </c:pt>
                      <c:pt idx="9">
                        <c:v>1960</c:v>
                      </c:pt>
                      <c:pt idx="10">
                        <c:v>1961</c:v>
                      </c:pt>
                      <c:pt idx="11">
                        <c:v>1962</c:v>
                      </c:pt>
                      <c:pt idx="12">
                        <c:v>1963</c:v>
                      </c:pt>
                      <c:pt idx="13">
                        <c:v>1964</c:v>
                      </c:pt>
                      <c:pt idx="14">
                        <c:v>1965</c:v>
                      </c:pt>
                      <c:pt idx="15">
                        <c:v>1966</c:v>
                      </c:pt>
                      <c:pt idx="16">
                        <c:v>1967</c:v>
                      </c:pt>
                      <c:pt idx="17">
                        <c:v>1968</c:v>
                      </c:pt>
                      <c:pt idx="18">
                        <c:v>1969</c:v>
                      </c:pt>
                      <c:pt idx="19">
                        <c:v>1970</c:v>
                      </c:pt>
                      <c:pt idx="20">
                        <c:v>1971</c:v>
                      </c:pt>
                      <c:pt idx="21">
                        <c:v>1972</c:v>
                      </c:pt>
                      <c:pt idx="22">
                        <c:v>1973</c:v>
                      </c:pt>
                      <c:pt idx="23">
                        <c:v>1974</c:v>
                      </c:pt>
                      <c:pt idx="24">
                        <c:v>1975</c:v>
                      </c:pt>
                      <c:pt idx="25">
                        <c:v>1976</c:v>
                      </c:pt>
                      <c:pt idx="26">
                        <c:v>1977</c:v>
                      </c:pt>
                      <c:pt idx="27">
                        <c:v>1978</c:v>
                      </c:pt>
                      <c:pt idx="28">
                        <c:v>1979</c:v>
                      </c:pt>
                      <c:pt idx="29">
                        <c:v>1980</c:v>
                      </c:pt>
                      <c:pt idx="30">
                        <c:v>1981</c:v>
                      </c:pt>
                      <c:pt idx="31">
                        <c:v>1982</c:v>
                      </c:pt>
                      <c:pt idx="32">
                        <c:v>1983</c:v>
                      </c:pt>
                      <c:pt idx="33">
                        <c:v>1984</c:v>
                      </c:pt>
                      <c:pt idx="34">
                        <c:v>1985</c:v>
                      </c:pt>
                      <c:pt idx="35">
                        <c:v>1986</c:v>
                      </c:pt>
                      <c:pt idx="36">
                        <c:v>1987</c:v>
                      </c:pt>
                      <c:pt idx="37">
                        <c:v>1988</c:v>
                      </c:pt>
                      <c:pt idx="38">
                        <c:v>1989</c:v>
                      </c:pt>
                      <c:pt idx="39">
                        <c:v>1990</c:v>
                      </c:pt>
                      <c:pt idx="40">
                        <c:v>1991</c:v>
                      </c:pt>
                      <c:pt idx="41">
                        <c:v>1992</c:v>
                      </c:pt>
                      <c:pt idx="42">
                        <c:v>1993</c:v>
                      </c:pt>
                      <c:pt idx="43">
                        <c:v>1994</c:v>
                      </c:pt>
                      <c:pt idx="44">
                        <c:v>1995</c:v>
                      </c:pt>
                      <c:pt idx="45">
                        <c:v>1996</c:v>
                      </c:pt>
                      <c:pt idx="46">
                        <c:v>1997</c:v>
                      </c:pt>
                      <c:pt idx="47">
                        <c:v>1998</c:v>
                      </c:pt>
                      <c:pt idx="48">
                        <c:v>1999</c:v>
                      </c:pt>
                      <c:pt idx="49">
                        <c:v>2000</c:v>
                      </c:pt>
                      <c:pt idx="50">
                        <c:v>2001</c:v>
                      </c:pt>
                      <c:pt idx="51">
                        <c:v>2002</c:v>
                      </c:pt>
                      <c:pt idx="52">
                        <c:v>2003</c:v>
                      </c:pt>
                      <c:pt idx="53">
                        <c:v>2004</c:v>
                      </c:pt>
                      <c:pt idx="54">
                        <c:v>2005</c:v>
                      </c:pt>
                      <c:pt idx="55">
                        <c:v>2006</c:v>
                      </c:pt>
                      <c:pt idx="56">
                        <c:v>2007</c:v>
                      </c:pt>
                      <c:pt idx="57">
                        <c:v>2008</c:v>
                      </c:pt>
                      <c:pt idx="58">
                        <c:v>2009</c:v>
                      </c:pt>
                      <c:pt idx="59">
                        <c:v>2010</c:v>
                      </c:pt>
                      <c:pt idx="60">
                        <c:v>2011</c:v>
                      </c:pt>
                      <c:pt idx="61">
                        <c:v>2012</c:v>
                      </c:pt>
                      <c:pt idx="62">
                        <c:v>2013</c:v>
                      </c:pt>
                      <c:pt idx="63">
                        <c:v>2014</c:v>
                      </c:pt>
                      <c:pt idx="64">
                        <c:v>2015</c:v>
                      </c:pt>
                      <c:pt idx="65">
                        <c:v>2016</c:v>
                      </c:pt>
                      <c:pt idx="66">
                        <c:v>2017</c:v>
                      </c:pt>
                      <c:pt idx="67">
                        <c:v>2018</c:v>
                      </c:pt>
                      <c:pt idx="68">
                        <c:v>2019</c:v>
                      </c:pt>
                      <c:pt idx="69">
                        <c:v>2020</c:v>
                      </c:pt>
                      <c:pt idx="70">
                        <c:v>2021</c:v>
                      </c:pt>
                      <c:pt idx="71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545-4BB1-A9EF-206B86F6237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'relm fit'!$D$2:$D$73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1951</c:v>
                      </c:pt>
                      <c:pt idx="1">
                        <c:v>1952</c:v>
                      </c:pt>
                      <c:pt idx="2">
                        <c:v>1953</c:v>
                      </c:pt>
                      <c:pt idx="3">
                        <c:v>1954</c:v>
                      </c:pt>
                      <c:pt idx="4">
                        <c:v>1955</c:v>
                      </c:pt>
                      <c:pt idx="5">
                        <c:v>1956</c:v>
                      </c:pt>
                      <c:pt idx="6">
                        <c:v>1957</c:v>
                      </c:pt>
                      <c:pt idx="7">
                        <c:v>1958</c:v>
                      </c:pt>
                      <c:pt idx="8">
                        <c:v>1959</c:v>
                      </c:pt>
                      <c:pt idx="9">
                        <c:v>1960</c:v>
                      </c:pt>
                      <c:pt idx="10">
                        <c:v>1961</c:v>
                      </c:pt>
                      <c:pt idx="11">
                        <c:v>1962</c:v>
                      </c:pt>
                      <c:pt idx="12">
                        <c:v>1963</c:v>
                      </c:pt>
                      <c:pt idx="13">
                        <c:v>1964</c:v>
                      </c:pt>
                      <c:pt idx="14">
                        <c:v>1965</c:v>
                      </c:pt>
                      <c:pt idx="15">
                        <c:v>1966</c:v>
                      </c:pt>
                      <c:pt idx="16">
                        <c:v>1967</c:v>
                      </c:pt>
                      <c:pt idx="17">
                        <c:v>1968</c:v>
                      </c:pt>
                      <c:pt idx="18">
                        <c:v>1969</c:v>
                      </c:pt>
                      <c:pt idx="19">
                        <c:v>1970</c:v>
                      </c:pt>
                      <c:pt idx="20">
                        <c:v>1971</c:v>
                      </c:pt>
                      <c:pt idx="21">
                        <c:v>1972</c:v>
                      </c:pt>
                      <c:pt idx="22">
                        <c:v>1973</c:v>
                      </c:pt>
                      <c:pt idx="23">
                        <c:v>1974</c:v>
                      </c:pt>
                      <c:pt idx="24">
                        <c:v>1975</c:v>
                      </c:pt>
                      <c:pt idx="25">
                        <c:v>1976</c:v>
                      </c:pt>
                      <c:pt idx="26">
                        <c:v>1977</c:v>
                      </c:pt>
                      <c:pt idx="27">
                        <c:v>1978</c:v>
                      </c:pt>
                      <c:pt idx="28">
                        <c:v>1979</c:v>
                      </c:pt>
                      <c:pt idx="29">
                        <c:v>1980</c:v>
                      </c:pt>
                      <c:pt idx="30">
                        <c:v>1981</c:v>
                      </c:pt>
                      <c:pt idx="31">
                        <c:v>1982</c:v>
                      </c:pt>
                      <c:pt idx="32">
                        <c:v>1983</c:v>
                      </c:pt>
                      <c:pt idx="33">
                        <c:v>1984</c:v>
                      </c:pt>
                      <c:pt idx="34">
                        <c:v>1985</c:v>
                      </c:pt>
                      <c:pt idx="35">
                        <c:v>1986</c:v>
                      </c:pt>
                      <c:pt idx="36">
                        <c:v>1987</c:v>
                      </c:pt>
                      <c:pt idx="37">
                        <c:v>1988</c:v>
                      </c:pt>
                      <c:pt idx="38">
                        <c:v>1989</c:v>
                      </c:pt>
                      <c:pt idx="39">
                        <c:v>1990</c:v>
                      </c:pt>
                      <c:pt idx="40">
                        <c:v>1991</c:v>
                      </c:pt>
                      <c:pt idx="41">
                        <c:v>1992</c:v>
                      </c:pt>
                      <c:pt idx="42">
                        <c:v>1993</c:v>
                      </c:pt>
                      <c:pt idx="43">
                        <c:v>1994</c:v>
                      </c:pt>
                      <c:pt idx="44">
                        <c:v>1995</c:v>
                      </c:pt>
                      <c:pt idx="45">
                        <c:v>1996</c:v>
                      </c:pt>
                      <c:pt idx="46">
                        <c:v>1997</c:v>
                      </c:pt>
                      <c:pt idx="47">
                        <c:v>1998</c:v>
                      </c:pt>
                      <c:pt idx="48">
                        <c:v>1999</c:v>
                      </c:pt>
                      <c:pt idx="49">
                        <c:v>2000</c:v>
                      </c:pt>
                      <c:pt idx="50">
                        <c:v>2001</c:v>
                      </c:pt>
                      <c:pt idx="51">
                        <c:v>2002</c:v>
                      </c:pt>
                      <c:pt idx="52">
                        <c:v>2003</c:v>
                      </c:pt>
                      <c:pt idx="53">
                        <c:v>2004</c:v>
                      </c:pt>
                      <c:pt idx="54">
                        <c:v>2005</c:v>
                      </c:pt>
                      <c:pt idx="55">
                        <c:v>2006</c:v>
                      </c:pt>
                      <c:pt idx="56">
                        <c:v>2007</c:v>
                      </c:pt>
                      <c:pt idx="57">
                        <c:v>2008</c:v>
                      </c:pt>
                      <c:pt idx="58">
                        <c:v>2009</c:v>
                      </c:pt>
                      <c:pt idx="59">
                        <c:v>2010</c:v>
                      </c:pt>
                      <c:pt idx="60">
                        <c:v>2011</c:v>
                      </c:pt>
                      <c:pt idx="61">
                        <c:v>2012</c:v>
                      </c:pt>
                      <c:pt idx="62">
                        <c:v>2013</c:v>
                      </c:pt>
                      <c:pt idx="63">
                        <c:v>2014</c:v>
                      </c:pt>
                      <c:pt idx="64">
                        <c:v>2015</c:v>
                      </c:pt>
                      <c:pt idx="65">
                        <c:v>2016</c:v>
                      </c:pt>
                      <c:pt idx="66">
                        <c:v>2017</c:v>
                      </c:pt>
                      <c:pt idx="67">
                        <c:v>2018</c:v>
                      </c:pt>
                      <c:pt idx="68">
                        <c:v>2019</c:v>
                      </c:pt>
                      <c:pt idx="69">
                        <c:v>2020</c:v>
                      </c:pt>
                      <c:pt idx="70">
                        <c:v>2021</c:v>
                      </c:pt>
                      <c:pt idx="71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D52-4B07-9D69-F30249F9967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'relm fit'!$D$2:$D$73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1951</c:v>
                      </c:pt>
                      <c:pt idx="1">
                        <c:v>1952</c:v>
                      </c:pt>
                      <c:pt idx="2">
                        <c:v>1953</c:v>
                      </c:pt>
                      <c:pt idx="3">
                        <c:v>1954</c:v>
                      </c:pt>
                      <c:pt idx="4">
                        <c:v>1955</c:v>
                      </c:pt>
                      <c:pt idx="5">
                        <c:v>1956</c:v>
                      </c:pt>
                      <c:pt idx="6">
                        <c:v>1957</c:v>
                      </c:pt>
                      <c:pt idx="7">
                        <c:v>1958</c:v>
                      </c:pt>
                      <c:pt idx="8">
                        <c:v>1959</c:v>
                      </c:pt>
                      <c:pt idx="9">
                        <c:v>1960</c:v>
                      </c:pt>
                      <c:pt idx="10">
                        <c:v>1961</c:v>
                      </c:pt>
                      <c:pt idx="11">
                        <c:v>1962</c:v>
                      </c:pt>
                      <c:pt idx="12">
                        <c:v>1963</c:v>
                      </c:pt>
                      <c:pt idx="13">
                        <c:v>1964</c:v>
                      </c:pt>
                      <c:pt idx="14">
                        <c:v>1965</c:v>
                      </c:pt>
                      <c:pt idx="15">
                        <c:v>1966</c:v>
                      </c:pt>
                      <c:pt idx="16">
                        <c:v>1967</c:v>
                      </c:pt>
                      <c:pt idx="17">
                        <c:v>1968</c:v>
                      </c:pt>
                      <c:pt idx="18">
                        <c:v>1969</c:v>
                      </c:pt>
                      <c:pt idx="19">
                        <c:v>1970</c:v>
                      </c:pt>
                      <c:pt idx="20">
                        <c:v>1971</c:v>
                      </c:pt>
                      <c:pt idx="21">
                        <c:v>1972</c:v>
                      </c:pt>
                      <c:pt idx="22">
                        <c:v>1973</c:v>
                      </c:pt>
                      <c:pt idx="23">
                        <c:v>1974</c:v>
                      </c:pt>
                      <c:pt idx="24">
                        <c:v>1975</c:v>
                      </c:pt>
                      <c:pt idx="25">
                        <c:v>1976</c:v>
                      </c:pt>
                      <c:pt idx="26">
                        <c:v>1977</c:v>
                      </c:pt>
                      <c:pt idx="27">
                        <c:v>1978</c:v>
                      </c:pt>
                      <c:pt idx="28">
                        <c:v>1979</c:v>
                      </c:pt>
                      <c:pt idx="29">
                        <c:v>1980</c:v>
                      </c:pt>
                      <c:pt idx="30">
                        <c:v>1981</c:v>
                      </c:pt>
                      <c:pt idx="31">
                        <c:v>1982</c:v>
                      </c:pt>
                      <c:pt idx="32">
                        <c:v>1983</c:v>
                      </c:pt>
                      <c:pt idx="33">
                        <c:v>1984</c:v>
                      </c:pt>
                      <c:pt idx="34">
                        <c:v>1985</c:v>
                      </c:pt>
                      <c:pt idx="35">
                        <c:v>1986</c:v>
                      </c:pt>
                      <c:pt idx="36">
                        <c:v>1987</c:v>
                      </c:pt>
                      <c:pt idx="37">
                        <c:v>1988</c:v>
                      </c:pt>
                      <c:pt idx="38">
                        <c:v>1989</c:v>
                      </c:pt>
                      <c:pt idx="39">
                        <c:v>1990</c:v>
                      </c:pt>
                      <c:pt idx="40">
                        <c:v>1991</c:v>
                      </c:pt>
                      <c:pt idx="41">
                        <c:v>1992</c:v>
                      </c:pt>
                      <c:pt idx="42">
                        <c:v>1993</c:v>
                      </c:pt>
                      <c:pt idx="43">
                        <c:v>1994</c:v>
                      </c:pt>
                      <c:pt idx="44">
                        <c:v>1995</c:v>
                      </c:pt>
                      <c:pt idx="45">
                        <c:v>1996</c:v>
                      </c:pt>
                      <c:pt idx="46">
                        <c:v>1997</c:v>
                      </c:pt>
                      <c:pt idx="47">
                        <c:v>1998</c:v>
                      </c:pt>
                      <c:pt idx="48">
                        <c:v>1999</c:v>
                      </c:pt>
                      <c:pt idx="49">
                        <c:v>2000</c:v>
                      </c:pt>
                      <c:pt idx="50">
                        <c:v>2001</c:v>
                      </c:pt>
                      <c:pt idx="51">
                        <c:v>2002</c:v>
                      </c:pt>
                      <c:pt idx="52">
                        <c:v>2003</c:v>
                      </c:pt>
                      <c:pt idx="53">
                        <c:v>2004</c:v>
                      </c:pt>
                      <c:pt idx="54">
                        <c:v>2005</c:v>
                      </c:pt>
                      <c:pt idx="55">
                        <c:v>2006</c:v>
                      </c:pt>
                      <c:pt idx="56">
                        <c:v>2007</c:v>
                      </c:pt>
                      <c:pt idx="57">
                        <c:v>2008</c:v>
                      </c:pt>
                      <c:pt idx="58">
                        <c:v>2009</c:v>
                      </c:pt>
                      <c:pt idx="59">
                        <c:v>2010</c:v>
                      </c:pt>
                      <c:pt idx="60">
                        <c:v>2011</c:v>
                      </c:pt>
                      <c:pt idx="61">
                        <c:v>2012</c:v>
                      </c:pt>
                      <c:pt idx="62">
                        <c:v>2013</c:v>
                      </c:pt>
                      <c:pt idx="63">
                        <c:v>2014</c:v>
                      </c:pt>
                      <c:pt idx="64">
                        <c:v>2015</c:v>
                      </c:pt>
                      <c:pt idx="65">
                        <c:v>2016</c:v>
                      </c:pt>
                      <c:pt idx="66">
                        <c:v>2017</c:v>
                      </c:pt>
                      <c:pt idx="67">
                        <c:v>2018</c:v>
                      </c:pt>
                      <c:pt idx="68">
                        <c:v>2019</c:v>
                      </c:pt>
                      <c:pt idx="69">
                        <c:v>2020</c:v>
                      </c:pt>
                      <c:pt idx="70">
                        <c:v>2021</c:v>
                      </c:pt>
                      <c:pt idx="71">
                        <c:v>2022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D52-4B07-9D69-F30249F99675}"/>
                  </c:ext>
                </c:extLst>
              </c15:ser>
            </c15:filteredScatterSeries>
          </c:ext>
        </c:extLst>
      </c:scatterChart>
      <c:valAx>
        <c:axId val="508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8320"/>
        <c:crosses val="autoZero"/>
        <c:crossBetween val="midCat"/>
      </c:valAx>
      <c:valAx>
        <c:axId val="508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and spawning biomass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fit'!$E$1</c:f>
              <c:strCache>
                <c:ptCount val="1"/>
                <c:pt idx="0">
                  <c:v>Bt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fit'!$E$2:$E$73</c:f>
              <c:numCache>
                <c:formatCode>General</c:formatCode>
                <c:ptCount val="72"/>
                <c:pt idx="0">
                  <c:v>47.251740170173179</c:v>
                </c:pt>
                <c:pt idx="1">
                  <c:v>46.030518228223656</c:v>
                </c:pt>
                <c:pt idx="2">
                  <c:v>45.182296286274116</c:v>
                </c:pt>
                <c:pt idx="3">
                  <c:v>59.327074344324586</c:v>
                </c:pt>
                <c:pt idx="4">
                  <c:v>26.583852402375065</c:v>
                </c:pt>
                <c:pt idx="5">
                  <c:v>49.629852402375064</c:v>
                </c:pt>
                <c:pt idx="6">
                  <c:v>50.81936031667491</c:v>
                </c:pt>
                <c:pt idx="7">
                  <c:v>22.465828797624937</c:v>
                </c:pt>
                <c:pt idx="8">
                  <c:v>84.541063038099949</c:v>
                </c:pt>
                <c:pt idx="9">
                  <c:v>62.422365027412177</c:v>
                </c:pt>
                <c:pt idx="10">
                  <c:v>39.423157747016326</c:v>
                </c:pt>
                <c:pt idx="11">
                  <c:v>60.521950466620481</c:v>
                </c:pt>
                <c:pt idx="12">
                  <c:v>31.754743186224637</c:v>
                </c:pt>
                <c:pt idx="13">
                  <c:v>46.266535905828796</c:v>
                </c:pt>
                <c:pt idx="14">
                  <c:v>30.112328625432951</c:v>
                </c:pt>
                <c:pt idx="15">
                  <c:v>16.67612134503711</c:v>
                </c:pt>
                <c:pt idx="16">
                  <c:v>22.004914064641266</c:v>
                </c:pt>
                <c:pt idx="17">
                  <c:v>13.011706784245423</c:v>
                </c:pt>
                <c:pt idx="18">
                  <c:v>12.383499503849579</c:v>
                </c:pt>
                <c:pt idx="19">
                  <c:v>28.766292223453735</c:v>
                </c:pt>
                <c:pt idx="20">
                  <c:v>38.060292223453736</c:v>
                </c:pt>
                <c:pt idx="21">
                  <c:v>50.563773854527462</c:v>
                </c:pt>
                <c:pt idx="22">
                  <c:v>39.566950800791687</c:v>
                </c:pt>
                <c:pt idx="23">
                  <c:v>43.803727006432453</c:v>
                </c:pt>
                <c:pt idx="24">
                  <c:v>77.303680158337457</c:v>
                </c:pt>
                <c:pt idx="25">
                  <c:v>106.71763331024246</c:v>
                </c:pt>
                <c:pt idx="26">
                  <c:v>91.004340759426029</c:v>
                </c:pt>
                <c:pt idx="27">
                  <c:v>70.632586462147458</c:v>
                </c:pt>
                <c:pt idx="28">
                  <c:v>89.286348174171195</c:v>
                </c:pt>
                <c:pt idx="29">
                  <c:v>68.512109886194949</c:v>
                </c:pt>
                <c:pt idx="30">
                  <c:v>62.234262228599704</c:v>
                </c:pt>
                <c:pt idx="31">
                  <c:v>41.180999336763975</c:v>
                </c:pt>
                <c:pt idx="32">
                  <c:v>27.685063038099951</c:v>
                </c:pt>
                <c:pt idx="33">
                  <c:v>33.060539614052445</c:v>
                </c:pt>
                <c:pt idx="34">
                  <c:v>32.253254477981194</c:v>
                </c:pt>
                <c:pt idx="35">
                  <c:v>42.29096934190995</c:v>
                </c:pt>
                <c:pt idx="36">
                  <c:v>35.502389295398316</c:v>
                </c:pt>
                <c:pt idx="37">
                  <c:v>58.714399069767438</c:v>
                </c:pt>
                <c:pt idx="38">
                  <c:v>63.813875645719946</c:v>
                </c:pt>
                <c:pt idx="39">
                  <c:v>59.684352221672441</c:v>
                </c:pt>
                <c:pt idx="40">
                  <c:v>41.727781949529934</c:v>
                </c:pt>
                <c:pt idx="41">
                  <c:v>49.216853065611083</c:v>
                </c:pt>
                <c:pt idx="42">
                  <c:v>45.454828797624934</c:v>
                </c:pt>
                <c:pt idx="43">
                  <c:v>33.998389295398312</c:v>
                </c:pt>
                <c:pt idx="44">
                  <c:v>32.002828797624936</c:v>
                </c:pt>
                <c:pt idx="45">
                  <c:v>37.128211677387434</c:v>
                </c:pt>
                <c:pt idx="46">
                  <c:v>55.526594557149927</c:v>
                </c:pt>
                <c:pt idx="47">
                  <c:v>51.846267292231573</c:v>
                </c:pt>
                <c:pt idx="48">
                  <c:v>28.200360316674914</c:v>
                </c:pt>
                <c:pt idx="49">
                  <c:v>18.810743196437407</c:v>
                </c:pt>
                <c:pt idx="50">
                  <c:v>18.0921260761999</c:v>
                </c:pt>
                <c:pt idx="51">
                  <c:v>27.197828134388917</c:v>
                </c:pt>
                <c:pt idx="52">
                  <c:v>40.175891835724883</c:v>
                </c:pt>
                <c:pt idx="53">
                  <c:v>26.733657595249873</c:v>
                </c:pt>
                <c:pt idx="54">
                  <c:v>20.365423354774862</c:v>
                </c:pt>
                <c:pt idx="55">
                  <c:v>9.7927789351806034</c:v>
                </c:pt>
                <c:pt idx="56">
                  <c:v>8.970806234537358</c:v>
                </c:pt>
                <c:pt idx="57">
                  <c:v>9.3000718218703611</c:v>
                </c:pt>
                <c:pt idx="58">
                  <c:v>17.916571994062345</c:v>
                </c:pt>
                <c:pt idx="59">
                  <c:v>10.7366812</c:v>
                </c:pt>
                <c:pt idx="60">
                  <c:v>18.434486392874813</c:v>
                </c:pt>
                <c:pt idx="61">
                  <c:v>14.763252152399801</c:v>
                </c:pt>
                <c:pt idx="62">
                  <c:v>22.527071503018306</c:v>
                </c:pt>
                <c:pt idx="63">
                  <c:v>24.822215793199405</c:v>
                </c:pt>
                <c:pt idx="64">
                  <c:v>22.861328740791372</c:v>
                </c:pt>
                <c:pt idx="65">
                  <c:v>32.75862846523885</c:v>
                </c:pt>
                <c:pt idx="66">
                  <c:v>29.440466173153183</c:v>
                </c:pt>
                <c:pt idx="67">
                  <c:v>41.849334143542379</c:v>
                </c:pt>
                <c:pt idx="68">
                  <c:v>31.184604167848651</c:v>
                </c:pt>
                <c:pt idx="69">
                  <c:v>33.340242292884106</c:v>
                </c:pt>
                <c:pt idx="70">
                  <c:v>44.355619561670629</c:v>
                </c:pt>
                <c:pt idx="71">
                  <c:v>39.174118148520755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2-4A26-A091-B4DE16EB12E1}"/>
            </c:ext>
          </c:extLst>
        </c:ser>
        <c:ser>
          <c:idx val="1"/>
          <c:order val="1"/>
          <c:tx>
            <c:strRef>
              <c:f>'relm fit'!$L$1</c:f>
              <c:strCache>
                <c:ptCount val="1"/>
                <c:pt idx="0">
                  <c:v>SSB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fit'!$L$2:$L$73</c:f>
              <c:numCache>
                <c:formatCode>General</c:formatCode>
                <c:ptCount val="72"/>
                <c:pt idx="0">
                  <c:v>19.597000000000001</c:v>
                </c:pt>
                <c:pt idx="1">
                  <c:v>13.31</c:v>
                </c:pt>
                <c:pt idx="2">
                  <c:v>39.570999999999998</c:v>
                </c:pt>
                <c:pt idx="3">
                  <c:v>20.648</c:v>
                </c:pt>
                <c:pt idx="4">
                  <c:v>15.112</c:v>
                </c:pt>
                <c:pt idx="5">
                  <c:v>27.183</c:v>
                </c:pt>
                <c:pt idx="6">
                  <c:v>44.113999999999997</c:v>
                </c:pt>
                <c:pt idx="7">
                  <c:v>18.986000000000001</c:v>
                </c:pt>
                <c:pt idx="8">
                  <c:v>12.978999999999999</c:v>
                </c:pt>
                <c:pt idx="9">
                  <c:v>6.0149999999999997</c:v>
                </c:pt>
                <c:pt idx="10">
                  <c:v>10.555999999999999</c:v>
                </c:pt>
                <c:pt idx="11">
                  <c:v>34.47</c:v>
                </c:pt>
                <c:pt idx="12">
                  <c:v>11.244999999999999</c:v>
                </c:pt>
                <c:pt idx="13">
                  <c:v>22.760999999999999</c:v>
                </c:pt>
                <c:pt idx="14">
                  <c:v>11.891</c:v>
                </c:pt>
                <c:pt idx="15">
                  <c:v>3.722</c:v>
                </c:pt>
                <c:pt idx="16">
                  <c:v>4.8129999999999997</c:v>
                </c:pt>
                <c:pt idx="17">
                  <c:v>11.029</c:v>
                </c:pt>
                <c:pt idx="18">
                  <c:v>10.465</c:v>
                </c:pt>
                <c:pt idx="19">
                  <c:v>26.911999999999999</c:v>
                </c:pt>
                <c:pt idx="20">
                  <c:v>36.206000000000003</c:v>
                </c:pt>
                <c:pt idx="21">
                  <c:v>41.856999999999999</c:v>
                </c:pt>
                <c:pt idx="22">
                  <c:v>19.481000000000002</c:v>
                </c:pt>
                <c:pt idx="23">
                  <c:v>25.54</c:v>
                </c:pt>
                <c:pt idx="24">
                  <c:v>49.149000000000001</c:v>
                </c:pt>
                <c:pt idx="25">
                  <c:v>65.728999999999999</c:v>
                </c:pt>
                <c:pt idx="26">
                  <c:v>58.679000000000002</c:v>
                </c:pt>
                <c:pt idx="27">
                  <c:v>45.606999999999999</c:v>
                </c:pt>
                <c:pt idx="28">
                  <c:v>68.340999999999994</c:v>
                </c:pt>
                <c:pt idx="29">
                  <c:v>62.308</c:v>
                </c:pt>
                <c:pt idx="30">
                  <c:v>51.929000000000002</c:v>
                </c:pt>
                <c:pt idx="31">
                  <c:v>33.482999999999997</c:v>
                </c:pt>
                <c:pt idx="32">
                  <c:v>16.771000000000001</c:v>
                </c:pt>
                <c:pt idx="33">
                  <c:v>24.087</c:v>
                </c:pt>
                <c:pt idx="34">
                  <c:v>29.59</c:v>
                </c:pt>
                <c:pt idx="35">
                  <c:v>39.514000000000003</c:v>
                </c:pt>
                <c:pt idx="36">
                  <c:v>16.858000000000001</c:v>
                </c:pt>
                <c:pt idx="37">
                  <c:v>46.241999999999997</c:v>
                </c:pt>
                <c:pt idx="38">
                  <c:v>47.718000000000004</c:v>
                </c:pt>
                <c:pt idx="39">
                  <c:v>46.97</c:v>
                </c:pt>
                <c:pt idx="40">
                  <c:v>30.052</c:v>
                </c:pt>
                <c:pt idx="41">
                  <c:v>42.366</c:v>
                </c:pt>
                <c:pt idx="42">
                  <c:v>36.918999999999997</c:v>
                </c:pt>
                <c:pt idx="43">
                  <c:v>25.248999999999999</c:v>
                </c:pt>
                <c:pt idx="44">
                  <c:v>27.128</c:v>
                </c:pt>
                <c:pt idx="45">
                  <c:v>33.121000000000002</c:v>
                </c:pt>
                <c:pt idx="46">
                  <c:v>45.362000000000002</c:v>
                </c:pt>
                <c:pt idx="47">
                  <c:v>41.011000000000003</c:v>
                </c:pt>
                <c:pt idx="48">
                  <c:v>19.734000000000002</c:v>
                </c:pt>
                <c:pt idx="49">
                  <c:v>12.798999999999999</c:v>
                </c:pt>
                <c:pt idx="50">
                  <c:v>13.414</c:v>
                </c:pt>
                <c:pt idx="51">
                  <c:v>21.242000000000001</c:v>
                </c:pt>
                <c:pt idx="52">
                  <c:v>31.396999999999998</c:v>
                </c:pt>
                <c:pt idx="53">
                  <c:v>16.431999999999999</c:v>
                </c:pt>
                <c:pt idx="54">
                  <c:v>9.6639999999999997</c:v>
                </c:pt>
                <c:pt idx="55">
                  <c:v>2.875</c:v>
                </c:pt>
                <c:pt idx="56">
                  <c:v>2.246</c:v>
                </c:pt>
                <c:pt idx="57">
                  <c:v>2.7389999999999999</c:v>
                </c:pt>
                <c:pt idx="58">
                  <c:v>10.606999999999999</c:v>
                </c:pt>
                <c:pt idx="59">
                  <c:v>2.464</c:v>
                </c:pt>
                <c:pt idx="60">
                  <c:v>9.6630000000000003</c:v>
                </c:pt>
                <c:pt idx="61">
                  <c:v>5.407</c:v>
                </c:pt>
                <c:pt idx="62">
                  <c:v>12.257999999999999</c:v>
                </c:pt>
                <c:pt idx="63">
                  <c:v>13.936999999999999</c:v>
                </c:pt>
                <c:pt idx="64">
                  <c:v>11.323</c:v>
                </c:pt>
                <c:pt idx="65">
                  <c:v>20.527999999999999</c:v>
                </c:pt>
                <c:pt idx="66">
                  <c:v>16.475999999999999</c:v>
                </c:pt>
                <c:pt idx="67">
                  <c:v>28.106999999999999</c:v>
                </c:pt>
                <c:pt idx="68">
                  <c:v>17.03</c:v>
                </c:pt>
                <c:pt idx="69">
                  <c:v>18.760999999999999</c:v>
                </c:pt>
                <c:pt idx="70">
                  <c:v>29.338999999999999</c:v>
                </c:pt>
                <c:pt idx="71">
                  <c:v>23.707000000000001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2-4A26-A091-B4DE16EB1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40704"/>
        <c:axId val="50842240"/>
      </c:scatterChart>
      <c:valAx>
        <c:axId val="5084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2240"/>
        <c:crosses val="autoZero"/>
        <c:crossBetween val="midCat"/>
      </c:valAx>
      <c:valAx>
        <c:axId val="508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VPA age 2 recruits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'relm fit'!$BM$1</c:f>
              <c:strCache>
                <c:ptCount val="1"/>
                <c:pt idx="0">
                  <c:v>VPA2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'relm fit'!$BA$2:$BA$73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cat>
          <c:val>
            <c:numRef>
              <c:f>'relm fit'!$BM$2:$BM$73</c:f>
              <c:numCache>
                <c:formatCode>0.0</c:formatCode>
                <c:ptCount val="72"/>
                <c:pt idx="0">
                  <c:v>296.0082548561877</c:v>
                </c:pt>
                <c:pt idx="1">
                  <c:v>428.65525921280835</c:v>
                </c:pt>
                <c:pt idx="2">
                  <c:v>646.41703845444351</c:v>
                </c:pt>
                <c:pt idx="3">
                  <c:v>304.76939057380804</c:v>
                </c:pt>
                <c:pt idx="4">
                  <c:v>385.01326069216952</c:v>
                </c:pt>
                <c:pt idx="5">
                  <c:v>398.46654357724964</c:v>
                </c:pt>
                <c:pt idx="6">
                  <c:v>466.94971158523452</c:v>
                </c:pt>
                <c:pt idx="7">
                  <c:v>658.04188769147117</c:v>
                </c:pt>
                <c:pt idx="8">
                  <c:v>553.66504509464937</c:v>
                </c:pt>
                <c:pt idx="9">
                  <c:v>302.97556632836847</c:v>
                </c:pt>
                <c:pt idx="10">
                  <c:v>736.61843950201876</c:v>
                </c:pt>
                <c:pt idx="11">
                  <c:v>315.21360884887554</c:v>
                </c:pt>
                <c:pt idx="12">
                  <c:v>400.37741407652311</c:v>
                </c:pt>
                <c:pt idx="13">
                  <c:v>216.68566964443926</c:v>
                </c:pt>
                <c:pt idx="14">
                  <c:v>155.05852282605952</c:v>
                </c:pt>
                <c:pt idx="15">
                  <c:v>123.54196093433893</c:v>
                </c:pt>
                <c:pt idx="16">
                  <c:v>60.778966350761515</c:v>
                </c:pt>
                <c:pt idx="17">
                  <c:v>93.261225031870822</c:v>
                </c:pt>
                <c:pt idx="18">
                  <c:v>263.61524206369398</c:v>
                </c:pt>
                <c:pt idx="19">
                  <c:v>492.32741656572324</c:v>
                </c:pt>
                <c:pt idx="20">
                  <c:v>386.07180749226558</c:v>
                </c:pt>
                <c:pt idx="21">
                  <c:v>380.38591650694519</c:v>
                </c:pt>
                <c:pt idx="22">
                  <c:v>394.19513749315286</c:v>
                </c:pt>
                <c:pt idx="23">
                  <c:v>667.23287377626446</c:v>
                </c:pt>
                <c:pt idx="24">
                  <c:v>391.93618598733536</c:v>
                </c:pt>
                <c:pt idx="25">
                  <c:v>280.1194477003765</c:v>
                </c:pt>
                <c:pt idx="26">
                  <c:v>486.2028420357135</c:v>
                </c:pt>
                <c:pt idx="27">
                  <c:v>131.49196319345972</c:v>
                </c:pt>
                <c:pt idx="28">
                  <c:v>354.77637937352222</c:v>
                </c:pt>
                <c:pt idx="29">
                  <c:v>269.99606867695542</c:v>
                </c:pt>
                <c:pt idx="30">
                  <c:v>137.6314393676704</c:v>
                </c:pt>
                <c:pt idx="31">
                  <c:v>97.726210761715819</c:v>
                </c:pt>
                <c:pt idx="32">
                  <c:v>125.17230624956501</c:v>
                </c:pt>
                <c:pt idx="33">
                  <c:v>252.47854242682251</c:v>
                </c:pt>
                <c:pt idx="34">
                  <c:v>302.56554781701601</c:v>
                </c:pt>
                <c:pt idx="35">
                  <c:v>132.62174571850829</c:v>
                </c:pt>
                <c:pt idx="36">
                  <c:v>555.30342165196976</c:v>
                </c:pt>
                <c:pt idx="37">
                  <c:v>171.76828848991212</c:v>
                </c:pt>
                <c:pt idx="38">
                  <c:v>164.86892902509302</c:v>
                </c:pt>
                <c:pt idx="39">
                  <c:v>145.34101643485891</c:v>
                </c:pt>
                <c:pt idx="40">
                  <c:v>296.68064604065478</c:v>
                </c:pt>
                <c:pt idx="41">
                  <c:v>185.06427333846091</c:v>
                </c:pt>
                <c:pt idx="42">
                  <c:v>148.75203202719143</c:v>
                </c:pt>
                <c:pt idx="43">
                  <c:v>69.393318531146733</c:v>
                </c:pt>
                <c:pt idx="44">
                  <c:v>112.21835041733918</c:v>
                </c:pt>
                <c:pt idx="45">
                  <c:v>470.28045653588902</c:v>
                </c:pt>
                <c:pt idx="46">
                  <c:v>188.15134628649653</c:v>
                </c:pt>
                <c:pt idx="47">
                  <c:v>90.381381067326288</c:v>
                </c:pt>
                <c:pt idx="48">
                  <c:v>93.285466916065786</c:v>
                </c:pt>
                <c:pt idx="49">
                  <c:v>143.01729503971984</c:v>
                </c:pt>
                <c:pt idx="50">
                  <c:v>187.2272166849755</c:v>
                </c:pt>
                <c:pt idx="51">
                  <c:v>223.79467341146227</c:v>
                </c:pt>
                <c:pt idx="52">
                  <c:v>112.83022456420132</c:v>
                </c:pt>
                <c:pt idx="53">
                  <c:v>163.37322850540883</c:v>
                </c:pt>
                <c:pt idx="54">
                  <c:v>136.51004904697055</c:v>
                </c:pt>
                <c:pt idx="55">
                  <c:v>178.04160570509899</c:v>
                </c:pt>
                <c:pt idx="56">
                  <c:v>74.017745360898829</c:v>
                </c:pt>
                <c:pt idx="57">
                  <c:v>208.60345056763109</c:v>
                </c:pt>
                <c:pt idx="58">
                  <c:v>129.59462972213939</c:v>
                </c:pt>
                <c:pt idx="59">
                  <c:v>332.20677861705178</c:v>
                </c:pt>
                <c:pt idx="60">
                  <c:v>73.152682363509626</c:v>
                </c:pt>
                <c:pt idx="61">
                  <c:v>103.71290418080969</c:v>
                </c:pt>
                <c:pt idx="62">
                  <c:v>381.51695824225465</c:v>
                </c:pt>
                <c:pt idx="63">
                  <c:v>238.27309096555064</c:v>
                </c:pt>
                <c:pt idx="64">
                  <c:v>628.18405467361936</c:v>
                </c:pt>
                <c:pt idx="65">
                  <c:v>73.157249526835827</c:v>
                </c:pt>
                <c:pt idx="66">
                  <c:v>74.104861185038104</c:v>
                </c:pt>
                <c:pt idx="67">
                  <c:v>337.21044311491494</c:v>
                </c:pt>
                <c:pt idx="68">
                  <c:v>175.5693484412287</c:v>
                </c:pt>
                <c:pt idx="69">
                  <c:v>504.96010325516943</c:v>
                </c:pt>
                <c:pt idx="70">
                  <c:v>272.57631539795631</c:v>
                </c:pt>
                <c:pt idx="71">
                  <c:v>467.06675480142098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9-4402-B104-1B389D1DF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63488"/>
        <c:axId val="50881664"/>
      </c:lineChart>
      <c:catAx>
        <c:axId val="508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1664"/>
        <c:crosses val="autoZero"/>
        <c:auto val="1"/>
        <c:lblAlgn val="ctr"/>
        <c:lblOffset val="100"/>
        <c:noMultiLvlLbl val="0"/>
      </c:catAx>
      <c:valAx>
        <c:axId val="508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Tanasichuck M at age (Table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fit'!$B$51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8032370953630797"/>
                  <c:y val="0.133381452318460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'relm fit'!$A$52:$A$58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xVal>
          <c:yVal>
            <c:numRef>
              <c:f>'relm fit'!$B$52:$B$58</c:f>
              <c:numCache>
                <c:formatCode>General</c:formatCode>
                <c:ptCount val="7"/>
                <c:pt idx="0">
                  <c:v>0.21</c:v>
                </c:pt>
                <c:pt idx="1">
                  <c:v>0.32</c:v>
                </c:pt>
                <c:pt idx="2">
                  <c:v>0.43</c:v>
                </c:pt>
                <c:pt idx="3">
                  <c:v>0.43</c:v>
                </c:pt>
                <c:pt idx="4">
                  <c:v>0.67</c:v>
                </c:pt>
                <c:pt idx="5">
                  <c:v>0.99</c:v>
                </c:pt>
                <c:pt idx="6">
                  <c:v>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B4-4DD0-88AF-1D08B0446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15584"/>
        <c:axId val="50987008"/>
      </c:scatterChart>
      <c:valAx>
        <c:axId val="5091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7008"/>
        <c:crosses val="autoZero"/>
        <c:crossBetween val="midCat"/>
      </c:valAx>
      <c:valAx>
        <c:axId val="509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VPA and survey SSB:</a:t>
            </a:r>
          </a:p>
          <a:p>
            <a:pPr>
              <a:defRPr/>
            </a:pPr>
            <a:r>
              <a:rPr lang="en-US"/>
              <a:t>can't get good</a:t>
            </a:r>
            <a:r>
              <a:rPr lang="en-US" baseline="0"/>
              <a:t> fit during 1970s's with constant M</a:t>
            </a:r>
            <a:endParaRPr lang="en-US"/>
          </a:p>
        </c:rich>
      </c:tx>
      <c:layout>
        <c:manualLayout>
          <c:xMode val="edge"/>
          <c:yMode val="edge"/>
          <c:x val="0.1371804461942257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'relm fit'!$BV$1</c:f>
              <c:strCache>
                <c:ptCount val="1"/>
                <c:pt idx="0">
                  <c:v>alt vpa SSB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cat>
          <c:val>
            <c:numRef>
              <c:f>'relm fit'!$BV$2:$BV$73</c:f>
              <c:numCache>
                <c:formatCode>General</c:formatCode>
                <c:ptCount val="72"/>
                <c:pt idx="0">
                  <c:v>24.806645330737556</c:v>
                </c:pt>
                <c:pt idx="1">
                  <c:v>10.18114392948954</c:v>
                </c:pt>
                <c:pt idx="2">
                  <c:v>22.623177298452404</c:v>
                </c:pt>
                <c:pt idx="3">
                  <c:v>20.794354891600147</c:v>
                </c:pt>
                <c:pt idx="4">
                  <c:v>26.361135971771517</c:v>
                </c:pt>
                <c:pt idx="5">
                  <c:v>26.188071009146938</c:v>
                </c:pt>
                <c:pt idx="6">
                  <c:v>36.13608380176322</c:v>
                </c:pt>
                <c:pt idx="7">
                  <c:v>43.796579996051783</c:v>
                </c:pt>
                <c:pt idx="8">
                  <c:v>21.830796723373055</c:v>
                </c:pt>
                <c:pt idx="9">
                  <c:v>8.7608024246786087</c:v>
                </c:pt>
                <c:pt idx="10">
                  <c:v>8.1700092316216146</c:v>
                </c:pt>
                <c:pt idx="11">
                  <c:v>15.973825907406626</c:v>
                </c:pt>
                <c:pt idx="12">
                  <c:v>13.620104368842913</c:v>
                </c:pt>
                <c:pt idx="13">
                  <c:v>14.629983451715868</c:v>
                </c:pt>
                <c:pt idx="14">
                  <c:v>12.921036768035282</c:v>
                </c:pt>
                <c:pt idx="15">
                  <c:v>11.129480469272647</c:v>
                </c:pt>
                <c:pt idx="16">
                  <c:v>3.7962470174332821</c:v>
                </c:pt>
                <c:pt idx="17">
                  <c:v>5.5828605936101301</c:v>
                </c:pt>
                <c:pt idx="18">
                  <c:v>8.9670080714741864</c:v>
                </c:pt>
                <c:pt idx="19">
                  <c:v>20.094642669019155</c:v>
                </c:pt>
                <c:pt idx="20">
                  <c:v>38.784100301639533</c:v>
                </c:pt>
                <c:pt idx="21">
                  <c:v>49.686832835136393</c:v>
                </c:pt>
                <c:pt idx="22">
                  <c:v>45.699360263665653</c:v>
                </c:pt>
                <c:pt idx="23">
                  <c:v>48.098721061794947</c:v>
                </c:pt>
                <c:pt idx="24">
                  <c:v>69.679471971689637</c:v>
                </c:pt>
                <c:pt idx="25">
                  <c:v>64.552807532498704</c:v>
                </c:pt>
                <c:pt idx="26">
                  <c:v>56.850719420408709</c:v>
                </c:pt>
                <c:pt idx="27">
                  <c:v>49.27852466197043</c:v>
                </c:pt>
                <c:pt idx="28">
                  <c:v>41.135529234681186</c:v>
                </c:pt>
                <c:pt idx="29">
                  <c:v>43.750052337747441</c:v>
                </c:pt>
                <c:pt idx="30">
                  <c:v>40.422530393770252</c:v>
                </c:pt>
                <c:pt idx="31">
                  <c:v>31.108410847395774</c:v>
                </c:pt>
                <c:pt idx="32">
                  <c:v>21.331100035643658</c:v>
                </c:pt>
                <c:pt idx="33">
                  <c:v>17.847983279440502</c:v>
                </c:pt>
                <c:pt idx="34">
                  <c:v>26.041297219016421</c:v>
                </c:pt>
                <c:pt idx="35">
                  <c:v>36.502032526885486</c:v>
                </c:pt>
                <c:pt idx="36">
                  <c:v>29.946118555059623</c:v>
                </c:pt>
                <c:pt idx="37">
                  <c:v>45.866367118627714</c:v>
                </c:pt>
                <c:pt idx="38">
                  <c:v>41.679909451125205</c:v>
                </c:pt>
                <c:pt idx="39">
                  <c:v>38.966339094832755</c:v>
                </c:pt>
                <c:pt idx="40">
                  <c:v>29.11388052461492</c:v>
                </c:pt>
                <c:pt idx="41">
                  <c:v>34.670656249642391</c:v>
                </c:pt>
                <c:pt idx="42">
                  <c:v>32.789372929715171</c:v>
                </c:pt>
                <c:pt idx="43">
                  <c:v>28.896430119230221</c:v>
                </c:pt>
                <c:pt idx="44">
                  <c:v>27.136315305364768</c:v>
                </c:pt>
                <c:pt idx="45">
                  <c:v>25.942130678240478</c:v>
                </c:pt>
                <c:pt idx="46">
                  <c:v>32.802907748181148</c:v>
                </c:pt>
                <c:pt idx="47">
                  <c:v>27.014639616550681</c:v>
                </c:pt>
                <c:pt idx="48">
                  <c:v>19.204646263989165</c:v>
                </c:pt>
                <c:pt idx="49">
                  <c:v>15.779148802811266</c:v>
                </c:pt>
                <c:pt idx="50">
                  <c:v>15.352484042629319</c:v>
                </c:pt>
                <c:pt idx="51">
                  <c:v>16.828606675438223</c:v>
                </c:pt>
                <c:pt idx="52">
                  <c:v>18.213134574908249</c:v>
                </c:pt>
                <c:pt idx="53">
                  <c:v>11.685298205980668</c:v>
                </c:pt>
                <c:pt idx="54">
                  <c:v>6.5086771351291697</c:v>
                </c:pt>
                <c:pt idx="55">
                  <c:v>5.3261950770865365</c:v>
                </c:pt>
                <c:pt idx="56">
                  <c:v>5.9572362273168995</c:v>
                </c:pt>
                <c:pt idx="57">
                  <c:v>4.8032922763887624</c:v>
                </c:pt>
                <c:pt idx="58">
                  <c:v>7.9227660305862955</c:v>
                </c:pt>
                <c:pt idx="59">
                  <c:v>7.3275316119367879</c:v>
                </c:pt>
                <c:pt idx="60">
                  <c:v>11.761746300496046</c:v>
                </c:pt>
                <c:pt idx="61">
                  <c:v>10.393310858414925</c:v>
                </c:pt>
                <c:pt idx="62">
                  <c:v>8.3802102795881748</c:v>
                </c:pt>
                <c:pt idx="63">
                  <c:v>15.948034853094395</c:v>
                </c:pt>
                <c:pt idx="64">
                  <c:v>17.022121610239317</c:v>
                </c:pt>
                <c:pt idx="65">
                  <c:v>29.977034223720111</c:v>
                </c:pt>
                <c:pt idx="66">
                  <c:v>27.256778588382168</c:v>
                </c:pt>
                <c:pt idx="67">
                  <c:v>22.288353875603043</c:v>
                </c:pt>
                <c:pt idx="68">
                  <c:v>21.172316974514551</c:v>
                </c:pt>
                <c:pt idx="69">
                  <c:v>19.199980402331164</c:v>
                </c:pt>
                <c:pt idx="70">
                  <c:v>25.694949174545709</c:v>
                </c:pt>
                <c:pt idx="71">
                  <c:v>26.777118712349981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3-43EC-A1E1-745C13BF9A0F}"/>
            </c:ext>
          </c:extLst>
        </c:ser>
        <c:ser>
          <c:idx val="1"/>
          <c:order val="1"/>
          <c:tx>
            <c:strRef>
              <c:f>'relm fit'!$L$1</c:f>
              <c:strCache>
                <c:ptCount val="1"/>
                <c:pt idx="0">
                  <c:v>SSB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cat>
          <c:val>
            <c:numRef>
              <c:f>'relm fit'!$L$2:$L$73</c:f>
              <c:numCache>
                <c:formatCode>General</c:formatCode>
                <c:ptCount val="72"/>
                <c:pt idx="0">
                  <c:v>19.597000000000001</c:v>
                </c:pt>
                <c:pt idx="1">
                  <c:v>13.31</c:v>
                </c:pt>
                <c:pt idx="2">
                  <c:v>39.570999999999998</c:v>
                </c:pt>
                <c:pt idx="3">
                  <c:v>20.648</c:v>
                </c:pt>
                <c:pt idx="4">
                  <c:v>15.112</c:v>
                </c:pt>
                <c:pt idx="5">
                  <c:v>27.183</c:v>
                </c:pt>
                <c:pt idx="6">
                  <c:v>44.113999999999997</c:v>
                </c:pt>
                <c:pt idx="7">
                  <c:v>18.986000000000001</c:v>
                </c:pt>
                <c:pt idx="8">
                  <c:v>12.978999999999999</c:v>
                </c:pt>
                <c:pt idx="9">
                  <c:v>6.0149999999999997</c:v>
                </c:pt>
                <c:pt idx="10">
                  <c:v>10.555999999999999</c:v>
                </c:pt>
                <c:pt idx="11">
                  <c:v>34.47</c:v>
                </c:pt>
                <c:pt idx="12">
                  <c:v>11.244999999999999</c:v>
                </c:pt>
                <c:pt idx="13">
                  <c:v>22.760999999999999</c:v>
                </c:pt>
                <c:pt idx="14">
                  <c:v>11.891</c:v>
                </c:pt>
                <c:pt idx="15">
                  <c:v>3.722</c:v>
                </c:pt>
                <c:pt idx="16">
                  <c:v>4.8129999999999997</c:v>
                </c:pt>
                <c:pt idx="17">
                  <c:v>11.029</c:v>
                </c:pt>
                <c:pt idx="18">
                  <c:v>10.465</c:v>
                </c:pt>
                <c:pt idx="19">
                  <c:v>26.911999999999999</c:v>
                </c:pt>
                <c:pt idx="20">
                  <c:v>36.206000000000003</c:v>
                </c:pt>
                <c:pt idx="21">
                  <c:v>41.856999999999999</c:v>
                </c:pt>
                <c:pt idx="22">
                  <c:v>19.481000000000002</c:v>
                </c:pt>
                <c:pt idx="23">
                  <c:v>25.54</c:v>
                </c:pt>
                <c:pt idx="24">
                  <c:v>49.149000000000001</c:v>
                </c:pt>
                <c:pt idx="25">
                  <c:v>65.728999999999999</c:v>
                </c:pt>
                <c:pt idx="26">
                  <c:v>58.679000000000002</c:v>
                </c:pt>
                <c:pt idx="27">
                  <c:v>45.606999999999999</c:v>
                </c:pt>
                <c:pt idx="28">
                  <c:v>68.340999999999994</c:v>
                </c:pt>
                <c:pt idx="29">
                  <c:v>62.308</c:v>
                </c:pt>
                <c:pt idx="30">
                  <c:v>51.929000000000002</c:v>
                </c:pt>
                <c:pt idx="31">
                  <c:v>33.482999999999997</c:v>
                </c:pt>
                <c:pt idx="32">
                  <c:v>16.771000000000001</c:v>
                </c:pt>
                <c:pt idx="33">
                  <c:v>24.087</c:v>
                </c:pt>
                <c:pt idx="34">
                  <c:v>29.59</c:v>
                </c:pt>
                <c:pt idx="35">
                  <c:v>39.514000000000003</c:v>
                </c:pt>
                <c:pt idx="36">
                  <c:v>16.858000000000001</c:v>
                </c:pt>
                <c:pt idx="37">
                  <c:v>46.241999999999997</c:v>
                </c:pt>
                <c:pt idx="38">
                  <c:v>47.718000000000004</c:v>
                </c:pt>
                <c:pt idx="39">
                  <c:v>46.97</c:v>
                </c:pt>
                <c:pt idx="40">
                  <c:v>30.052</c:v>
                </c:pt>
                <c:pt idx="41">
                  <c:v>42.366</c:v>
                </c:pt>
                <c:pt idx="42">
                  <c:v>36.918999999999997</c:v>
                </c:pt>
                <c:pt idx="43">
                  <c:v>25.248999999999999</c:v>
                </c:pt>
                <c:pt idx="44">
                  <c:v>27.128</c:v>
                </c:pt>
                <c:pt idx="45">
                  <c:v>33.121000000000002</c:v>
                </c:pt>
                <c:pt idx="46">
                  <c:v>45.362000000000002</c:v>
                </c:pt>
                <c:pt idx="47">
                  <c:v>41.011000000000003</c:v>
                </c:pt>
                <c:pt idx="48">
                  <c:v>19.734000000000002</c:v>
                </c:pt>
                <c:pt idx="49">
                  <c:v>12.798999999999999</c:v>
                </c:pt>
                <c:pt idx="50">
                  <c:v>13.414</c:v>
                </c:pt>
                <c:pt idx="51">
                  <c:v>21.242000000000001</c:v>
                </c:pt>
                <c:pt idx="52">
                  <c:v>31.396999999999998</c:v>
                </c:pt>
                <c:pt idx="53">
                  <c:v>16.431999999999999</c:v>
                </c:pt>
                <c:pt idx="54">
                  <c:v>9.6639999999999997</c:v>
                </c:pt>
                <c:pt idx="55">
                  <c:v>2.875</c:v>
                </c:pt>
                <c:pt idx="56">
                  <c:v>2.246</c:v>
                </c:pt>
                <c:pt idx="57">
                  <c:v>2.7389999999999999</c:v>
                </c:pt>
                <c:pt idx="58">
                  <c:v>10.606999999999999</c:v>
                </c:pt>
                <c:pt idx="59">
                  <c:v>2.464</c:v>
                </c:pt>
                <c:pt idx="60">
                  <c:v>9.6630000000000003</c:v>
                </c:pt>
                <c:pt idx="61">
                  <c:v>5.407</c:v>
                </c:pt>
                <c:pt idx="62">
                  <c:v>12.257999999999999</c:v>
                </c:pt>
                <c:pt idx="63">
                  <c:v>13.936999999999999</c:v>
                </c:pt>
                <c:pt idx="64">
                  <c:v>11.323</c:v>
                </c:pt>
                <c:pt idx="65">
                  <c:v>20.527999999999999</c:v>
                </c:pt>
                <c:pt idx="66">
                  <c:v>16.475999999999999</c:v>
                </c:pt>
                <c:pt idx="67">
                  <c:v>28.106999999999999</c:v>
                </c:pt>
                <c:pt idx="68">
                  <c:v>17.03</c:v>
                </c:pt>
                <c:pt idx="69">
                  <c:v>18.760999999999999</c:v>
                </c:pt>
                <c:pt idx="70">
                  <c:v>29.338999999999999</c:v>
                </c:pt>
                <c:pt idx="71">
                  <c:v>23.707000000000001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3-43EC-A1E1-745C13BF9A0F}"/>
            </c:ext>
          </c:extLst>
        </c:ser>
        <c:ser>
          <c:idx val="3"/>
          <c:order val="3"/>
          <c:tx>
            <c:strRef>
              <c:f>'relm fit'!$FJ$1</c:f>
              <c:strCache>
                <c:ptCount val="1"/>
                <c:pt idx="0">
                  <c:v>SSB_SRA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cat>
          <c:val>
            <c:numRef>
              <c:f>'relm fit'!$FJ$2:$FJ$73</c:f>
              <c:numCache>
                <c:formatCode>General</c:formatCode>
                <c:ptCount val="72"/>
                <c:pt idx="0">
                  <c:v>17.907669253475529</c:v>
                </c:pt>
                <c:pt idx="1">
                  <c:v>10.377525540355105</c:v>
                </c:pt>
                <c:pt idx="2">
                  <c:v>19.119919663440751</c:v>
                </c:pt>
                <c:pt idx="3">
                  <c:v>13.55443129946206</c:v>
                </c:pt>
                <c:pt idx="4">
                  <c:v>15.121193783526191</c:v>
                </c:pt>
                <c:pt idx="5">
                  <c:v>18.279858634291852</c:v>
                </c:pt>
                <c:pt idx="6">
                  <c:v>25.772631211349459</c:v>
                </c:pt>
                <c:pt idx="7">
                  <c:v>27.93778895958668</c:v>
                </c:pt>
                <c:pt idx="8">
                  <c:v>11.144696700823623</c:v>
                </c:pt>
                <c:pt idx="9">
                  <c:v>4.4815798320128266</c:v>
                </c:pt>
                <c:pt idx="10">
                  <c:v>7.2385078798679841</c:v>
                </c:pt>
                <c:pt idx="11">
                  <c:v>17.141983647303487</c:v>
                </c:pt>
                <c:pt idx="12">
                  <c:v>11.592823404521894</c:v>
                </c:pt>
                <c:pt idx="13">
                  <c:v>14.161669935604294</c:v>
                </c:pt>
                <c:pt idx="14">
                  <c:v>9.1326954675907519</c:v>
                </c:pt>
                <c:pt idx="15">
                  <c:v>3.6421347891137912</c:v>
                </c:pt>
                <c:pt idx="16">
                  <c:v>3.7692880243214066</c:v>
                </c:pt>
                <c:pt idx="17">
                  <c:v>7.1188649321616122</c:v>
                </c:pt>
                <c:pt idx="18">
                  <c:v>9.7149412174114698</c:v>
                </c:pt>
                <c:pt idx="19">
                  <c:v>16.99088332033617</c:v>
                </c:pt>
                <c:pt idx="20">
                  <c:v>27.010724163899503</c:v>
                </c:pt>
                <c:pt idx="21">
                  <c:v>33.949892495111619</c:v>
                </c:pt>
                <c:pt idx="22">
                  <c:v>32.51730005308324</c:v>
                </c:pt>
                <c:pt idx="23">
                  <c:v>37.023534058625494</c:v>
                </c:pt>
                <c:pt idx="24">
                  <c:v>64.016532536733209</c:v>
                </c:pt>
                <c:pt idx="25">
                  <c:v>59.188192146492142</c:v>
                </c:pt>
                <c:pt idx="26">
                  <c:v>56.48180481081851</c:v>
                </c:pt>
                <c:pt idx="27">
                  <c:v>50.297360734821147</c:v>
                </c:pt>
                <c:pt idx="28">
                  <c:v>44.994984999602416</c:v>
                </c:pt>
                <c:pt idx="29">
                  <c:v>47.413671698559511</c:v>
                </c:pt>
                <c:pt idx="30">
                  <c:v>41.145191928947831</c:v>
                </c:pt>
                <c:pt idx="31">
                  <c:v>32.157730927889475</c:v>
                </c:pt>
                <c:pt idx="32">
                  <c:v>23.582078137518415</c:v>
                </c:pt>
                <c:pt idx="33">
                  <c:v>19.486706812932781</c:v>
                </c:pt>
                <c:pt idx="34">
                  <c:v>25.725547052439548</c:v>
                </c:pt>
                <c:pt idx="35">
                  <c:v>32.715510770582327</c:v>
                </c:pt>
                <c:pt idx="36">
                  <c:v>24.822012290937256</c:v>
                </c:pt>
                <c:pt idx="37">
                  <c:v>50.945462174691706</c:v>
                </c:pt>
                <c:pt idx="38">
                  <c:v>43.681017393475841</c:v>
                </c:pt>
                <c:pt idx="39">
                  <c:v>44.596979750385955</c:v>
                </c:pt>
                <c:pt idx="40">
                  <c:v>32.477872927573813</c:v>
                </c:pt>
                <c:pt idx="41">
                  <c:v>38.905345531876371</c:v>
                </c:pt>
                <c:pt idx="42">
                  <c:v>35.424727643685927</c:v>
                </c:pt>
                <c:pt idx="43">
                  <c:v>31.563708343682581</c:v>
                </c:pt>
                <c:pt idx="44">
                  <c:v>30.65409144048073</c:v>
                </c:pt>
                <c:pt idx="45">
                  <c:v>27.94151914812312</c:v>
                </c:pt>
                <c:pt idx="46">
                  <c:v>34.000699764130403</c:v>
                </c:pt>
                <c:pt idx="47">
                  <c:v>25.699068789151788</c:v>
                </c:pt>
                <c:pt idx="48">
                  <c:v>20.837616454759711</c:v>
                </c:pt>
                <c:pt idx="49">
                  <c:v>17.166017723030969</c:v>
                </c:pt>
                <c:pt idx="50">
                  <c:v>16.456391513703945</c:v>
                </c:pt>
                <c:pt idx="51">
                  <c:v>19.462148095707651</c:v>
                </c:pt>
                <c:pt idx="52">
                  <c:v>22.609129483282164</c:v>
                </c:pt>
                <c:pt idx="53">
                  <c:v>15.614110893880664</c:v>
                </c:pt>
                <c:pt idx="54">
                  <c:v>8.5889524665751864</c:v>
                </c:pt>
                <c:pt idx="55">
                  <c:v>3.1288597562274978</c:v>
                </c:pt>
                <c:pt idx="56">
                  <c:v>2.7234461423533327</c:v>
                </c:pt>
                <c:pt idx="57">
                  <c:v>2.9855768814513159</c:v>
                </c:pt>
                <c:pt idx="58">
                  <c:v>7.210057486830757</c:v>
                </c:pt>
                <c:pt idx="59">
                  <c:v>3.2967181865799349</c:v>
                </c:pt>
                <c:pt idx="60">
                  <c:v>8.6330777907797547</c:v>
                </c:pt>
                <c:pt idx="61">
                  <c:v>7.2606251833259572</c:v>
                </c:pt>
                <c:pt idx="62">
                  <c:v>11.005720502320194</c:v>
                </c:pt>
                <c:pt idx="63">
                  <c:v>15.062813824651748</c:v>
                </c:pt>
                <c:pt idx="64">
                  <c:v>12.325530897489257</c:v>
                </c:pt>
                <c:pt idx="65">
                  <c:v>23.866992340226432</c:v>
                </c:pt>
                <c:pt idx="66">
                  <c:v>22.179275036404238</c:v>
                </c:pt>
                <c:pt idx="67">
                  <c:v>22.449344222135842</c:v>
                </c:pt>
                <c:pt idx="68">
                  <c:v>20.06189144091724</c:v>
                </c:pt>
                <c:pt idx="69">
                  <c:v>18.582133475597725</c:v>
                </c:pt>
                <c:pt idx="70">
                  <c:v>25.839845622891826</c:v>
                </c:pt>
                <c:pt idx="71">
                  <c:v>24.581510711883027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2-42B6-BEDC-42243D6B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51904"/>
        <c:axId val="51123328"/>
      </c:lineChart>
      <c:lineChart>
        <c:grouping val="standard"/>
        <c:varyColors val="0"/>
        <c:ser>
          <c:idx val="2"/>
          <c:order val="2"/>
          <c:tx>
            <c:strRef>
              <c:f>'relm fit'!$BW$1</c:f>
              <c:strCache>
                <c:ptCount val="1"/>
                <c:pt idx="0">
                  <c:v>Relm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cat>
          <c:val>
            <c:numRef>
              <c:f>'relm fit'!$BW$2:$BW$73</c:f>
              <c:numCache>
                <c:formatCode>General</c:formatCode>
                <c:ptCount val="72"/>
                <c:pt idx="0">
                  <c:v>0.92375696708540211</c:v>
                </c:pt>
                <c:pt idx="1">
                  <c:v>1.0723894118364565</c:v>
                </c:pt>
                <c:pt idx="2">
                  <c:v>1.2229811190988267</c:v>
                </c:pt>
                <c:pt idx="3">
                  <c:v>1.1054346616743365</c:v>
                </c:pt>
                <c:pt idx="4">
                  <c:v>0.93598796316220867</c:v>
                </c:pt>
                <c:pt idx="5">
                  <c:v>0.92022935250639104</c:v>
                </c:pt>
                <c:pt idx="6">
                  <c:v>0.95563473596622306</c:v>
                </c:pt>
                <c:pt idx="7">
                  <c:v>0.60982408108071262</c:v>
                </c:pt>
                <c:pt idx="8">
                  <c:v>0.73670002949830604</c:v>
                </c:pt>
                <c:pt idx="9">
                  <c:v>0.87252947059887009</c:v>
                </c:pt>
                <c:pt idx="10">
                  <c:v>1.0456951365731755</c:v>
                </c:pt>
                <c:pt idx="11">
                  <c:v>1.2498457002174657</c:v>
                </c:pt>
                <c:pt idx="12">
                  <c:v>1.0321225358550921</c:v>
                </c:pt>
                <c:pt idx="13">
                  <c:v>1.1469145577004811</c:v>
                </c:pt>
                <c:pt idx="14">
                  <c:v>1.0246471400841737</c:v>
                </c:pt>
                <c:pt idx="15">
                  <c:v>0.66377211307984463</c:v>
                </c:pt>
                <c:pt idx="16">
                  <c:v>1.0370295894040495</c:v>
                </c:pt>
                <c:pt idx="17">
                  <c:v>1.2354741060018619</c:v>
                </c:pt>
                <c:pt idx="18">
                  <c:v>1.2657207905347494</c:v>
                </c:pt>
                <c:pt idx="19">
                  <c:v>1.3917803963409221</c:v>
                </c:pt>
                <c:pt idx="20">
                  <c:v>1.4558470035830215</c:v>
                </c:pt>
                <c:pt idx="21">
                  <c:v>1.3361252580584213</c:v>
                </c:pt>
                <c:pt idx="22">
                  <c:v>0.86978197046698102</c:v>
                </c:pt>
                <c:pt idx="23">
                  <c:v>0.54336692897952354</c:v>
                </c:pt>
                <c:pt idx="24">
                  <c:v>0.43366881012090702</c:v>
                </c:pt>
                <c:pt idx="25">
                  <c:v>0.71512651326102172</c:v>
                </c:pt>
                <c:pt idx="26">
                  <c:v>0.83957056985778755</c:v>
                </c:pt>
                <c:pt idx="27">
                  <c:v>0.84738440714997754</c:v>
                </c:pt>
                <c:pt idx="28">
                  <c:v>1.0243862919738858</c:v>
                </c:pt>
                <c:pt idx="29">
                  <c:v>1.1223931450212721</c:v>
                </c:pt>
                <c:pt idx="30">
                  <c:v>1.2147972058006926</c:v>
                </c:pt>
                <c:pt idx="31">
                  <c:v>1.2108104095878487</c:v>
                </c:pt>
                <c:pt idx="32">
                  <c:v>1.0941241466508351</c:v>
                </c:pt>
                <c:pt idx="33">
                  <c:v>1.0670764268491366</c:v>
                </c:pt>
                <c:pt idx="34">
                  <c:v>1.0619889515665961</c:v>
                </c:pt>
                <c:pt idx="35">
                  <c:v>1.0655012932606727</c:v>
                </c:pt>
                <c:pt idx="36">
                  <c:v>0.84680087781570701</c:v>
                </c:pt>
                <c:pt idx="37">
                  <c:v>0.88954045627063039</c:v>
                </c:pt>
                <c:pt idx="38">
                  <c:v>0.91611973321038065</c:v>
                </c:pt>
                <c:pt idx="39">
                  <c:v>0.97122497074567726</c:v>
                </c:pt>
                <c:pt idx="40">
                  <c:v>0.93938761371895618</c:v>
                </c:pt>
                <c:pt idx="41">
                  <c:v>0.9898884166824673</c:v>
                </c:pt>
                <c:pt idx="42">
                  <c:v>0.91301843259776461</c:v>
                </c:pt>
                <c:pt idx="43">
                  <c:v>0.86280428975808232</c:v>
                </c:pt>
                <c:pt idx="44">
                  <c:v>0.81632211915537511</c:v>
                </c:pt>
                <c:pt idx="45">
                  <c:v>0.9695650159791589</c:v>
                </c:pt>
                <c:pt idx="46">
                  <c:v>0.98733776183540967</c:v>
                </c:pt>
                <c:pt idx="47">
                  <c:v>1.2899716490405368</c:v>
                </c:pt>
                <c:pt idx="48">
                  <c:v>1.1750787150915634</c:v>
                </c:pt>
                <c:pt idx="49">
                  <c:v>1.0449803630752623</c:v>
                </c:pt>
                <c:pt idx="50">
                  <c:v>0.95205998562782046</c:v>
                </c:pt>
                <c:pt idx="51">
                  <c:v>1.0090268772278086</c:v>
                </c:pt>
                <c:pt idx="52">
                  <c:v>1.1375359281539659</c:v>
                </c:pt>
                <c:pt idx="53">
                  <c:v>1.1575321591362187</c:v>
                </c:pt>
                <c:pt idx="54">
                  <c:v>1.1926721659389283</c:v>
                </c:pt>
                <c:pt idx="55">
                  <c:v>0.89539760345706021</c:v>
                </c:pt>
                <c:pt idx="56">
                  <c:v>0.6663116178665659</c:v>
                </c:pt>
                <c:pt idx="57">
                  <c:v>0.68833204701557549</c:v>
                </c:pt>
                <c:pt idx="58">
                  <c:v>0.91637839117738618</c:v>
                </c:pt>
                <c:pt idx="59">
                  <c:v>0.63329806512621767</c:v>
                </c:pt>
                <c:pt idx="60">
                  <c:v>0.6710605085039808</c:v>
                </c:pt>
                <c:pt idx="61">
                  <c:v>0.54349510758628705</c:v>
                </c:pt>
                <c:pt idx="62">
                  <c:v>0.8974871629442589</c:v>
                </c:pt>
                <c:pt idx="63">
                  <c:v>0.89460648993570036</c:v>
                </c:pt>
                <c:pt idx="64">
                  <c:v>0.84911064594111529</c:v>
                </c:pt>
                <c:pt idx="65">
                  <c:v>0.76672047224906259</c:v>
                </c:pt>
                <c:pt idx="66">
                  <c:v>0.64076910855703095</c:v>
                </c:pt>
                <c:pt idx="67">
                  <c:v>0.78236075707756925</c:v>
                </c:pt>
                <c:pt idx="68">
                  <c:v>0.72724432769699732</c:v>
                </c:pt>
                <c:pt idx="69">
                  <c:v>0.80566946997563305</c:v>
                </c:pt>
                <c:pt idx="70">
                  <c:v>0.90001129456862872</c:v>
                </c:pt>
                <c:pt idx="71">
                  <c:v>0.99999899951918736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3-43EC-A1E1-745C13BF9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30752"/>
        <c:axId val="51124864"/>
      </c:lineChart>
      <c:catAx>
        <c:axId val="5105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23328"/>
        <c:crosses val="autoZero"/>
        <c:auto val="1"/>
        <c:lblAlgn val="ctr"/>
        <c:lblOffset val="100"/>
        <c:noMultiLvlLbl val="0"/>
      </c:catAx>
      <c:valAx>
        <c:axId val="511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1904"/>
        <c:crosses val="autoZero"/>
        <c:crossBetween val="between"/>
      </c:valAx>
      <c:valAx>
        <c:axId val="51124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0752"/>
        <c:crosses val="max"/>
        <c:crossBetween val="between"/>
      </c:valAx>
      <c:catAx>
        <c:axId val="51130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12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fit'!$DB$1</c:f>
              <c:strCache>
                <c:ptCount val="1"/>
                <c:pt idx="0">
                  <c:v>alt lnbin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'relm fit'!$DA$2:$DA$73</c:f>
              <c:numCache>
                <c:formatCode>General</c:formatCode>
                <c:ptCount val="72"/>
                <c:pt idx="0">
                  <c:v>-0.57054538394977028</c:v>
                </c:pt>
                <c:pt idx="1">
                  <c:v>-1.0044969382189075</c:v>
                </c:pt>
                <c:pt idx="2">
                  <c:v>-0.3227115463430944</c:v>
                </c:pt>
                <c:pt idx="3">
                  <c:v>-0.59581361114066567</c:v>
                </c:pt>
                <c:pt idx="4">
                  <c:v>-0.62111050835665993</c:v>
                </c:pt>
                <c:pt idx="5">
                  <c:v>-0.94921071913707589</c:v>
                </c:pt>
                <c:pt idx="6">
                  <c:v>-0.85918783256356734</c:v>
                </c:pt>
                <c:pt idx="7">
                  <c:v>-0.98175893082289278</c:v>
                </c:pt>
                <c:pt idx="8">
                  <c:v>-1.2234818445001052</c:v>
                </c:pt>
                <c:pt idx="9">
                  <c:v>-1.0002919824049872</c:v>
                </c:pt>
                <c:pt idx="10">
                  <c:v>-0.51075366496335672</c:v>
                </c:pt>
                <c:pt idx="11">
                  <c:v>-0.68622352184861934</c:v>
                </c:pt>
                <c:pt idx="12">
                  <c:v>-0.37597164880753048</c:v>
                </c:pt>
                <c:pt idx="13">
                  <c:v>-0.73178225981623413</c:v>
                </c:pt>
                <c:pt idx="14">
                  <c:v>-0.66311554707448306</c:v>
                </c:pt>
                <c:pt idx="15">
                  <c:v>-0.9336683839924006</c:v>
                </c:pt>
                <c:pt idx="16">
                  <c:v>-0.90009595943410858</c:v>
                </c:pt>
                <c:pt idx="17">
                  <c:v>-1.0417893268272895</c:v>
                </c:pt>
                <c:pt idx="18">
                  <c:v>-0.91275184220950822</c:v>
                </c:pt>
                <c:pt idx="19">
                  <c:v>-0.97423042062349408</c:v>
                </c:pt>
                <c:pt idx="20">
                  <c:v>-1.0339051102809378</c:v>
                </c:pt>
                <c:pt idx="21">
                  <c:v>-0.93509585834023734</c:v>
                </c:pt>
                <c:pt idx="22">
                  <c:v>-1.1981242467261504</c:v>
                </c:pt>
                <c:pt idx="23">
                  <c:v>-1.1954253683047233</c:v>
                </c:pt>
                <c:pt idx="24">
                  <c:v>-1.4038246428663768</c:v>
                </c:pt>
                <c:pt idx="25">
                  <c:v>-1.3336058435391542</c:v>
                </c:pt>
                <c:pt idx="26">
                  <c:v>-1.3144891640548231</c:v>
                </c:pt>
                <c:pt idx="27">
                  <c:v>-1.48545043071512</c:v>
                </c:pt>
                <c:pt idx="28">
                  <c:v>-1.2978871315859291</c:v>
                </c:pt>
                <c:pt idx="29">
                  <c:v>-1.4970635711261113</c:v>
                </c:pt>
                <c:pt idx="30">
                  <c:v>-1.4344610587045199</c:v>
                </c:pt>
                <c:pt idx="31">
                  <c:v>-1.474797996963779</c:v>
                </c:pt>
                <c:pt idx="32">
                  <c:v>-1.5732107206549022</c:v>
                </c:pt>
                <c:pt idx="33">
                  <c:v>-1.6368416953794587</c:v>
                </c:pt>
                <c:pt idx="34">
                  <c:v>-1.3869443760996942</c:v>
                </c:pt>
                <c:pt idx="35">
                  <c:v>-1.1157068202081943</c:v>
                </c:pt>
                <c:pt idx="36">
                  <c:v>-1.2688810508154127</c:v>
                </c:pt>
                <c:pt idx="37">
                  <c:v>-1.5093363923379006</c:v>
                </c:pt>
                <c:pt idx="38">
                  <c:v>-0.92215259212471579</c:v>
                </c:pt>
                <c:pt idx="39">
                  <c:v>-1.1316721781405383</c:v>
                </c:pt>
                <c:pt idx="40">
                  <c:v>-1.3833157142848411</c:v>
                </c:pt>
                <c:pt idx="41">
                  <c:v>-1.7024552703086551</c:v>
                </c:pt>
                <c:pt idx="42">
                  <c:v>-1.3807766228218519</c:v>
                </c:pt>
                <c:pt idx="43">
                  <c:v>-1.4358268851429419</c:v>
                </c:pt>
                <c:pt idx="44">
                  <c:v>-1.6419596553194995</c:v>
                </c:pt>
                <c:pt idx="45">
                  <c:v>-1.6356338338908252</c:v>
                </c:pt>
                <c:pt idx="46">
                  <c:v>-1.724105591607475</c:v>
                </c:pt>
                <c:pt idx="47">
                  <c:v>-1.0754736844585866</c:v>
                </c:pt>
                <c:pt idx="48">
                  <c:v>-1.2551835428204994</c:v>
                </c:pt>
                <c:pt idx="49">
                  <c:v>-1.3884122752689572</c:v>
                </c:pt>
                <c:pt idx="50">
                  <c:v>-1.4556181314301133</c:v>
                </c:pt>
                <c:pt idx="51">
                  <c:v>-1.4439516737873153</c:v>
                </c:pt>
                <c:pt idx="52">
                  <c:v>-1.2178621216935046</c:v>
                </c:pt>
                <c:pt idx="53">
                  <c:v>-1.0955569986825135</c:v>
                </c:pt>
                <c:pt idx="54">
                  <c:v>-1.2578405581872023</c:v>
                </c:pt>
                <c:pt idx="55">
                  <c:v>-0.87373350488746138</c:v>
                </c:pt>
                <c:pt idx="56">
                  <c:v>-0.7595505075203921</c:v>
                </c:pt>
                <c:pt idx="57">
                  <c:v>-0.74532860481207586</c:v>
                </c:pt>
                <c:pt idx="58">
                  <c:v>-0.98320068326487498</c:v>
                </c:pt>
                <c:pt idx="59">
                  <c:v>-0.69458430650477698</c:v>
                </c:pt>
                <c:pt idx="60">
                  <c:v>-0.82321248639654954</c:v>
                </c:pt>
                <c:pt idx="61">
                  <c:v>-0.71852430230547359</c:v>
                </c:pt>
                <c:pt idx="62">
                  <c:v>-1.0118156170471218</c:v>
                </c:pt>
                <c:pt idx="63">
                  <c:v>-1.0033336206140788</c:v>
                </c:pt>
                <c:pt idx="64">
                  <c:v>-0.69206555814195636</c:v>
                </c:pt>
                <c:pt idx="65">
                  <c:v>-0.96946269725411938</c:v>
                </c:pt>
                <c:pt idx="66">
                  <c:v>-0.82840529567721821</c:v>
                </c:pt>
                <c:pt idx="67">
                  <c:v>-0.96596095222752443</c:v>
                </c:pt>
                <c:pt idx="68">
                  <c:v>-1.3064704612103095</c:v>
                </c:pt>
                <c:pt idx="69">
                  <c:v>-1.1331033481167199</c:v>
                </c:pt>
                <c:pt idx="70">
                  <c:v>-1.2011254766718784</c:v>
                </c:pt>
                <c:pt idx="71">
                  <c:v>-0.92545625930043351</c:v>
                </c:pt>
              </c:numCache>
            </c:numRef>
          </c:xVal>
          <c:yVal>
            <c:numRef>
              <c:f>'relm fit'!$DB$2:$DB$73</c:f>
              <c:numCache>
                <c:formatCode>General</c:formatCode>
                <c:ptCount val="72"/>
                <c:pt idx="0">
                  <c:v>-0.56612137302632759</c:v>
                </c:pt>
                <c:pt idx="1">
                  <c:v>-0.99944308816300242</c:v>
                </c:pt>
                <c:pt idx="2">
                  <c:v>-0.32008168920643482</c:v>
                </c:pt>
                <c:pt idx="3">
                  <c:v>-0.58902468414860087</c:v>
                </c:pt>
                <c:pt idx="4">
                  <c:v>-0.61802152327313176</c:v>
                </c:pt>
                <c:pt idx="5">
                  <c:v>-0.94243339434145623</c:v>
                </c:pt>
                <c:pt idx="6">
                  <c:v>-0.85682023343387193</c:v>
                </c:pt>
                <c:pt idx="7">
                  <c:v>-0.97781711150400064</c:v>
                </c:pt>
                <c:pt idx="8">
                  <c:v>-1.2163530409858443</c:v>
                </c:pt>
                <c:pt idx="9">
                  <c:v>-0.99316739222799277</c:v>
                </c:pt>
                <c:pt idx="10">
                  <c:v>-0.50766863003819052</c:v>
                </c:pt>
                <c:pt idx="11">
                  <c:v>-0.6829525750405544</c:v>
                </c:pt>
                <c:pt idx="12">
                  <c:v>-0.3719855653269028</c:v>
                </c:pt>
                <c:pt idx="13">
                  <c:v>-0.72745587746513507</c:v>
                </c:pt>
                <c:pt idx="14">
                  <c:v>-0.65873466784209245</c:v>
                </c:pt>
                <c:pt idx="15">
                  <c:v>-0.92868821218281072</c:v>
                </c:pt>
                <c:pt idx="16">
                  <c:v>-0.89597890141967806</c:v>
                </c:pt>
                <c:pt idx="17">
                  <c:v>-1.0336013122174668</c:v>
                </c:pt>
                <c:pt idx="18">
                  <c:v>-0.90551808311850801</c:v>
                </c:pt>
                <c:pt idx="19">
                  <c:v>-0.96959605465966503</c:v>
                </c:pt>
                <c:pt idx="20">
                  <c:v>-1.0290609859504429</c:v>
                </c:pt>
                <c:pt idx="21">
                  <c:v>-0.92649674467247845</c:v>
                </c:pt>
                <c:pt idx="22">
                  <c:v>-1.1899982101220092</c:v>
                </c:pt>
                <c:pt idx="23">
                  <c:v>-1.1879096948511414</c:v>
                </c:pt>
                <c:pt idx="24">
                  <c:v>-1.3942556196300464</c:v>
                </c:pt>
                <c:pt idx="25">
                  <c:v>-1.3252075675576664</c:v>
                </c:pt>
                <c:pt idx="26">
                  <c:v>-1.3059411983980576</c:v>
                </c:pt>
                <c:pt idx="27">
                  <c:v>-1.4753478607886961</c:v>
                </c:pt>
                <c:pt idx="28">
                  <c:v>-1.2877526616684836</c:v>
                </c:pt>
                <c:pt idx="29">
                  <c:v>-1.4818574109734177</c:v>
                </c:pt>
                <c:pt idx="30">
                  <c:v>-1.4269917958609442</c:v>
                </c:pt>
                <c:pt idx="31">
                  <c:v>-1.4641409649702393</c:v>
                </c:pt>
                <c:pt idx="32">
                  <c:v>-1.5627423454270479</c:v>
                </c:pt>
                <c:pt idx="33">
                  <c:v>-1.6247303274295242</c:v>
                </c:pt>
                <c:pt idx="34">
                  <c:v>-1.3693750186904023</c:v>
                </c:pt>
                <c:pt idx="35">
                  <c:v>-1.1056645198490886</c:v>
                </c:pt>
                <c:pt idx="36">
                  <c:v>-1.2587688257783418</c:v>
                </c:pt>
                <c:pt idx="37">
                  <c:v>-1.4955024782011781</c:v>
                </c:pt>
                <c:pt idx="38">
                  <c:v>-0.91361046281113611</c:v>
                </c:pt>
                <c:pt idx="39">
                  <c:v>-1.1223190015961133</c:v>
                </c:pt>
                <c:pt idx="40">
                  <c:v>-1.3751698115222486</c:v>
                </c:pt>
                <c:pt idx="41">
                  <c:v>-1.6902672330405029</c:v>
                </c:pt>
                <c:pt idx="42">
                  <c:v>-1.3676005731713654</c:v>
                </c:pt>
                <c:pt idx="43">
                  <c:v>-1.4248652921878615</c:v>
                </c:pt>
                <c:pt idx="44">
                  <c:v>-1.6270536274899443</c:v>
                </c:pt>
                <c:pt idx="45">
                  <c:v>-1.6226958992178955</c:v>
                </c:pt>
                <c:pt idx="46">
                  <c:v>-1.7128649319231397</c:v>
                </c:pt>
                <c:pt idx="47">
                  <c:v>-1.0648367226670659</c:v>
                </c:pt>
                <c:pt idx="48">
                  <c:v>-1.2448345882612544</c:v>
                </c:pt>
                <c:pt idx="49">
                  <c:v>-1.3783035633965639</c:v>
                </c:pt>
                <c:pt idx="50">
                  <c:v>-1.445309418359054</c:v>
                </c:pt>
                <c:pt idx="51">
                  <c:v>-1.4347018621260623</c:v>
                </c:pt>
                <c:pt idx="52">
                  <c:v>-1.2088249327060137</c:v>
                </c:pt>
                <c:pt idx="53">
                  <c:v>-1.0878367065913737</c:v>
                </c:pt>
                <c:pt idx="54">
                  <c:v>-1.2502928332303134</c:v>
                </c:pt>
                <c:pt idx="55">
                  <c:v>-0.8692831496641823</c:v>
                </c:pt>
                <c:pt idx="56">
                  <c:v>-0.75586606204629581</c:v>
                </c:pt>
                <c:pt idx="57">
                  <c:v>-0.73726163117428811</c:v>
                </c:pt>
                <c:pt idx="58">
                  <c:v>-0.97854812338059616</c:v>
                </c:pt>
                <c:pt idx="59">
                  <c:v>-0.68865466142484655</c:v>
                </c:pt>
                <c:pt idx="60">
                  <c:v>-0.81968364850709996</c:v>
                </c:pt>
                <c:pt idx="61">
                  <c:v>-0.71319640175978749</c:v>
                </c:pt>
                <c:pt idx="62">
                  <c:v>-1.0072516676043493</c:v>
                </c:pt>
                <c:pt idx="63">
                  <c:v>-0.99800270713980277</c:v>
                </c:pt>
                <c:pt idx="64">
                  <c:v>-0.68544684868557226</c:v>
                </c:pt>
                <c:pt idx="65">
                  <c:v>-0.96113072940666999</c:v>
                </c:pt>
                <c:pt idx="66">
                  <c:v>-0.82091764458286287</c:v>
                </c:pt>
                <c:pt idx="67">
                  <c:v>-0.95947537793141413</c:v>
                </c:pt>
                <c:pt idx="68">
                  <c:v>-1.2996697521075682</c:v>
                </c:pt>
                <c:pt idx="69">
                  <c:v>-1.1264282925007172</c:v>
                </c:pt>
                <c:pt idx="70">
                  <c:v>-1.191766572594853</c:v>
                </c:pt>
                <c:pt idx="71">
                  <c:v>-0.91836861576253026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C-40B1-ADC3-3B5385B14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5056"/>
        <c:axId val="51166592"/>
      </c:scatterChart>
      <c:valAx>
        <c:axId val="5116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6592"/>
        <c:crosses val="autoZero"/>
        <c:crossBetween val="midCat"/>
      </c:valAx>
      <c:valAx>
        <c:axId val="511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'relm fit'!$BV$1</c:f>
              <c:strCache>
                <c:ptCount val="1"/>
                <c:pt idx="0">
                  <c:v>alt vpa SSB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'relm fit'!$BV$2:$BV$83</c:f>
              <c:numCache>
                <c:formatCode>General</c:formatCode>
                <c:ptCount val="82"/>
                <c:pt idx="0">
                  <c:v>24.806645330737556</c:v>
                </c:pt>
                <c:pt idx="1">
                  <c:v>10.18114392948954</c:v>
                </c:pt>
                <c:pt idx="2">
                  <c:v>22.623177298452404</c:v>
                </c:pt>
                <c:pt idx="3">
                  <c:v>20.794354891600147</c:v>
                </c:pt>
                <c:pt idx="4">
                  <c:v>26.361135971771517</c:v>
                </c:pt>
                <c:pt idx="5">
                  <c:v>26.188071009146938</c:v>
                </c:pt>
                <c:pt idx="6">
                  <c:v>36.13608380176322</c:v>
                </c:pt>
                <c:pt idx="7">
                  <c:v>43.796579996051783</c:v>
                </c:pt>
                <c:pt idx="8">
                  <c:v>21.830796723373055</c:v>
                </c:pt>
                <c:pt idx="9">
                  <c:v>8.7608024246786087</c:v>
                </c:pt>
                <c:pt idx="10">
                  <c:v>8.1700092316216146</c:v>
                </c:pt>
                <c:pt idx="11">
                  <c:v>15.973825907406626</c:v>
                </c:pt>
                <c:pt idx="12">
                  <c:v>13.620104368842913</c:v>
                </c:pt>
                <c:pt idx="13">
                  <c:v>14.629983451715868</c:v>
                </c:pt>
                <c:pt idx="14">
                  <c:v>12.921036768035282</c:v>
                </c:pt>
                <c:pt idx="15">
                  <c:v>11.129480469272647</c:v>
                </c:pt>
                <c:pt idx="16">
                  <c:v>3.7962470174332821</c:v>
                </c:pt>
                <c:pt idx="17">
                  <c:v>5.5828605936101301</c:v>
                </c:pt>
                <c:pt idx="18">
                  <c:v>8.9670080714741864</c:v>
                </c:pt>
                <c:pt idx="19">
                  <c:v>20.094642669019155</c:v>
                </c:pt>
                <c:pt idx="20">
                  <c:v>38.784100301639533</c:v>
                </c:pt>
                <c:pt idx="21">
                  <c:v>49.686832835136393</c:v>
                </c:pt>
                <c:pt idx="22">
                  <c:v>45.699360263665653</c:v>
                </c:pt>
                <c:pt idx="23">
                  <c:v>48.098721061794947</c:v>
                </c:pt>
                <c:pt idx="24">
                  <c:v>69.679471971689637</c:v>
                </c:pt>
                <c:pt idx="25">
                  <c:v>64.552807532498704</c:v>
                </c:pt>
                <c:pt idx="26">
                  <c:v>56.850719420408709</c:v>
                </c:pt>
                <c:pt idx="27">
                  <c:v>49.27852466197043</c:v>
                </c:pt>
                <c:pt idx="28">
                  <c:v>41.135529234681186</c:v>
                </c:pt>
                <c:pt idx="29">
                  <c:v>43.750052337747441</c:v>
                </c:pt>
                <c:pt idx="30">
                  <c:v>40.422530393770252</c:v>
                </c:pt>
                <c:pt idx="31">
                  <c:v>31.108410847395774</c:v>
                </c:pt>
                <c:pt idx="32">
                  <c:v>21.331100035643658</c:v>
                </c:pt>
                <c:pt idx="33">
                  <c:v>17.847983279440502</c:v>
                </c:pt>
                <c:pt idx="34">
                  <c:v>26.041297219016421</c:v>
                </c:pt>
                <c:pt idx="35">
                  <c:v>36.502032526885486</c:v>
                </c:pt>
                <c:pt idx="36">
                  <c:v>29.946118555059623</c:v>
                </c:pt>
                <c:pt idx="37">
                  <c:v>45.866367118627714</c:v>
                </c:pt>
                <c:pt idx="38">
                  <c:v>41.679909451125205</c:v>
                </c:pt>
                <c:pt idx="39">
                  <c:v>38.966339094832755</c:v>
                </c:pt>
                <c:pt idx="40">
                  <c:v>29.11388052461492</c:v>
                </c:pt>
                <c:pt idx="41">
                  <c:v>34.670656249642391</c:v>
                </c:pt>
                <c:pt idx="42">
                  <c:v>32.789372929715171</c:v>
                </c:pt>
                <c:pt idx="43">
                  <c:v>28.896430119230221</c:v>
                </c:pt>
                <c:pt idx="44">
                  <c:v>27.136315305364768</c:v>
                </c:pt>
                <c:pt idx="45">
                  <c:v>25.942130678240478</c:v>
                </c:pt>
                <c:pt idx="46">
                  <c:v>32.802907748181148</c:v>
                </c:pt>
                <c:pt idx="47">
                  <c:v>27.014639616550681</c:v>
                </c:pt>
                <c:pt idx="48">
                  <c:v>19.204646263989165</c:v>
                </c:pt>
                <c:pt idx="49">
                  <c:v>15.779148802811266</c:v>
                </c:pt>
                <c:pt idx="50">
                  <c:v>15.352484042629319</c:v>
                </c:pt>
                <c:pt idx="51">
                  <c:v>16.828606675438223</c:v>
                </c:pt>
                <c:pt idx="52">
                  <c:v>18.213134574908249</c:v>
                </c:pt>
                <c:pt idx="53">
                  <c:v>11.685298205980668</c:v>
                </c:pt>
                <c:pt idx="54">
                  <c:v>6.5086771351291697</c:v>
                </c:pt>
                <c:pt idx="55">
                  <c:v>5.3261950770865365</c:v>
                </c:pt>
                <c:pt idx="56">
                  <c:v>5.9572362273168995</c:v>
                </c:pt>
                <c:pt idx="57">
                  <c:v>4.8032922763887624</c:v>
                </c:pt>
                <c:pt idx="58">
                  <c:v>7.9227660305862955</c:v>
                </c:pt>
                <c:pt idx="59">
                  <c:v>7.3275316119367879</c:v>
                </c:pt>
                <c:pt idx="60">
                  <c:v>11.761746300496046</c:v>
                </c:pt>
                <c:pt idx="61">
                  <c:v>10.393310858414925</c:v>
                </c:pt>
                <c:pt idx="62">
                  <c:v>8.3802102795881748</c:v>
                </c:pt>
                <c:pt idx="63">
                  <c:v>15.948034853094395</c:v>
                </c:pt>
                <c:pt idx="64">
                  <c:v>17.022121610239317</c:v>
                </c:pt>
                <c:pt idx="65">
                  <c:v>29.977034223720111</c:v>
                </c:pt>
                <c:pt idx="66">
                  <c:v>27.256778588382168</c:v>
                </c:pt>
                <c:pt idx="67">
                  <c:v>22.288353875603043</c:v>
                </c:pt>
                <c:pt idx="68">
                  <c:v>21.172316974514551</c:v>
                </c:pt>
                <c:pt idx="69">
                  <c:v>19.199980402331164</c:v>
                </c:pt>
                <c:pt idx="70">
                  <c:v>25.694949174545709</c:v>
                </c:pt>
                <c:pt idx="71">
                  <c:v>26.777118712349981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B-47F0-AD56-E1BCCE815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00384"/>
        <c:axId val="512019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50B-47F0-AD56-E1BCCE815E60}"/>
                  </c:ext>
                </c:extLst>
              </c15:ser>
            </c15:filteredLineSeries>
          </c:ext>
        </c:extLst>
      </c:lineChart>
      <c:catAx>
        <c:axId val="5120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01920"/>
        <c:crosses val="autoZero"/>
        <c:auto val="1"/>
        <c:lblAlgn val="ctr"/>
        <c:lblOffset val="100"/>
        <c:noMultiLvlLbl val="0"/>
      </c:catAx>
      <c:valAx>
        <c:axId val="512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0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vul 4 vs vul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fit'!$EA$1</c:f>
              <c:strCache>
                <c:ptCount val="1"/>
                <c:pt idx="0">
                  <c:v>vul4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294539349657454E-2"/>
                  <c:y val="-0.229244554956946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('relm fit'!$DZ$2:$DZ$18,'relm fit'!$DZ$23:$DZ$51,'relm fit'!$DY$53:$DY$56)</c:f>
              <c:numCache>
                <c:formatCode>0.000</c:formatCode>
                <c:ptCount val="50"/>
                <c:pt idx="0">
                  <c:v>1.1499909791756564</c:v>
                </c:pt>
                <c:pt idx="1">
                  <c:v>0.39759144807186375</c:v>
                </c:pt>
                <c:pt idx="2">
                  <c:v>0.53283446227248255</c:v>
                </c:pt>
                <c:pt idx="3">
                  <c:v>1.0026119416110211</c:v>
                </c:pt>
                <c:pt idx="4">
                  <c:v>2.6408513644298153</c:v>
                </c:pt>
                <c:pt idx="5">
                  <c:v>2.4262331058076567</c:v>
                </c:pt>
                <c:pt idx="6">
                  <c:v>2.1606106646727761</c:v>
                </c:pt>
                <c:pt idx="7">
                  <c:v>1.0548742099120143</c:v>
                </c:pt>
                <c:pt idx="8">
                  <c:v>0.79539265146930072</c:v>
                </c:pt>
                <c:pt idx="9">
                  <c:v>0.84855680517398391</c:v>
                </c:pt>
                <c:pt idx="10">
                  <c:v>0.81295760293187869</c:v>
                </c:pt>
                <c:pt idx="11">
                  <c:v>0.84960814696593934</c:v>
                </c:pt>
                <c:pt idx="12">
                  <c:v>0.59626144275956583</c:v>
                </c:pt>
                <c:pt idx="13">
                  <c:v>0.69009313488302648</c:v>
                </c:pt>
                <c:pt idx="14">
                  <c:v>0.48018159654276749</c:v>
                </c:pt>
                <c:pt idx="15">
                  <c:v>0.65185753182309891</c:v>
                </c:pt>
                <c:pt idx="16">
                  <c:v>0.65237879760546225</c:v>
                </c:pt>
                <c:pt idx="17">
                  <c:v>0.27220961686519818</c:v>
                </c:pt>
                <c:pt idx="18">
                  <c:v>0.43916352679601534</c:v>
                </c:pt>
                <c:pt idx="19">
                  <c:v>0.92595309275311322</c:v>
                </c:pt>
                <c:pt idx="20">
                  <c:v>0.80677520928436686</c:v>
                </c:pt>
                <c:pt idx="21">
                  <c:v>0.1554586545534333</c:v>
                </c:pt>
                <c:pt idx="22">
                  <c:v>0.32611680300537088</c:v>
                </c:pt>
                <c:pt idx="23">
                  <c:v>0.6811451090649413</c:v>
                </c:pt>
                <c:pt idx="24">
                  <c:v>0.57997839888148928</c:v>
                </c:pt>
                <c:pt idx="25">
                  <c:v>0.61758819204071747</c:v>
                </c:pt>
                <c:pt idx="26">
                  <c:v>0.8302496491354131</c:v>
                </c:pt>
                <c:pt idx="27">
                  <c:v>0.76779639062390548</c:v>
                </c:pt>
                <c:pt idx="28">
                  <c:v>0.71070169990538812</c:v>
                </c:pt>
                <c:pt idx="29">
                  <c:v>0.92099546706686142</c:v>
                </c:pt>
                <c:pt idx="30">
                  <c:v>1.2605293996140583</c:v>
                </c:pt>
                <c:pt idx="31">
                  <c:v>0.89823761565670746</c:v>
                </c:pt>
                <c:pt idx="32">
                  <c:v>0.57663528345815374</c:v>
                </c:pt>
                <c:pt idx="33">
                  <c:v>0.61558435136690004</c:v>
                </c:pt>
                <c:pt idx="34">
                  <c:v>0.50983451121629264</c:v>
                </c:pt>
                <c:pt idx="35">
                  <c:v>0.79821702467998201</c:v>
                </c:pt>
                <c:pt idx="36">
                  <c:v>0.56347933636162373</c:v>
                </c:pt>
                <c:pt idx="37">
                  <c:v>0.64600061977937906</c:v>
                </c:pt>
                <c:pt idx="38">
                  <c:v>0.71290492550076245</c:v>
                </c:pt>
                <c:pt idx="39">
                  <c:v>0.55026667922897465</c:v>
                </c:pt>
                <c:pt idx="40">
                  <c:v>0.57088286325021909</c:v>
                </c:pt>
                <c:pt idx="41">
                  <c:v>0.59610054487573982</c:v>
                </c:pt>
                <c:pt idx="42">
                  <c:v>1.0463593477026052</c:v>
                </c:pt>
                <c:pt idx="43">
                  <c:v>0.46923930486010534</c:v>
                </c:pt>
                <c:pt idx="44">
                  <c:v>0.82172903974785882</c:v>
                </c:pt>
                <c:pt idx="45">
                  <c:v>0.51689209152505322</c:v>
                </c:pt>
                <c:pt idx="46">
                  <c:v>6.2430738388762154E-2</c:v>
                </c:pt>
                <c:pt idx="47">
                  <c:v>2.5862618177765095E-2</c:v>
                </c:pt>
                <c:pt idx="48">
                  <c:v>6.2411630780501597E-2</c:v>
                </c:pt>
                <c:pt idx="49">
                  <c:v>2.5655508906704514E-2</c:v>
                </c:pt>
              </c:numCache>
            </c:numRef>
          </c:xVal>
          <c:yVal>
            <c:numRef>
              <c:f>('relm fit'!$EA$2:$EA$18,'relm fit'!$EA$23:$EA$51,'relm fit'!$EA$23:$EA$51,'relm fit'!$EA$53:$EA$56)</c:f>
              <c:numCache>
                <c:formatCode>0.000</c:formatCode>
                <c:ptCount val="79"/>
                <c:pt idx="0">
                  <c:v>1.014221413593315</c:v>
                </c:pt>
                <c:pt idx="1">
                  <c:v>0.95050727250224465</c:v>
                </c:pt>
                <c:pt idx="2">
                  <c:v>1.050800538624123</c:v>
                </c:pt>
                <c:pt idx="3">
                  <c:v>1.0344542314767196</c:v>
                </c:pt>
                <c:pt idx="4">
                  <c:v>1.2910645897530335</c:v>
                </c:pt>
                <c:pt idx="5">
                  <c:v>1.5663211626508726</c:v>
                </c:pt>
                <c:pt idx="6">
                  <c:v>2.480265750186172</c:v>
                </c:pt>
                <c:pt idx="7">
                  <c:v>1.2145935761232927</c:v>
                </c:pt>
                <c:pt idx="8">
                  <c:v>0.9617374514927246</c:v>
                </c:pt>
                <c:pt idx="9">
                  <c:v>0.94964518357061645</c:v>
                </c:pt>
                <c:pt idx="10">
                  <c:v>1.0129428776002971</c:v>
                </c:pt>
                <c:pt idx="11">
                  <c:v>0.96835856904488438</c:v>
                </c:pt>
                <c:pt idx="12">
                  <c:v>1.0014996428873844</c:v>
                </c:pt>
                <c:pt idx="13">
                  <c:v>0.98042409522847418</c:v>
                </c:pt>
                <c:pt idx="14">
                  <c:v>0.99187930530125634</c:v>
                </c:pt>
                <c:pt idx="15">
                  <c:v>0.81234550567886021</c:v>
                </c:pt>
                <c:pt idx="16">
                  <c:v>0.94779584811021589</c:v>
                </c:pt>
                <c:pt idx="17">
                  <c:v>0.86981398974509738</c:v>
                </c:pt>
                <c:pt idx="18">
                  <c:v>0.64253317925327313</c:v>
                </c:pt>
                <c:pt idx="19">
                  <c:v>0.94752586506544434</c:v>
                </c:pt>
                <c:pt idx="20">
                  <c:v>0.86110183439880184</c:v>
                </c:pt>
                <c:pt idx="21">
                  <c:v>0.82644831612467362</c:v>
                </c:pt>
                <c:pt idx="22">
                  <c:v>0.7280960389837926</c:v>
                </c:pt>
                <c:pt idx="23">
                  <c:v>0.78662683782791443</c:v>
                </c:pt>
                <c:pt idx="24">
                  <c:v>1.0206137223689484</c:v>
                </c:pt>
                <c:pt idx="25">
                  <c:v>0.97868396041248484</c:v>
                </c:pt>
                <c:pt idx="26">
                  <c:v>0.80139779109813025</c:v>
                </c:pt>
                <c:pt idx="27">
                  <c:v>0.78141314429002973</c:v>
                </c:pt>
                <c:pt idx="28">
                  <c:v>0.92200240480290196</c:v>
                </c:pt>
                <c:pt idx="29">
                  <c:v>0.80493928593403097</c:v>
                </c:pt>
                <c:pt idx="30">
                  <c:v>1.2009627320853526</c:v>
                </c:pt>
                <c:pt idx="31">
                  <c:v>0.98855714471247536</c:v>
                </c:pt>
                <c:pt idx="32">
                  <c:v>0.80943897318227231</c:v>
                </c:pt>
                <c:pt idx="33">
                  <c:v>0.57864920369176009</c:v>
                </c:pt>
                <c:pt idx="34">
                  <c:v>0.99939817050022695</c:v>
                </c:pt>
                <c:pt idx="35">
                  <c:v>0.53995134346364437</c:v>
                </c:pt>
                <c:pt idx="36">
                  <c:v>0.82912232538622543</c:v>
                </c:pt>
                <c:pt idx="37">
                  <c:v>0.49779282271779285</c:v>
                </c:pt>
                <c:pt idx="38">
                  <c:v>0.99860372802656161</c:v>
                </c:pt>
                <c:pt idx="39">
                  <c:v>0.81447980972510103</c:v>
                </c:pt>
                <c:pt idx="40">
                  <c:v>0.74797691823345935</c:v>
                </c:pt>
                <c:pt idx="41">
                  <c:v>0.84488389472145287</c:v>
                </c:pt>
                <c:pt idx="42">
                  <c:v>0.69051194220140588</c:v>
                </c:pt>
                <c:pt idx="43">
                  <c:v>0.98597249540025189</c:v>
                </c:pt>
                <c:pt idx="44">
                  <c:v>0.70889482115141378</c:v>
                </c:pt>
                <c:pt idx="45">
                  <c:v>1.0054636142512763</c:v>
                </c:pt>
                <c:pt idx="46">
                  <c:v>0.86981398974509738</c:v>
                </c:pt>
                <c:pt idx="47">
                  <c:v>0.64253317925327313</c:v>
                </c:pt>
                <c:pt idx="48">
                  <c:v>0.94752586506544434</c:v>
                </c:pt>
                <c:pt idx="49">
                  <c:v>0.86110183439880184</c:v>
                </c:pt>
                <c:pt idx="50">
                  <c:v>0.82644831612467362</c:v>
                </c:pt>
                <c:pt idx="51">
                  <c:v>0.7280960389837926</c:v>
                </c:pt>
                <c:pt idx="52">
                  <c:v>0.78662683782791443</c:v>
                </c:pt>
                <c:pt idx="53">
                  <c:v>1.0206137223689484</c:v>
                </c:pt>
                <c:pt idx="54">
                  <c:v>0.97868396041248484</c:v>
                </c:pt>
                <c:pt idx="55">
                  <c:v>0.80139779109813025</c:v>
                </c:pt>
                <c:pt idx="56">
                  <c:v>0.78141314429002973</c:v>
                </c:pt>
                <c:pt idx="57">
                  <c:v>0.92200240480290196</c:v>
                </c:pt>
                <c:pt idx="58">
                  <c:v>0.80493928593403097</c:v>
                </c:pt>
                <c:pt idx="59">
                  <c:v>1.2009627320853526</c:v>
                </c:pt>
                <c:pt idx="60">
                  <c:v>0.98855714471247536</c:v>
                </c:pt>
                <c:pt idx="61">
                  <c:v>0.80943897318227231</c:v>
                </c:pt>
                <c:pt idx="62">
                  <c:v>0.57864920369176009</c:v>
                </c:pt>
                <c:pt idx="63">
                  <c:v>0.99939817050022695</c:v>
                </c:pt>
                <c:pt idx="64">
                  <c:v>0.53995134346364437</c:v>
                </c:pt>
                <c:pt idx="65">
                  <c:v>0.82912232538622543</c:v>
                </c:pt>
                <c:pt idx="66">
                  <c:v>0.49779282271779285</c:v>
                </c:pt>
                <c:pt idx="67">
                  <c:v>0.99860372802656161</c:v>
                </c:pt>
                <c:pt idx="68">
                  <c:v>0.81447980972510103</c:v>
                </c:pt>
                <c:pt idx="69">
                  <c:v>0.74797691823345935</c:v>
                </c:pt>
                <c:pt idx="70">
                  <c:v>0.84488389472145287</c:v>
                </c:pt>
                <c:pt idx="71">
                  <c:v>0.69051194220140588</c:v>
                </c:pt>
                <c:pt idx="72">
                  <c:v>0.98597249540025189</c:v>
                </c:pt>
                <c:pt idx="73">
                  <c:v>0.70889482115141378</c:v>
                </c:pt>
                <c:pt idx="74">
                  <c:v>1.0054636142512763</c:v>
                </c:pt>
                <c:pt idx="75">
                  <c:v>0.86067844471885901</c:v>
                </c:pt>
                <c:pt idx="76">
                  <c:v>0.99770720650791178</c:v>
                </c:pt>
                <c:pt idx="77">
                  <c:v>0.94965338655026188</c:v>
                </c:pt>
                <c:pt idx="78">
                  <c:v>0.86036541937968025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4-4A3C-97D2-4CB71E443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28032"/>
        <c:axId val="51234304"/>
      </c:scatterChart>
      <c:valAx>
        <c:axId val="5122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vul3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34304"/>
        <c:crosses val="autoZero"/>
        <c:crossBetween val="midCat"/>
      </c:valAx>
      <c:valAx>
        <c:axId val="512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vul4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Estimates of mean vul(age) from VPA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fit'!$DM$77</c:f>
              <c:strCache>
                <c:ptCount val="1"/>
                <c:pt idx="0">
                  <c:v>v(a) from Ubar over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'relm fit'!$DN$75:$DU$75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'relm fit'!$DN$77:$DU$77</c:f>
              <c:numCache>
                <c:formatCode>0.0000</c:formatCode>
                <c:ptCount val="8"/>
                <c:pt idx="0">
                  <c:v>6.2280773614752497E-2</c:v>
                </c:pt>
                <c:pt idx="1">
                  <c:v>0.61880287754821217</c:v>
                </c:pt>
                <c:pt idx="2">
                  <c:v>0.81596127383672834</c:v>
                </c:pt>
                <c:pt idx="3">
                  <c:v>0.89273886093829447</c:v>
                </c:pt>
                <c:pt idx="4">
                  <c:v>0.97569938714109727</c:v>
                </c:pt>
                <c:pt idx="5">
                  <c:v>1.131561751920608</c:v>
                </c:pt>
                <c:pt idx="6">
                  <c:v>1.270431892352591</c:v>
                </c:pt>
                <c:pt idx="7">
                  <c:v>1.6038008843269862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F-4179-89FC-FAD4981990D8}"/>
            </c:ext>
          </c:extLst>
        </c:ser>
        <c:ser>
          <c:idx val="1"/>
          <c:order val="1"/>
          <c:tx>
            <c:strRef>
              <c:f>'relm fit'!$DM$78</c:f>
              <c:strCache>
                <c:ptCount val="1"/>
                <c:pt idx="0">
                  <c:v>v(a) from yearly Ufull (av U over ages 4-10)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'relm fit'!$DN$75:$DU$75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'relm fit'!$DN$78:$DU$78</c:f>
              <c:numCache>
                <c:formatCode>0.00000</c:formatCode>
                <c:ptCount val="8"/>
                <c:pt idx="0">
                  <c:v>6.4278266425908254E-2</c:v>
                </c:pt>
                <c:pt idx="1">
                  <c:v>0.64970951875046046</c:v>
                </c:pt>
                <c:pt idx="2">
                  <c:v>0.84485638687614872</c:v>
                </c:pt>
                <c:pt idx="3">
                  <c:v>0.96340390040230239</c:v>
                </c:pt>
                <c:pt idx="4">
                  <c:v>1.1310563373158442</c:v>
                </c:pt>
                <c:pt idx="5">
                  <c:v>1.4410041319560698</c:v>
                </c:pt>
                <c:pt idx="6">
                  <c:v>1.9612014465776137</c:v>
                </c:pt>
                <c:pt idx="7">
                  <c:v>2.9887406053886543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BF-4179-89FC-FAD498199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6400"/>
        <c:axId val="51693056"/>
      </c:scatterChart>
      <c:valAx>
        <c:axId val="5168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3056"/>
        <c:crosses val="autoZero"/>
        <c:crossBetween val="midCat"/>
      </c:valAx>
      <c:valAx>
        <c:axId val="51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vul(a)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'relm fit'!$G$1</c:f>
              <c:strCache>
                <c:ptCount val="1"/>
                <c:pt idx="0">
                  <c:v>Pred M vpa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fit'!$D$2:$D$73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fit'!$G$2:$G$73</c:f>
              <c:numCache>
                <c:formatCode>General</c:formatCode>
                <c:ptCount val="72"/>
                <c:pt idx="0">
                  <c:v>0.38951090826947499</c:v>
                </c:pt>
                <c:pt idx="1">
                  <c:v>0.4582256086659498</c:v>
                </c:pt>
                <c:pt idx="2">
                  <c:v>0.58029794739561524</c:v>
                </c:pt>
                <c:pt idx="3">
                  <c:v>0.42153222740956114</c:v>
                </c:pt>
                <c:pt idx="4">
                  <c:v>0.42765319709454708</c:v>
                </c:pt>
                <c:pt idx="5">
                  <c:v>0.38710081891871911</c:v>
                </c:pt>
                <c:pt idx="6">
                  <c:v>0.38142532023655029</c:v>
                </c:pt>
                <c:pt idx="7">
                  <c:v>0.24315692799916933</c:v>
                </c:pt>
                <c:pt idx="8">
                  <c:v>0.24198816244418161</c:v>
                </c:pt>
                <c:pt idx="9">
                  <c:v>0.29562338658738413</c:v>
                </c:pt>
                <c:pt idx="10">
                  <c:v>0.37540605410137168</c:v>
                </c:pt>
                <c:pt idx="11">
                  <c:v>0.425507107328499</c:v>
                </c:pt>
                <c:pt idx="12">
                  <c:v>0.37337706059556253</c:v>
                </c:pt>
                <c:pt idx="13">
                  <c:v>0.39776646287287654</c:v>
                </c:pt>
                <c:pt idx="14">
                  <c:v>0.37370410159670803</c:v>
                </c:pt>
                <c:pt idx="15">
                  <c:v>0.2869200067671831</c:v>
                </c:pt>
                <c:pt idx="16">
                  <c:v>0.40755110414824375</c:v>
                </c:pt>
                <c:pt idx="17">
                  <c:v>0.66719239474018754</c:v>
                </c:pt>
                <c:pt idx="18">
                  <c:v>0.56606051807866742</c:v>
                </c:pt>
                <c:pt idx="19">
                  <c:v>0.49751297011495016</c:v>
                </c:pt>
                <c:pt idx="20">
                  <c:v>0.47478900975465638</c:v>
                </c:pt>
                <c:pt idx="21">
                  <c:v>0.4244185491517336</c:v>
                </c:pt>
                <c:pt idx="22">
                  <c:v>0.28323261433090213</c:v>
                </c:pt>
                <c:pt idx="23">
                  <c:v>0.18928468819745423</c:v>
                </c:pt>
                <c:pt idx="24">
                  <c:v>0.14866043976186413</c:v>
                </c:pt>
                <c:pt idx="25">
                  <c:v>0.23099353262479611</c:v>
                </c:pt>
                <c:pt idx="26">
                  <c:v>0.27279931812313613</c:v>
                </c:pt>
                <c:pt idx="27">
                  <c:v>0.28034356715426334</c:v>
                </c:pt>
                <c:pt idx="28">
                  <c:v>0.33815546736443713</c:v>
                </c:pt>
                <c:pt idx="29">
                  <c:v>0.37553803068997504</c:v>
                </c:pt>
                <c:pt idx="30">
                  <c:v>0.40187881281990223</c:v>
                </c:pt>
                <c:pt idx="31">
                  <c:v>0.41469668039006047</c:v>
                </c:pt>
                <c:pt idx="32">
                  <c:v>0.39702851707944098</c:v>
                </c:pt>
                <c:pt idx="33">
                  <c:v>0.40740875226710477</c:v>
                </c:pt>
                <c:pt idx="34">
                  <c:v>0.40283374374207259</c:v>
                </c:pt>
                <c:pt idx="35">
                  <c:v>0.38105545986878825</c:v>
                </c:pt>
                <c:pt idx="36">
                  <c:v>0.30639482191602019</c:v>
                </c:pt>
                <c:pt idx="37">
                  <c:v>0.30982278716543749</c:v>
                </c:pt>
                <c:pt idx="38">
                  <c:v>0.31918343961893297</c:v>
                </c:pt>
                <c:pt idx="39">
                  <c:v>0.34262456479413816</c:v>
                </c:pt>
                <c:pt idx="40">
                  <c:v>0.35369612525958316</c:v>
                </c:pt>
                <c:pt idx="41">
                  <c:v>0.36965267049679157</c:v>
                </c:pt>
                <c:pt idx="42">
                  <c:v>0.34184882486381046</c:v>
                </c:pt>
                <c:pt idx="43">
                  <c:v>0.32842464504445101</c:v>
                </c:pt>
                <c:pt idx="44">
                  <c:v>0.33581825428655304</c:v>
                </c:pt>
                <c:pt idx="45">
                  <c:v>0.39870053517799403</c:v>
                </c:pt>
                <c:pt idx="46">
                  <c:v>0.3755070705375867</c:v>
                </c:pt>
                <c:pt idx="47">
                  <c:v>0.48661914416747909</c:v>
                </c:pt>
                <c:pt idx="48">
                  <c:v>0.50561341704944096</c:v>
                </c:pt>
                <c:pt idx="49">
                  <c:v>0.53199841704768958</c:v>
                </c:pt>
                <c:pt idx="50">
                  <c:v>0.54593385018089025</c:v>
                </c:pt>
                <c:pt idx="51">
                  <c:v>0.55206454160246943</c:v>
                </c:pt>
                <c:pt idx="52">
                  <c:v>0.55137554369742536</c:v>
                </c:pt>
                <c:pt idx="53">
                  <c:v>0.64955999957275989</c:v>
                </c:pt>
                <c:pt idx="54">
                  <c:v>0.81871998858018991</c:v>
                </c:pt>
                <c:pt idx="55">
                  <c:v>1.0956849604339538</c:v>
                </c:pt>
                <c:pt idx="56">
                  <c:v>0.95150669477051664</c:v>
                </c:pt>
                <c:pt idx="57">
                  <c:v>1.0635822853406722</c:v>
                </c:pt>
                <c:pt idx="58">
                  <c:v>0.92313777315006729</c:v>
                </c:pt>
                <c:pt idx="59">
                  <c:v>0.94186467625846793</c:v>
                </c:pt>
                <c:pt idx="60">
                  <c:v>0.75451498153799978</c:v>
                </c:pt>
                <c:pt idx="61">
                  <c:v>0.80178157089665059</c:v>
                </c:pt>
                <c:pt idx="62">
                  <c:v>1.0638372305250334</c:v>
                </c:pt>
                <c:pt idx="63">
                  <c:v>0.78336175133887309</c:v>
                </c:pt>
                <c:pt idx="64">
                  <c:v>0.7671868130163978</c:v>
                </c:pt>
                <c:pt idx="65">
                  <c:v>0.5676213891521289</c:v>
                </c:pt>
                <c:pt idx="66">
                  <c:v>0.57750874622868276</c:v>
                </c:pt>
                <c:pt idx="67">
                  <c:v>0.71035685770214219</c:v>
                </c:pt>
                <c:pt idx="68">
                  <c:v>0.72579414703059708</c:v>
                </c:pt>
                <c:pt idx="69">
                  <c:v>0.80184060989803196</c:v>
                </c:pt>
                <c:pt idx="70">
                  <c:v>0.72486266754763817</c:v>
                </c:pt>
                <c:pt idx="71">
                  <c:v>0.74996600414105852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F2-406A-9275-F21F9348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7376"/>
        <c:axId val="513478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'relm fit'!$D$2:$D$73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1951</c:v>
                      </c:pt>
                      <c:pt idx="1">
                        <c:v>1952</c:v>
                      </c:pt>
                      <c:pt idx="2">
                        <c:v>1953</c:v>
                      </c:pt>
                      <c:pt idx="3">
                        <c:v>1954</c:v>
                      </c:pt>
                      <c:pt idx="4">
                        <c:v>1955</c:v>
                      </c:pt>
                      <c:pt idx="5">
                        <c:v>1956</c:v>
                      </c:pt>
                      <c:pt idx="6">
                        <c:v>1957</c:v>
                      </c:pt>
                      <c:pt idx="7">
                        <c:v>1958</c:v>
                      </c:pt>
                      <c:pt idx="8">
                        <c:v>1959</c:v>
                      </c:pt>
                      <c:pt idx="9">
                        <c:v>1960</c:v>
                      </c:pt>
                      <c:pt idx="10">
                        <c:v>1961</c:v>
                      </c:pt>
                      <c:pt idx="11">
                        <c:v>1962</c:v>
                      </c:pt>
                      <c:pt idx="12">
                        <c:v>1963</c:v>
                      </c:pt>
                      <c:pt idx="13">
                        <c:v>1964</c:v>
                      </c:pt>
                      <c:pt idx="14">
                        <c:v>1965</c:v>
                      </c:pt>
                      <c:pt idx="15">
                        <c:v>1966</c:v>
                      </c:pt>
                      <c:pt idx="16">
                        <c:v>1967</c:v>
                      </c:pt>
                      <c:pt idx="17">
                        <c:v>1968</c:v>
                      </c:pt>
                      <c:pt idx="18">
                        <c:v>1969</c:v>
                      </c:pt>
                      <c:pt idx="19">
                        <c:v>1970</c:v>
                      </c:pt>
                      <c:pt idx="20">
                        <c:v>1971</c:v>
                      </c:pt>
                      <c:pt idx="21">
                        <c:v>1972</c:v>
                      </c:pt>
                      <c:pt idx="22">
                        <c:v>1973</c:v>
                      </c:pt>
                      <c:pt idx="23">
                        <c:v>1974</c:v>
                      </c:pt>
                      <c:pt idx="24">
                        <c:v>1975</c:v>
                      </c:pt>
                      <c:pt idx="25">
                        <c:v>1976</c:v>
                      </c:pt>
                      <c:pt idx="26">
                        <c:v>1977</c:v>
                      </c:pt>
                      <c:pt idx="27">
                        <c:v>1978</c:v>
                      </c:pt>
                      <c:pt idx="28">
                        <c:v>1979</c:v>
                      </c:pt>
                      <c:pt idx="29">
                        <c:v>1980</c:v>
                      </c:pt>
                      <c:pt idx="30">
                        <c:v>1981</c:v>
                      </c:pt>
                      <c:pt idx="31">
                        <c:v>1982</c:v>
                      </c:pt>
                      <c:pt idx="32">
                        <c:v>1983</c:v>
                      </c:pt>
                      <c:pt idx="33">
                        <c:v>1984</c:v>
                      </c:pt>
                      <c:pt idx="34">
                        <c:v>1985</c:v>
                      </c:pt>
                      <c:pt idx="35">
                        <c:v>1986</c:v>
                      </c:pt>
                      <c:pt idx="36">
                        <c:v>1987</c:v>
                      </c:pt>
                      <c:pt idx="37">
                        <c:v>1988</c:v>
                      </c:pt>
                      <c:pt idx="38">
                        <c:v>1989</c:v>
                      </c:pt>
                      <c:pt idx="39">
                        <c:v>1990</c:v>
                      </c:pt>
                      <c:pt idx="40">
                        <c:v>1991</c:v>
                      </c:pt>
                      <c:pt idx="41">
                        <c:v>1992</c:v>
                      </c:pt>
                      <c:pt idx="42">
                        <c:v>1993</c:v>
                      </c:pt>
                      <c:pt idx="43">
                        <c:v>1994</c:v>
                      </c:pt>
                      <c:pt idx="44">
                        <c:v>1995</c:v>
                      </c:pt>
                      <c:pt idx="45">
                        <c:v>1996</c:v>
                      </c:pt>
                      <c:pt idx="46">
                        <c:v>1997</c:v>
                      </c:pt>
                      <c:pt idx="47">
                        <c:v>1998</c:v>
                      </c:pt>
                      <c:pt idx="48">
                        <c:v>1999</c:v>
                      </c:pt>
                      <c:pt idx="49">
                        <c:v>2000</c:v>
                      </c:pt>
                      <c:pt idx="50">
                        <c:v>2001</c:v>
                      </c:pt>
                      <c:pt idx="51">
                        <c:v>2002</c:v>
                      </c:pt>
                      <c:pt idx="52">
                        <c:v>2003</c:v>
                      </c:pt>
                      <c:pt idx="53">
                        <c:v>2004</c:v>
                      </c:pt>
                      <c:pt idx="54">
                        <c:v>2005</c:v>
                      </c:pt>
                      <c:pt idx="55">
                        <c:v>2006</c:v>
                      </c:pt>
                      <c:pt idx="56">
                        <c:v>2007</c:v>
                      </c:pt>
                      <c:pt idx="57">
                        <c:v>2008</c:v>
                      </c:pt>
                      <c:pt idx="58">
                        <c:v>2009</c:v>
                      </c:pt>
                      <c:pt idx="59">
                        <c:v>2010</c:v>
                      </c:pt>
                      <c:pt idx="60">
                        <c:v>2011</c:v>
                      </c:pt>
                      <c:pt idx="61">
                        <c:v>2012</c:v>
                      </c:pt>
                      <c:pt idx="62">
                        <c:v>2013</c:v>
                      </c:pt>
                      <c:pt idx="63">
                        <c:v>2014</c:v>
                      </c:pt>
                      <c:pt idx="64">
                        <c:v>2015</c:v>
                      </c:pt>
                      <c:pt idx="65">
                        <c:v>2016</c:v>
                      </c:pt>
                      <c:pt idx="66">
                        <c:v>2017</c:v>
                      </c:pt>
                      <c:pt idx="67">
                        <c:v>2018</c:v>
                      </c:pt>
                      <c:pt idx="68">
                        <c:v>2019</c:v>
                      </c:pt>
                      <c:pt idx="69">
                        <c:v>2020</c:v>
                      </c:pt>
                      <c:pt idx="70">
                        <c:v>2021</c:v>
                      </c:pt>
                      <c:pt idx="71">
                        <c:v>2022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'relm fit'!#REF!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F2-406A-9275-F21F9348FB06}"/>
                  </c:ext>
                </c:extLst>
              </c15:ser>
            </c15:filteredScatterSeries>
          </c:ext>
        </c:extLst>
      </c:scatterChart>
      <c:valAx>
        <c:axId val="5131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7840"/>
        <c:crosses val="autoZero"/>
        <c:crossBetween val="midCat"/>
      </c:valAx>
      <c:valAx>
        <c:axId val="5134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fit'!$CM$1</c:f>
              <c:strCache>
                <c:ptCount val="1"/>
                <c:pt idx="0">
                  <c:v>Po4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fit'!$CM$2:$CM$73</c:f>
              <c:numCache>
                <c:formatCode>0.000</c:formatCode>
                <c:ptCount val="72"/>
                <c:pt idx="0">
                  <c:v>0.82885572139303487</c:v>
                </c:pt>
                <c:pt idx="1">
                  <c:v>0.36293892003540867</c:v>
                </c:pt>
                <c:pt idx="2">
                  <c:v>0.92662116040955633</c:v>
                </c:pt>
                <c:pt idx="3">
                  <c:v>0.8093403948001926</c:v>
                </c:pt>
                <c:pt idx="4">
                  <c:v>0.82747068676716917</c:v>
                </c:pt>
                <c:pt idx="5">
                  <c:v>0.68290441176470584</c:v>
                </c:pt>
                <c:pt idx="6">
                  <c:v>0.97986577181208057</c:v>
                </c:pt>
                <c:pt idx="7">
                  <c:v>0.70459518599562365</c:v>
                </c:pt>
                <c:pt idx="8">
                  <c:v>0.53978494623655915</c:v>
                </c:pt>
                <c:pt idx="9">
                  <c:v>0.64087870105062084</c:v>
                </c:pt>
                <c:pt idx="10">
                  <c:v>0.81379310344827582</c:v>
                </c:pt>
                <c:pt idx="11">
                  <c:v>0.76023391812865493</c:v>
                </c:pt>
                <c:pt idx="12">
                  <c:v>0.89951377633711505</c:v>
                </c:pt>
                <c:pt idx="13">
                  <c:v>0.69160997732426299</c:v>
                </c:pt>
                <c:pt idx="14">
                  <c:v>0.78585086042065011</c:v>
                </c:pt>
                <c:pt idx="15">
                  <c:v>0.5714285714285714</c:v>
                </c:pt>
                <c:pt idx="16">
                  <c:v>0.5714285714285714</c:v>
                </c:pt>
                <c:pt idx="17">
                  <c:v>0.5714285714285714</c:v>
                </c:pt>
                <c:pt idx="18">
                  <c:v>0.5714285714285714</c:v>
                </c:pt>
                <c:pt idx="19">
                  <c:v>0.5714285714285714</c:v>
                </c:pt>
                <c:pt idx="20">
                  <c:v>0.5714285714285714</c:v>
                </c:pt>
                <c:pt idx="21">
                  <c:v>0.61513425549227019</c:v>
                </c:pt>
                <c:pt idx="22">
                  <c:v>0.3269476372924649</c:v>
                </c:pt>
                <c:pt idx="23">
                  <c:v>0.48615605897159297</c:v>
                </c:pt>
                <c:pt idx="24">
                  <c:v>0.42783927839278391</c:v>
                </c:pt>
                <c:pt idx="25">
                  <c:v>0.50123736852959377</c:v>
                </c:pt>
                <c:pt idx="26">
                  <c:v>0.34679105677979732</c:v>
                </c:pt>
                <c:pt idx="27">
                  <c:v>0.29948561630786819</c:v>
                </c:pt>
                <c:pt idx="28">
                  <c:v>0.54358446901517099</c:v>
                </c:pt>
                <c:pt idx="29">
                  <c:v>0.23013164310092638</c:v>
                </c:pt>
                <c:pt idx="30">
                  <c:v>0.44963503649635034</c:v>
                </c:pt>
                <c:pt idx="31">
                  <c:v>0.33171592412880457</c:v>
                </c:pt>
                <c:pt idx="32">
                  <c:v>0.26817558299039779</c:v>
                </c:pt>
                <c:pt idx="33">
                  <c:v>0.25065963060686014</c:v>
                </c:pt>
                <c:pt idx="34">
                  <c:v>0.5533498759305211</c:v>
                </c:pt>
                <c:pt idx="35">
                  <c:v>0.64894736842105261</c:v>
                </c:pt>
                <c:pt idx="36">
                  <c:v>0.46596026490066222</c:v>
                </c:pt>
                <c:pt idx="37">
                  <c:v>0.18979016598809897</c:v>
                </c:pt>
                <c:pt idx="38">
                  <c:v>0.73156225218080884</c:v>
                </c:pt>
                <c:pt idx="39">
                  <c:v>0.16428173202007063</c:v>
                </c:pt>
                <c:pt idx="40">
                  <c:v>0.27940128296507483</c:v>
                </c:pt>
                <c:pt idx="41">
                  <c:v>0.19898391193903472</c:v>
                </c:pt>
                <c:pt idx="42">
                  <c:v>0.59624537281861445</c:v>
                </c:pt>
                <c:pt idx="43">
                  <c:v>0.32068495816306675</c:v>
                </c:pt>
                <c:pt idx="44">
                  <c:v>0.28275212064090482</c:v>
                </c:pt>
                <c:pt idx="45">
                  <c:v>0.19938448010551771</c:v>
                </c:pt>
                <c:pt idx="46">
                  <c:v>0.28401663695781343</c:v>
                </c:pt>
                <c:pt idx="47">
                  <c:v>0.71715515474482472</c:v>
                </c:pt>
                <c:pt idx="48">
                  <c:v>0.27966926070038911</c:v>
                </c:pt>
                <c:pt idx="49">
                  <c:v>0.24658918645780697</c:v>
                </c:pt>
                <c:pt idx="50">
                  <c:v>0.42677448337825696</c:v>
                </c:pt>
                <c:pt idx="51">
                  <c:v>0.47908286403861627</c:v>
                </c:pt>
                <c:pt idx="52">
                  <c:v>0.57740021574973033</c:v>
                </c:pt>
                <c:pt idx="53">
                  <c:v>0.58906565090746132</c:v>
                </c:pt>
                <c:pt idx="54">
                  <c:v>0.39389131297104324</c:v>
                </c:pt>
                <c:pt idx="55">
                  <c:v>0.70363636363636362</c:v>
                </c:pt>
                <c:pt idx="56">
                  <c:v>0.7226027397260274</c:v>
                </c:pt>
                <c:pt idx="57">
                  <c:v>0.76997245179063356</c:v>
                </c:pt>
                <c:pt idx="58">
                  <c:v>0.50265486725663722</c:v>
                </c:pt>
                <c:pt idx="59">
                  <c:v>0.8020541549953315</c:v>
                </c:pt>
                <c:pt idx="60">
                  <c:v>0.65693430656934304</c:v>
                </c:pt>
                <c:pt idx="61">
                  <c:v>0.78351955307262566</c:v>
                </c:pt>
                <c:pt idx="62">
                  <c:v>0.20689655172413793</c:v>
                </c:pt>
                <c:pt idx="63">
                  <c:v>0.67213114754098358</c:v>
                </c:pt>
                <c:pt idx="64">
                  <c:v>0.81100726895119424</c:v>
                </c:pt>
                <c:pt idx="65">
                  <c:v>0.5357142857142857</c:v>
                </c:pt>
                <c:pt idx="66">
                  <c:v>0.73922187171398523</c:v>
                </c:pt>
                <c:pt idx="67">
                  <c:v>0.13375224416517056</c:v>
                </c:pt>
                <c:pt idx="68">
                  <c:v>0.22111553784860558</c:v>
                </c:pt>
                <c:pt idx="69">
                  <c:v>0.63670411985018727</c:v>
                </c:pt>
                <c:pt idx="70">
                  <c:v>0.46179401993355484</c:v>
                </c:pt>
                <c:pt idx="71">
                  <c:v>0.68762677484787016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F-4EFB-B1AA-FB5EA3B08F5F}"/>
            </c:ext>
          </c:extLst>
        </c:ser>
        <c:ser>
          <c:idx val="1"/>
          <c:order val="1"/>
          <c:tx>
            <c:strRef>
              <c:f>'relm fit'!$CT$1</c:f>
              <c:strCache>
                <c:ptCount val="1"/>
                <c:pt idx="0">
                  <c:v>pp4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fit'!$CT$2:$CT$73</c:f>
              <c:numCache>
                <c:formatCode>0.000</c:formatCode>
                <c:ptCount val="72"/>
                <c:pt idx="0">
                  <c:v>0.81833219144895808</c:v>
                </c:pt>
                <c:pt idx="1">
                  <c:v>0.378787850244798</c:v>
                </c:pt>
                <c:pt idx="2">
                  <c:v>0.89130766928844662</c:v>
                </c:pt>
                <c:pt idx="3">
                  <c:v>0.78463484191882804</c:v>
                </c:pt>
                <c:pt idx="4">
                  <c:v>0.65478797609244799</c:v>
                </c:pt>
                <c:pt idx="5">
                  <c:v>0.45164733162127424</c:v>
                </c:pt>
                <c:pt idx="6">
                  <c:v>0.42893964828049841</c:v>
                </c:pt>
                <c:pt idx="7">
                  <c:v>0.58613960121348063</c:v>
                </c:pt>
                <c:pt idx="8">
                  <c:v>0.56070304954967054</c:v>
                </c:pt>
                <c:pt idx="9">
                  <c:v>0.6735070096568645</c:v>
                </c:pt>
                <c:pt idx="10">
                  <c:v>0.80409517493954952</c:v>
                </c:pt>
                <c:pt idx="11">
                  <c:v>0.78369822819341683</c:v>
                </c:pt>
                <c:pt idx="12">
                  <c:v>0.89826962493126017</c:v>
                </c:pt>
                <c:pt idx="13">
                  <c:v>0.7045365118290724</c:v>
                </c:pt>
                <c:pt idx="14">
                  <c:v>0.79176755521011533</c:v>
                </c:pt>
                <c:pt idx="15">
                  <c:v>0.69156438581756252</c:v>
                </c:pt>
                <c:pt idx="16">
                  <c:v>0.5995333597283945</c:v>
                </c:pt>
                <c:pt idx="17">
                  <c:v>0.80488684714227554</c:v>
                </c:pt>
                <c:pt idx="18">
                  <c:v>0.58992787411903747</c:v>
                </c:pt>
                <c:pt idx="19">
                  <c:v>0.63849110877671145</c:v>
                </c:pt>
                <c:pt idx="20">
                  <c:v>0.77739118413019048</c:v>
                </c:pt>
                <c:pt idx="21">
                  <c:v>0.7039893490286061</c:v>
                </c:pt>
                <c:pt idx="22">
                  <c:v>0.50362890218838219</c:v>
                </c:pt>
                <c:pt idx="23">
                  <c:v>0.51238158411241908</c:v>
                </c:pt>
                <c:pt idx="24">
                  <c:v>0.4955242520864333</c:v>
                </c:pt>
                <c:pt idx="25">
                  <c:v>0.60417341664172131</c:v>
                </c:pt>
                <c:pt idx="26">
                  <c:v>0.47287270671384879</c:v>
                </c:pt>
                <c:pt idx="27">
                  <c:v>0.37833372121002479</c:v>
                </c:pt>
                <c:pt idx="28">
                  <c:v>0.53299835187903266</c:v>
                </c:pt>
                <c:pt idx="29">
                  <c:v>0.23492041335928818</c:v>
                </c:pt>
                <c:pt idx="30">
                  <c:v>0.55674985414096667</c:v>
                </c:pt>
                <c:pt idx="31">
                  <c:v>0.41966596956214147</c:v>
                </c:pt>
                <c:pt idx="32">
                  <c:v>0.28927476643902572</c:v>
                </c:pt>
                <c:pt idx="33">
                  <c:v>0.30673704118141853</c:v>
                </c:pt>
                <c:pt idx="34">
                  <c:v>0.46596791050684566</c:v>
                </c:pt>
                <c:pt idx="35">
                  <c:v>0.65604993912846354</c:v>
                </c:pt>
                <c:pt idx="36">
                  <c:v>0.56977551374304569</c:v>
                </c:pt>
                <c:pt idx="37">
                  <c:v>0.32141043351735277</c:v>
                </c:pt>
                <c:pt idx="38">
                  <c:v>0.7319821050746772</c:v>
                </c:pt>
                <c:pt idx="39">
                  <c:v>0.29696204610451982</c:v>
                </c:pt>
                <c:pt idx="40">
                  <c:v>0.33274656414578019</c:v>
                </c:pt>
                <c:pt idx="41">
                  <c:v>0.38525719872579417</c:v>
                </c:pt>
                <c:pt idx="42">
                  <c:v>0.59702487222117262</c:v>
                </c:pt>
                <c:pt idx="43">
                  <c:v>0.38857261890464978</c:v>
                </c:pt>
                <c:pt idx="44">
                  <c:v>0.36973017069288538</c:v>
                </c:pt>
                <c:pt idx="45">
                  <c:v>0.23218182419112984</c:v>
                </c:pt>
                <c:pt idx="46">
                  <c:v>0.40323604795605544</c:v>
                </c:pt>
                <c:pt idx="47">
                  <c:v>0.72634126281420552</c:v>
                </c:pt>
                <c:pt idx="48">
                  <c:v>0.37868458873265792</c:v>
                </c:pt>
                <c:pt idx="49">
                  <c:v>0.24552203881813403</c:v>
                </c:pt>
                <c:pt idx="50">
                  <c:v>0.39659167391228861</c:v>
                </c:pt>
                <c:pt idx="51">
                  <c:v>0.54129135720257027</c:v>
                </c:pt>
                <c:pt idx="52">
                  <c:v>0.57844449728695801</c:v>
                </c:pt>
                <c:pt idx="53">
                  <c:v>0.61183849484784336</c:v>
                </c:pt>
                <c:pt idx="54">
                  <c:v>0.43087191700811567</c:v>
                </c:pt>
                <c:pt idx="55">
                  <c:v>0.71862294593378462</c:v>
                </c:pt>
                <c:pt idx="56">
                  <c:v>0.72083469979677262</c:v>
                </c:pt>
                <c:pt idx="57">
                  <c:v>0.79071600121277508</c:v>
                </c:pt>
                <c:pt idx="58">
                  <c:v>0.56906554437906143</c:v>
                </c:pt>
                <c:pt idx="59">
                  <c:v>0.78871769182440299</c:v>
                </c:pt>
                <c:pt idx="60">
                  <c:v>0.59673421624971879</c:v>
                </c:pt>
                <c:pt idx="61">
                  <c:v>0.79029437765125643</c:v>
                </c:pt>
                <c:pt idx="62">
                  <c:v>0.25872316097874015</c:v>
                </c:pt>
                <c:pt idx="63">
                  <c:v>0.62725413096446225</c:v>
                </c:pt>
                <c:pt idx="64">
                  <c:v>0.81629830585629037</c:v>
                </c:pt>
                <c:pt idx="65">
                  <c:v>0.60953353316050918</c:v>
                </c:pt>
                <c:pt idx="66">
                  <c:v>0.73505737489133016</c:v>
                </c:pt>
                <c:pt idx="67">
                  <c:v>0.13426367285929747</c:v>
                </c:pt>
                <c:pt idx="68">
                  <c:v>0.21958893157958356</c:v>
                </c:pt>
                <c:pt idx="69">
                  <c:v>0.71448597473233755</c:v>
                </c:pt>
                <c:pt idx="70">
                  <c:v>0.42951119153027217</c:v>
                </c:pt>
                <c:pt idx="71">
                  <c:v>0.72264688116141773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F-4EFB-B1AA-FB5EA3B0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7024"/>
        <c:axId val="51458816"/>
      </c:scatterChart>
      <c:valAx>
        <c:axId val="514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8816"/>
        <c:crosses val="autoZero"/>
        <c:crossBetween val="midCat"/>
      </c:valAx>
      <c:valAx>
        <c:axId val="51458816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fit'!$CN$1</c:f>
              <c:strCache>
                <c:ptCount val="1"/>
                <c:pt idx="0">
                  <c:v>Po5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fit'!$CN$2:$CN$73</c:f>
              <c:numCache>
                <c:formatCode>0.000</c:formatCode>
                <c:ptCount val="72"/>
                <c:pt idx="0">
                  <c:v>0.13532338308457711</c:v>
                </c:pt>
                <c:pt idx="1">
                  <c:v>0.53821186190616699</c:v>
                </c:pt>
                <c:pt idx="2">
                  <c:v>5.546075085324232E-2</c:v>
                </c:pt>
                <c:pt idx="3">
                  <c:v>0.16273471352912855</c:v>
                </c:pt>
                <c:pt idx="4">
                  <c:v>0.1440536013400335</c:v>
                </c:pt>
                <c:pt idx="5">
                  <c:v>0.25919117647058826</c:v>
                </c:pt>
                <c:pt idx="6">
                  <c:v>1.3422818791946308E-2</c:v>
                </c:pt>
                <c:pt idx="7">
                  <c:v>0.16411378555798686</c:v>
                </c:pt>
                <c:pt idx="8">
                  <c:v>0.28387096774193549</c:v>
                </c:pt>
                <c:pt idx="9">
                  <c:v>0.24068767908309455</c:v>
                </c:pt>
                <c:pt idx="10">
                  <c:v>0.1793103448275862</c:v>
                </c:pt>
                <c:pt idx="11">
                  <c:v>0.18128654970760233</c:v>
                </c:pt>
                <c:pt idx="12">
                  <c:v>8.5899513776337116E-2</c:v>
                </c:pt>
                <c:pt idx="13">
                  <c:v>0.27891156462585032</c:v>
                </c:pt>
                <c:pt idx="14">
                  <c:v>0.15678776290630975</c:v>
                </c:pt>
                <c:pt idx="15">
                  <c:v>0.36571428571428571</c:v>
                </c:pt>
                <c:pt idx="16">
                  <c:v>0.36571428571428571</c:v>
                </c:pt>
                <c:pt idx="17">
                  <c:v>0.36571428571428571</c:v>
                </c:pt>
                <c:pt idx="18">
                  <c:v>0.36571428571428571</c:v>
                </c:pt>
                <c:pt idx="19">
                  <c:v>0.36571428571428571</c:v>
                </c:pt>
                <c:pt idx="20">
                  <c:v>0.36571428571428571</c:v>
                </c:pt>
                <c:pt idx="21">
                  <c:v>0.31489015459723352</c:v>
                </c:pt>
                <c:pt idx="22">
                  <c:v>0.48786717752234993</c:v>
                </c:pt>
                <c:pt idx="23">
                  <c:v>0.28191298094210715</c:v>
                </c:pt>
                <c:pt idx="24">
                  <c:v>0.25727757277572777</c:v>
                </c:pt>
                <c:pt idx="25">
                  <c:v>0.23437822231387914</c:v>
                </c:pt>
                <c:pt idx="26">
                  <c:v>0.42785909602702266</c:v>
                </c:pt>
                <c:pt idx="27">
                  <c:v>0.26366927033720711</c:v>
                </c:pt>
                <c:pt idx="28">
                  <c:v>0.18153767035227564</c:v>
                </c:pt>
                <c:pt idx="29">
                  <c:v>0.42613359336908824</c:v>
                </c:pt>
                <c:pt idx="30">
                  <c:v>0.17335766423357665</c:v>
                </c:pt>
                <c:pt idx="31">
                  <c:v>0.37273930304367003</c:v>
                </c:pt>
                <c:pt idx="32">
                  <c:v>0.28737997256515774</c:v>
                </c:pt>
                <c:pt idx="33">
                  <c:v>0.20844327176781002</c:v>
                </c:pt>
                <c:pt idx="34">
                  <c:v>0.14143920595533499</c:v>
                </c:pt>
                <c:pt idx="35">
                  <c:v>0.18105263157894738</c:v>
                </c:pt>
                <c:pt idx="36">
                  <c:v>0.35788079470198675</c:v>
                </c:pt>
                <c:pt idx="37">
                  <c:v>0.40839336047604136</c:v>
                </c:pt>
                <c:pt idx="38">
                  <c:v>8.2870737509912765E-2</c:v>
                </c:pt>
                <c:pt idx="39">
                  <c:v>0.65787028433376693</c:v>
                </c:pt>
                <c:pt idx="40">
                  <c:v>0.1462936564504633</c:v>
                </c:pt>
                <c:pt idx="41">
                  <c:v>0.27490826982782951</c:v>
                </c:pt>
                <c:pt idx="42">
                  <c:v>0.10047593865679534</c:v>
                </c:pt>
                <c:pt idx="43">
                  <c:v>0.42848803269118507</c:v>
                </c:pt>
                <c:pt idx="44">
                  <c:v>0.24104618284637136</c:v>
                </c:pt>
                <c:pt idx="45">
                  <c:v>0.31039788964607606</c:v>
                </c:pt>
                <c:pt idx="46">
                  <c:v>0.15923945335710041</c:v>
                </c:pt>
                <c:pt idx="47">
                  <c:v>8.9157614265218288E-2</c:v>
                </c:pt>
                <c:pt idx="48">
                  <c:v>0.52723735408560313</c:v>
                </c:pt>
                <c:pt idx="49">
                  <c:v>0.25720060636685194</c:v>
                </c:pt>
                <c:pt idx="50">
                  <c:v>0.17699910152740342</c:v>
                </c:pt>
                <c:pt idx="51">
                  <c:v>0.21118262268704746</c:v>
                </c:pt>
                <c:pt idx="52">
                  <c:v>0.24487594390507011</c:v>
                </c:pt>
                <c:pt idx="53">
                  <c:v>0.25946672641720814</c:v>
                </c:pt>
                <c:pt idx="54">
                  <c:v>0.38635462118207059</c:v>
                </c:pt>
                <c:pt idx="55">
                  <c:v>0.16545454545454547</c:v>
                </c:pt>
                <c:pt idx="56">
                  <c:v>0.22602739726027396</c:v>
                </c:pt>
                <c:pt idx="57">
                  <c:v>0.16391184573002754</c:v>
                </c:pt>
                <c:pt idx="58">
                  <c:v>0.40707964601769914</c:v>
                </c:pt>
                <c:pt idx="59">
                  <c:v>9.8039215686274508E-2</c:v>
                </c:pt>
                <c:pt idx="60">
                  <c:v>0.29927007299270075</c:v>
                </c:pt>
                <c:pt idx="61">
                  <c:v>0.12988826815642457</c:v>
                </c:pt>
                <c:pt idx="62">
                  <c:v>0.65517241379310343</c:v>
                </c:pt>
                <c:pt idx="63">
                  <c:v>0.13114754098360656</c:v>
                </c:pt>
                <c:pt idx="64">
                  <c:v>0.10903426791277258</c:v>
                </c:pt>
                <c:pt idx="65">
                  <c:v>0.39560439560439559</c:v>
                </c:pt>
                <c:pt idx="66">
                  <c:v>0.14721345951629863</c:v>
                </c:pt>
                <c:pt idx="67">
                  <c:v>0.69569120287253139</c:v>
                </c:pt>
                <c:pt idx="68">
                  <c:v>0.11155378486055777</c:v>
                </c:pt>
                <c:pt idx="69">
                  <c:v>8.6142322097378279E-2</c:v>
                </c:pt>
                <c:pt idx="70">
                  <c:v>0.4019933554817276</c:v>
                </c:pt>
                <c:pt idx="71">
                  <c:v>0.13995943204868155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5-4F4E-8F07-70990E8D1231}"/>
            </c:ext>
          </c:extLst>
        </c:ser>
        <c:ser>
          <c:idx val="1"/>
          <c:order val="1"/>
          <c:tx>
            <c:strRef>
              <c:f>'relm fit'!$CU$1</c:f>
              <c:strCache>
                <c:ptCount val="1"/>
                <c:pt idx="0">
                  <c:v>pp5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fit'!$CU$2:$CU$73</c:f>
              <c:numCache>
                <c:formatCode>0.000</c:formatCode>
                <c:ptCount val="72"/>
                <c:pt idx="0">
                  <c:v>0.13072218866190449</c:v>
                </c:pt>
                <c:pt idx="1">
                  <c:v>0.51639405451120091</c:v>
                </c:pt>
                <c:pt idx="2">
                  <c:v>6.778778716383671E-2</c:v>
                </c:pt>
                <c:pt idx="3">
                  <c:v>0.19453588062931251</c:v>
                </c:pt>
                <c:pt idx="4">
                  <c:v>0.26600045402531536</c:v>
                </c:pt>
                <c:pt idx="5">
                  <c:v>0.35647985773255098</c:v>
                </c:pt>
                <c:pt idx="6">
                  <c:v>0.22978705879886407</c:v>
                </c:pt>
                <c:pt idx="7">
                  <c:v>0.17381967003536158</c:v>
                </c:pt>
                <c:pt idx="8">
                  <c:v>0.27039623785484429</c:v>
                </c:pt>
                <c:pt idx="9">
                  <c:v>0.21980755848888078</c:v>
                </c:pt>
                <c:pt idx="10">
                  <c:v>0.19026505508240374</c:v>
                </c:pt>
                <c:pt idx="11">
                  <c:v>0.16947969378847538</c:v>
                </c:pt>
                <c:pt idx="12">
                  <c:v>8.5565448291959667E-2</c:v>
                </c:pt>
                <c:pt idx="13">
                  <c:v>0.26793124356687259</c:v>
                </c:pt>
                <c:pt idx="14">
                  <c:v>0.15717275046012918</c:v>
                </c:pt>
                <c:pt idx="15">
                  <c:v>0.25384643500993054</c:v>
                </c:pt>
                <c:pt idx="16">
                  <c:v>0.34078005886319418</c:v>
                </c:pt>
                <c:pt idx="17">
                  <c:v>0.16892932644561831</c:v>
                </c:pt>
                <c:pt idx="18">
                  <c:v>0.37113876066410961</c:v>
                </c:pt>
                <c:pt idx="19">
                  <c:v>0.22683620697191728</c:v>
                </c:pt>
                <c:pt idx="20">
                  <c:v>0.15506946051942502</c:v>
                </c:pt>
                <c:pt idx="21">
                  <c:v>0.24439877541617172</c:v>
                </c:pt>
                <c:pt idx="22">
                  <c:v>0.37450911550661897</c:v>
                </c:pt>
                <c:pt idx="23">
                  <c:v>0.29994056369701155</c:v>
                </c:pt>
                <c:pt idx="24">
                  <c:v>0.27350817371815306</c:v>
                </c:pt>
                <c:pt idx="25">
                  <c:v>0.21327024644491629</c:v>
                </c:pt>
                <c:pt idx="26">
                  <c:v>0.37127192903475287</c:v>
                </c:pt>
                <c:pt idx="27">
                  <c:v>0.35986621883928654</c:v>
                </c:pt>
                <c:pt idx="28">
                  <c:v>0.20863446172250918</c:v>
                </c:pt>
                <c:pt idx="29">
                  <c:v>0.43864817112957394</c:v>
                </c:pt>
                <c:pt idx="30">
                  <c:v>0.12190244483941955</c:v>
                </c:pt>
                <c:pt idx="31">
                  <c:v>0.37903500022179254</c:v>
                </c:pt>
                <c:pt idx="32">
                  <c:v>0.35111065761700311</c:v>
                </c:pt>
                <c:pt idx="33">
                  <c:v>0.23654313104244942</c:v>
                </c:pt>
                <c:pt idx="34">
                  <c:v>0.20400336134882996</c:v>
                </c:pt>
                <c:pt idx="35">
                  <c:v>0.18123242610671927</c:v>
                </c:pt>
                <c:pt idx="36">
                  <c:v>0.3047189795661181</c:v>
                </c:pt>
                <c:pt idx="37">
                  <c:v>0.44784090622217493</c:v>
                </c:pt>
                <c:pt idx="38">
                  <c:v>0.10390216358126182</c:v>
                </c:pt>
                <c:pt idx="39">
                  <c:v>0.53821472134557347</c:v>
                </c:pt>
                <c:pt idx="40">
                  <c:v>0.24694971465268548</c:v>
                </c:pt>
                <c:pt idx="41">
                  <c:v>0.24416037034135521</c:v>
                </c:pt>
                <c:pt idx="42">
                  <c:v>0.19140975791184478</c:v>
                </c:pt>
                <c:pt idx="43">
                  <c:v>0.39214103271806122</c:v>
                </c:pt>
                <c:pt idx="44">
                  <c:v>0.28034106503262834</c:v>
                </c:pt>
                <c:pt idx="45">
                  <c:v>0.32533355882652659</c:v>
                </c:pt>
                <c:pt idx="46">
                  <c:v>0.16667248265035248</c:v>
                </c:pt>
                <c:pt idx="47">
                  <c:v>0.13616319921153713</c:v>
                </c:pt>
                <c:pt idx="48">
                  <c:v>0.48386429369355616</c:v>
                </c:pt>
                <c:pt idx="49">
                  <c:v>0.34533455330814194</c:v>
                </c:pt>
                <c:pt idx="50">
                  <c:v>0.16931918545364313</c:v>
                </c:pt>
                <c:pt idx="51">
                  <c:v>0.20457058477199566</c:v>
                </c:pt>
                <c:pt idx="52">
                  <c:v>0.26123103569961592</c:v>
                </c:pt>
                <c:pt idx="53">
                  <c:v>0.24358681729734483</c:v>
                </c:pt>
                <c:pt idx="54">
                  <c:v>0.38475402448446067</c:v>
                </c:pt>
                <c:pt idx="55">
                  <c:v>0.15697135980382976</c:v>
                </c:pt>
                <c:pt idx="56">
                  <c:v>0.21612487073806286</c:v>
                </c:pt>
                <c:pt idx="57">
                  <c:v>0.15505050516850222</c:v>
                </c:pt>
                <c:pt idx="58">
                  <c:v>0.36177623577788515</c:v>
                </c:pt>
                <c:pt idx="59">
                  <c:v>0.1390600698686468</c:v>
                </c:pt>
                <c:pt idx="60">
                  <c:v>0.31629590177095246</c:v>
                </c:pt>
                <c:pt idx="61">
                  <c:v>0.11961725164076802</c:v>
                </c:pt>
                <c:pt idx="62">
                  <c:v>0.6014754762977248</c:v>
                </c:pt>
                <c:pt idx="63">
                  <c:v>0.14561312453481465</c:v>
                </c:pt>
                <c:pt idx="64">
                  <c:v>0.11800636129006686</c:v>
                </c:pt>
                <c:pt idx="65">
                  <c:v>0.32806831320624197</c:v>
                </c:pt>
                <c:pt idx="66">
                  <c:v>0.17405438164273554</c:v>
                </c:pt>
                <c:pt idx="67">
                  <c:v>0.65010921769055108</c:v>
                </c:pt>
                <c:pt idx="68">
                  <c:v>0.1159113930570468</c:v>
                </c:pt>
                <c:pt idx="69">
                  <c:v>7.2001138714262183E-2</c:v>
                </c:pt>
                <c:pt idx="70">
                  <c:v>0.46208878379829715</c:v>
                </c:pt>
                <c:pt idx="71">
                  <c:v>0.12426802790450779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55-4F4E-8F07-70990E8D1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80832"/>
        <c:axId val="51482624"/>
      </c:scatterChart>
      <c:valAx>
        <c:axId val="5148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2624"/>
        <c:crosses val="autoZero"/>
        <c:crossBetween val="midCat"/>
      </c:valAx>
      <c:valAx>
        <c:axId val="5148262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fit'!$CO$1</c:f>
              <c:strCache>
                <c:ptCount val="1"/>
                <c:pt idx="0">
                  <c:v>Po6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fit'!$CO$2:$CO$73</c:f>
              <c:numCache>
                <c:formatCode>0.000</c:formatCode>
                <c:ptCount val="72"/>
                <c:pt idx="0">
                  <c:v>2.8855721393034824E-2</c:v>
                </c:pt>
                <c:pt idx="1">
                  <c:v>7.2292711714370017E-2</c:v>
                </c:pt>
                <c:pt idx="2">
                  <c:v>1.6211604095563138E-2</c:v>
                </c:pt>
                <c:pt idx="3">
                  <c:v>2.0221473278767454E-2</c:v>
                </c:pt>
                <c:pt idx="4">
                  <c:v>2.6800670016750419E-2</c:v>
                </c:pt>
                <c:pt idx="5">
                  <c:v>4.779411764705882E-2</c:v>
                </c:pt>
                <c:pt idx="6">
                  <c:v>6.7114093959731542E-3</c:v>
                </c:pt>
                <c:pt idx="7">
                  <c:v>7.4398249452954049E-2</c:v>
                </c:pt>
                <c:pt idx="8">
                  <c:v>7.5806451612903225E-2</c:v>
                </c:pt>
                <c:pt idx="9">
                  <c:v>7.7363896848137534E-2</c:v>
                </c:pt>
                <c:pt idx="10">
                  <c:v>6.8965517241379309E-3</c:v>
                </c:pt>
                <c:pt idx="11">
                  <c:v>5.8479532163742687E-2</c:v>
                </c:pt>
                <c:pt idx="12">
                  <c:v>1.1345218800648298E-2</c:v>
                </c:pt>
                <c:pt idx="13">
                  <c:v>2.2675736961451247E-2</c:v>
                </c:pt>
                <c:pt idx="14">
                  <c:v>5.1625239005736137E-2</c:v>
                </c:pt>
                <c:pt idx="15">
                  <c:v>4.5714285714285714E-2</c:v>
                </c:pt>
                <c:pt idx="16">
                  <c:v>4.5714285714285714E-2</c:v>
                </c:pt>
                <c:pt idx="17">
                  <c:v>4.5714285714285714E-2</c:v>
                </c:pt>
                <c:pt idx="18">
                  <c:v>4.5714285714285714E-2</c:v>
                </c:pt>
                <c:pt idx="19">
                  <c:v>4.5714285714285714E-2</c:v>
                </c:pt>
                <c:pt idx="20">
                  <c:v>4.5714285714285714E-2</c:v>
                </c:pt>
                <c:pt idx="21">
                  <c:v>4.4751830756712775E-2</c:v>
                </c:pt>
                <c:pt idx="22">
                  <c:v>0.15368241805023414</c:v>
                </c:pt>
                <c:pt idx="23">
                  <c:v>0.18122977346278318</c:v>
                </c:pt>
                <c:pt idx="24">
                  <c:v>0.17691676916769167</c:v>
                </c:pt>
                <c:pt idx="25">
                  <c:v>0.14456588987420085</c:v>
                </c:pt>
                <c:pt idx="26">
                  <c:v>0.14428180794595463</c:v>
                </c:pt>
                <c:pt idx="27">
                  <c:v>0.32368070108592112</c:v>
                </c:pt>
                <c:pt idx="28">
                  <c:v>0.1432244793005914</c:v>
                </c:pt>
                <c:pt idx="29">
                  <c:v>0.15602145294978059</c:v>
                </c:pt>
                <c:pt idx="30">
                  <c:v>0.22408759124087591</c:v>
                </c:pt>
                <c:pt idx="31">
                  <c:v>8.2928981032201143E-2</c:v>
                </c:pt>
                <c:pt idx="32">
                  <c:v>0.28189300411522633</c:v>
                </c:pt>
                <c:pt idx="33">
                  <c:v>0.26965699208443272</c:v>
                </c:pt>
                <c:pt idx="34">
                  <c:v>0.10297766749379653</c:v>
                </c:pt>
                <c:pt idx="35">
                  <c:v>6.8421052631578952E-2</c:v>
                </c:pt>
                <c:pt idx="36">
                  <c:v>9.9602649006622523E-2</c:v>
                </c:pt>
                <c:pt idx="37">
                  <c:v>0.27654243658001881</c:v>
                </c:pt>
                <c:pt idx="38">
                  <c:v>0.11498810467882632</c:v>
                </c:pt>
                <c:pt idx="39">
                  <c:v>6.3928637799665483E-2</c:v>
                </c:pt>
                <c:pt idx="40">
                  <c:v>0.47095509622238063</c:v>
                </c:pt>
                <c:pt idx="41">
                  <c:v>0.12334180073384138</c:v>
                </c:pt>
                <c:pt idx="42">
                  <c:v>0.10999471179270227</c:v>
                </c:pt>
                <c:pt idx="43">
                  <c:v>0.10196536291107219</c:v>
                </c:pt>
                <c:pt idx="44">
                  <c:v>0.30089538171536284</c:v>
                </c:pt>
                <c:pt idx="45">
                  <c:v>0.20400087931413496</c:v>
                </c:pt>
                <c:pt idx="46">
                  <c:v>0.23469994058229351</c:v>
                </c:pt>
                <c:pt idx="47">
                  <c:v>4.837056773929084E-2</c:v>
                </c:pt>
                <c:pt idx="48">
                  <c:v>0.11770428015564202</c:v>
                </c:pt>
                <c:pt idx="49">
                  <c:v>0.40828701364325415</c:v>
                </c:pt>
                <c:pt idx="50">
                  <c:v>0.15992812219227315</c:v>
                </c:pt>
                <c:pt idx="51">
                  <c:v>8.9300080450522928E-2</c:v>
                </c:pt>
                <c:pt idx="52">
                  <c:v>7.4703344120819845E-2</c:v>
                </c:pt>
                <c:pt idx="53">
                  <c:v>9.9484651579654942E-2</c:v>
                </c:pt>
                <c:pt idx="54">
                  <c:v>0.1507338357794526</c:v>
                </c:pt>
                <c:pt idx="55">
                  <c:v>0.11272727272727273</c:v>
                </c:pt>
                <c:pt idx="56">
                  <c:v>3.7671232876712327E-2</c:v>
                </c:pt>
                <c:pt idx="57">
                  <c:v>4.4077134986225897E-2</c:v>
                </c:pt>
                <c:pt idx="58">
                  <c:v>7.2566371681415928E-2</c:v>
                </c:pt>
                <c:pt idx="59">
                  <c:v>8.4967320261437912E-2</c:v>
                </c:pt>
                <c:pt idx="60">
                  <c:v>2.9197080291970802E-2</c:v>
                </c:pt>
                <c:pt idx="61">
                  <c:v>7.4022346368715089E-2</c:v>
                </c:pt>
                <c:pt idx="62">
                  <c:v>6.8965517241379309E-2</c:v>
                </c:pt>
                <c:pt idx="63">
                  <c:v>0.14754098360655737</c:v>
                </c:pt>
                <c:pt idx="64">
                  <c:v>2.8037383177570093E-2</c:v>
                </c:pt>
                <c:pt idx="65">
                  <c:v>4.3956043956043959E-2</c:v>
                </c:pt>
                <c:pt idx="66">
                  <c:v>9.1482649842271294E-2</c:v>
                </c:pt>
                <c:pt idx="67">
                  <c:v>0.118491921005386</c:v>
                </c:pt>
                <c:pt idx="68">
                  <c:v>0.52788844621513942</c:v>
                </c:pt>
                <c:pt idx="69">
                  <c:v>4.49438202247191E-2</c:v>
                </c:pt>
                <c:pt idx="70">
                  <c:v>4.6511627906976744E-2</c:v>
                </c:pt>
                <c:pt idx="71">
                  <c:v>0.15212981744421908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D-4317-BA33-194772B31C80}"/>
            </c:ext>
          </c:extLst>
        </c:ser>
        <c:ser>
          <c:idx val="1"/>
          <c:order val="1"/>
          <c:tx>
            <c:strRef>
              <c:f>'relm fit'!$CV$1</c:f>
              <c:strCache>
                <c:ptCount val="1"/>
                <c:pt idx="0">
                  <c:v>pp6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fit'!$CV$2:$CV$73</c:f>
              <c:numCache>
                <c:formatCode>0.000</c:formatCode>
                <c:ptCount val="72"/>
                <c:pt idx="0">
                  <c:v>3.6295693475202208E-2</c:v>
                </c:pt>
                <c:pt idx="1">
                  <c:v>7.394580688390949E-2</c:v>
                </c:pt>
                <c:pt idx="2">
                  <c:v>2.6704239873744959E-2</c:v>
                </c:pt>
                <c:pt idx="3">
                  <c:v>1.3910824904428689E-2</c:v>
                </c:pt>
                <c:pt idx="4">
                  <c:v>7.657369098757108E-2</c:v>
                </c:pt>
                <c:pt idx="5">
                  <c:v>0.15112519363717611</c:v>
                </c:pt>
                <c:pt idx="6">
                  <c:v>0.22356907565598452</c:v>
                </c:pt>
                <c:pt idx="7">
                  <c:v>0.10762364691505261</c:v>
                </c:pt>
                <c:pt idx="8">
                  <c:v>7.6725600397918148E-2</c:v>
                </c:pt>
                <c:pt idx="9">
                  <c:v>6.9684612905903984E-2</c:v>
                </c:pt>
                <c:pt idx="10">
                  <c:v>5.5801672513401453E-3</c:v>
                </c:pt>
                <c:pt idx="11">
                  <c:v>4.6728378969231786E-2</c:v>
                </c:pt>
                <c:pt idx="12">
                  <c:v>1.3931481047633058E-2</c:v>
                </c:pt>
                <c:pt idx="13">
                  <c:v>2.2934886488859895E-2</c:v>
                </c:pt>
                <c:pt idx="14">
                  <c:v>4.7171560929524202E-2</c:v>
                </c:pt>
                <c:pt idx="15">
                  <c:v>4.5095638223549554E-2</c:v>
                </c:pt>
                <c:pt idx="16">
                  <c:v>4.4208996140284507E-2</c:v>
                </c:pt>
                <c:pt idx="17">
                  <c:v>2.1289076514067171E-2</c:v>
                </c:pt>
                <c:pt idx="18">
                  <c:v>3.5065923958364116E-2</c:v>
                </c:pt>
                <c:pt idx="19">
                  <c:v>0.12544079776204453</c:v>
                </c:pt>
                <c:pt idx="20">
                  <c:v>4.2415230049813062E-2</c:v>
                </c:pt>
                <c:pt idx="21">
                  <c:v>3.7931789988788517E-2</c:v>
                </c:pt>
                <c:pt idx="22">
                  <c:v>0.10472507022912192</c:v>
                </c:pt>
                <c:pt idx="23">
                  <c:v>0.15010246304880398</c:v>
                </c:pt>
                <c:pt idx="24">
                  <c:v>0.15221001880441892</c:v>
                </c:pt>
                <c:pt idx="25">
                  <c:v>0.10981512338186447</c:v>
                </c:pt>
                <c:pt idx="26">
                  <c:v>0.10110498500546906</c:v>
                </c:pt>
                <c:pt idx="27">
                  <c:v>0.20383855732747699</c:v>
                </c:pt>
                <c:pt idx="28">
                  <c:v>0.18724191938146487</c:v>
                </c:pt>
                <c:pt idx="29">
                  <c:v>0.16696593240802901</c:v>
                </c:pt>
                <c:pt idx="30">
                  <c:v>0.20406847716185475</c:v>
                </c:pt>
                <c:pt idx="31">
                  <c:v>6.4114339956248587E-2</c:v>
                </c:pt>
                <c:pt idx="32">
                  <c:v>0.26999667683583667</c:v>
                </c:pt>
                <c:pt idx="33">
                  <c:v>0.27092593409797128</c:v>
                </c:pt>
                <c:pt idx="34">
                  <c:v>0.1382405847790458</c:v>
                </c:pt>
                <c:pt idx="35">
                  <c:v>7.377173625189383E-2</c:v>
                </c:pt>
                <c:pt idx="36">
                  <c:v>7.575766372427821E-2</c:v>
                </c:pt>
                <c:pt idx="37">
                  <c:v>0.17885070235454534</c:v>
                </c:pt>
                <c:pt idx="38">
                  <c:v>0.12209177419703944</c:v>
                </c:pt>
                <c:pt idx="39">
                  <c:v>7.5008053871554112E-2</c:v>
                </c:pt>
                <c:pt idx="40">
                  <c:v>0.33466824006206242</c:v>
                </c:pt>
                <c:pt idx="41">
                  <c:v>0.18035228044568599</c:v>
                </c:pt>
                <c:pt idx="42">
                  <c:v>9.8562169073035888E-2</c:v>
                </c:pt>
                <c:pt idx="43">
                  <c:v>0.12767373475933139</c:v>
                </c:pt>
                <c:pt idx="44">
                  <c:v>0.24039290419025153</c:v>
                </c:pt>
                <c:pt idx="45">
                  <c:v>0.22411692673367056</c:v>
                </c:pt>
                <c:pt idx="46">
                  <c:v>0.20935103574349984</c:v>
                </c:pt>
                <c:pt idx="47">
                  <c:v>4.8366033089941633E-2</c:v>
                </c:pt>
                <c:pt idx="48">
                  <c:v>9.0204635906129343E-2</c:v>
                </c:pt>
                <c:pt idx="49">
                  <c:v>0.34325651959032205</c:v>
                </c:pt>
                <c:pt idx="50">
                  <c:v>0.23652415431992158</c:v>
                </c:pt>
                <c:pt idx="51">
                  <c:v>8.01824639722368E-2</c:v>
                </c:pt>
                <c:pt idx="52">
                  <c:v>8.5610464609279888E-2</c:v>
                </c:pt>
                <c:pt idx="53">
                  <c:v>0.10165640182682732</c:v>
                </c:pt>
                <c:pt idx="54">
                  <c:v>0.12434685741130877</c:v>
                </c:pt>
                <c:pt idx="55">
                  <c:v>0.10274007142482862</c:v>
                </c:pt>
                <c:pt idx="56">
                  <c:v>3.7859659882741994E-2</c:v>
                </c:pt>
                <c:pt idx="57">
                  <c:v>4.0068947120802452E-2</c:v>
                </c:pt>
                <c:pt idx="58">
                  <c:v>5.6857329581254272E-2</c:v>
                </c:pt>
                <c:pt idx="59">
                  <c:v>6.3753813829181549E-2</c:v>
                </c:pt>
                <c:pt idx="60">
                  <c:v>7.4138995181994669E-2</c:v>
                </c:pt>
                <c:pt idx="61">
                  <c:v>6.7481403343985294E-2</c:v>
                </c:pt>
                <c:pt idx="62">
                  <c:v>7.9660036862272424E-2</c:v>
                </c:pt>
                <c:pt idx="63">
                  <c:v>0.18421429128240371</c:v>
                </c:pt>
                <c:pt idx="64">
                  <c:v>2.7723989279574032E-2</c:v>
                </c:pt>
                <c:pt idx="65">
                  <c:v>4.6375928355218123E-2</c:v>
                </c:pt>
                <c:pt idx="66">
                  <c:v>7.7536909604010232E-2</c:v>
                </c:pt>
                <c:pt idx="67">
                  <c:v>0.15443427105243498</c:v>
                </c:pt>
                <c:pt idx="68">
                  <c:v>0.49562530607418603</c:v>
                </c:pt>
                <c:pt idx="69">
                  <c:v>3.6527397679379764E-2</c:v>
                </c:pt>
                <c:pt idx="70">
                  <c:v>3.5070354762446306E-2</c:v>
                </c:pt>
                <c:pt idx="71">
                  <c:v>0.13507391364116467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2D-4317-BA33-194772B31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7408"/>
        <c:axId val="51538944"/>
      </c:scatterChart>
      <c:valAx>
        <c:axId val="5153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8944"/>
        <c:crosses val="autoZero"/>
        <c:crossBetween val="midCat"/>
      </c:valAx>
      <c:valAx>
        <c:axId val="5153894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fit'!$CP$1</c:f>
              <c:strCache>
                <c:ptCount val="1"/>
                <c:pt idx="0">
                  <c:v>Po7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fit'!$CP$2:$CP$73</c:f>
              <c:numCache>
                <c:formatCode>0.000</c:formatCode>
                <c:ptCount val="72"/>
                <c:pt idx="0">
                  <c:v>5.9701492537313433E-3</c:v>
                </c:pt>
                <c:pt idx="1">
                  <c:v>2.1245205075243436E-2</c:v>
                </c:pt>
                <c:pt idx="2">
                  <c:v>1.7064846416382253E-3</c:v>
                </c:pt>
                <c:pt idx="3">
                  <c:v>4.3331728454501688E-3</c:v>
                </c:pt>
                <c:pt idx="4">
                  <c:v>1.6750418760469012E-3</c:v>
                </c:pt>
                <c:pt idx="5">
                  <c:v>6.4338235294117644E-3</c:v>
                </c:pt>
                <c:pt idx="6">
                  <c:v>0</c:v>
                </c:pt>
                <c:pt idx="7">
                  <c:v>4.3763676148796497E-2</c:v>
                </c:pt>
                <c:pt idx="8">
                  <c:v>4.7311827956989246E-2</c:v>
                </c:pt>
                <c:pt idx="9">
                  <c:v>2.5787965616045846E-2</c:v>
                </c:pt>
                <c:pt idx="10">
                  <c:v>0</c:v>
                </c:pt>
                <c:pt idx="11">
                  <c:v>0</c:v>
                </c:pt>
                <c:pt idx="12">
                  <c:v>3.2414910858995136E-3</c:v>
                </c:pt>
                <c:pt idx="13">
                  <c:v>6.8027210884353739E-3</c:v>
                </c:pt>
                <c:pt idx="14">
                  <c:v>5.7361376673040155E-3</c:v>
                </c:pt>
                <c:pt idx="15">
                  <c:v>1.7142857142857144E-2</c:v>
                </c:pt>
                <c:pt idx="16">
                  <c:v>1.7142857142857144E-2</c:v>
                </c:pt>
                <c:pt idx="17">
                  <c:v>1.7142857142857144E-2</c:v>
                </c:pt>
                <c:pt idx="18">
                  <c:v>1.7142857142857144E-2</c:v>
                </c:pt>
                <c:pt idx="19">
                  <c:v>1.7142857142857144E-2</c:v>
                </c:pt>
                <c:pt idx="20">
                  <c:v>1.7142857142857144E-2</c:v>
                </c:pt>
                <c:pt idx="21">
                  <c:v>1.4646053702196907E-2</c:v>
                </c:pt>
                <c:pt idx="22">
                  <c:v>2.4691358024691357E-2</c:v>
                </c:pt>
                <c:pt idx="23">
                  <c:v>4.5307443365695796E-2</c:v>
                </c:pt>
                <c:pt idx="24">
                  <c:v>0.10742107421074211</c:v>
                </c:pt>
                <c:pt idx="25">
                  <c:v>8.5893998762631471E-2</c:v>
                </c:pt>
                <c:pt idx="26">
                  <c:v>5.54930030561364E-2</c:v>
                </c:pt>
                <c:pt idx="27">
                  <c:v>8.0967803391122112E-2</c:v>
                </c:pt>
                <c:pt idx="28">
                  <c:v>0.1064541013113911</c:v>
                </c:pt>
                <c:pt idx="29">
                  <c:v>0.12042905899561189</c:v>
                </c:pt>
                <c:pt idx="30">
                  <c:v>0.10364963503649635</c:v>
                </c:pt>
                <c:pt idx="31">
                  <c:v>0.15438906043228937</c:v>
                </c:pt>
                <c:pt idx="32">
                  <c:v>6.1385459533607682E-2</c:v>
                </c:pt>
                <c:pt idx="33">
                  <c:v>0.20263852242744063</c:v>
                </c:pt>
                <c:pt idx="34">
                  <c:v>0.12282878411910669</c:v>
                </c:pt>
                <c:pt idx="35">
                  <c:v>4.8947368421052628E-2</c:v>
                </c:pt>
                <c:pt idx="36">
                  <c:v>3.4966887417218546E-2</c:v>
                </c:pt>
                <c:pt idx="37">
                  <c:v>8.5499530222361411E-2</c:v>
                </c:pt>
                <c:pt idx="38">
                  <c:v>5.8485329103885805E-2</c:v>
                </c:pt>
                <c:pt idx="39">
                  <c:v>8.3999256643746509E-2</c:v>
                </c:pt>
                <c:pt idx="40">
                  <c:v>4.4191019244476125E-2</c:v>
                </c:pt>
                <c:pt idx="41">
                  <c:v>0.33389782670053625</c:v>
                </c:pt>
                <c:pt idx="42">
                  <c:v>5.9756742464304603E-2</c:v>
                </c:pt>
                <c:pt idx="43">
                  <c:v>6.187974314068885E-2</c:v>
                </c:pt>
                <c:pt idx="44">
                  <c:v>7.8699340245051833E-2</c:v>
                </c:pt>
                <c:pt idx="45">
                  <c:v>0.20993624972521432</c:v>
                </c:pt>
                <c:pt idx="46">
                  <c:v>0.17409387997623291</c:v>
                </c:pt>
                <c:pt idx="47">
                  <c:v>7.2350891576142648E-2</c:v>
                </c:pt>
                <c:pt idx="48">
                  <c:v>3.7937743190661476E-2</c:v>
                </c:pt>
                <c:pt idx="49">
                  <c:v>5.4573016675088432E-2</c:v>
                </c:pt>
                <c:pt idx="50">
                  <c:v>0.19946091644204852</c:v>
                </c:pt>
                <c:pt idx="51">
                  <c:v>0.10740144810941271</c:v>
                </c:pt>
                <c:pt idx="52">
                  <c:v>3.7486515641855449E-2</c:v>
                </c:pt>
                <c:pt idx="53">
                  <c:v>3.4954066771230113E-2</c:v>
                </c:pt>
                <c:pt idx="54">
                  <c:v>5.2360174533915116E-2</c:v>
                </c:pt>
                <c:pt idx="55">
                  <c:v>1.6363636363636365E-2</c:v>
                </c:pt>
                <c:pt idx="56">
                  <c:v>1.3698630136986301E-2</c:v>
                </c:pt>
                <c:pt idx="57">
                  <c:v>1.1019283746556474E-2</c:v>
                </c:pt>
                <c:pt idx="58">
                  <c:v>1.7699115044247787E-2</c:v>
                </c:pt>
                <c:pt idx="59">
                  <c:v>1.3071895424836602E-2</c:v>
                </c:pt>
                <c:pt idx="60">
                  <c:v>1.4598540145985401E-2</c:v>
                </c:pt>
                <c:pt idx="61">
                  <c:v>8.3798882681564244E-3</c:v>
                </c:pt>
                <c:pt idx="62">
                  <c:v>6.2695924764890276E-2</c:v>
                </c:pt>
                <c:pt idx="63">
                  <c:v>3.2786885245901641E-2</c:v>
                </c:pt>
                <c:pt idx="64">
                  <c:v>4.46521287642783E-2</c:v>
                </c:pt>
                <c:pt idx="65">
                  <c:v>8.241758241758242E-3</c:v>
                </c:pt>
                <c:pt idx="66">
                  <c:v>1.7875920084121977E-2</c:v>
                </c:pt>
                <c:pt idx="67">
                  <c:v>4.3087971274685818E-2</c:v>
                </c:pt>
                <c:pt idx="68">
                  <c:v>9.1633466135458169E-2</c:v>
                </c:pt>
                <c:pt idx="69">
                  <c:v>0.18352059925093633</c:v>
                </c:pt>
                <c:pt idx="70">
                  <c:v>2.9900332225913623E-2</c:v>
                </c:pt>
                <c:pt idx="71">
                  <c:v>8.1135902636916835E-3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6-425D-824B-C2AF542C2E2D}"/>
            </c:ext>
          </c:extLst>
        </c:ser>
        <c:ser>
          <c:idx val="1"/>
          <c:order val="1"/>
          <c:tx>
            <c:strRef>
              <c:f>'relm fit'!$CW$1</c:f>
              <c:strCache>
                <c:ptCount val="1"/>
                <c:pt idx="0">
                  <c:v>pp7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fit'!$CW$2:$CW$73</c:f>
              <c:numCache>
                <c:formatCode>0.000</c:formatCode>
                <c:ptCount val="72"/>
                <c:pt idx="0">
                  <c:v>1.3347231255390139E-2</c:v>
                </c:pt>
                <c:pt idx="1">
                  <c:v>2.1838966756819862E-2</c:v>
                </c:pt>
                <c:pt idx="2">
                  <c:v>8.7176126880020334E-3</c:v>
                </c:pt>
                <c:pt idx="3">
                  <c:v>4.9207295880452535E-3</c:v>
                </c:pt>
                <c:pt idx="4">
                  <c:v>1.3259494784891128E-3</c:v>
                </c:pt>
                <c:pt idx="5">
                  <c:v>3.9762122102320087E-2</c:v>
                </c:pt>
                <c:pt idx="6">
                  <c:v>9.5382398323030096E-2</c:v>
                </c:pt>
                <c:pt idx="7">
                  <c:v>9.2620723202781141E-2</c:v>
                </c:pt>
                <c:pt idx="8">
                  <c:v>4.4528908182574718E-2</c:v>
                </c:pt>
                <c:pt idx="9">
                  <c:v>2.3233535547813631E-2</c:v>
                </c:pt>
                <c:pt idx="10">
                  <c:v>3.617621252772361E-5</c:v>
                </c:pt>
                <c:pt idx="11">
                  <c:v>5.7501041452457749E-5</c:v>
                </c:pt>
                <c:pt idx="12">
                  <c:v>2.2209582387896151E-3</c:v>
                </c:pt>
                <c:pt idx="13">
                  <c:v>4.5812882734271284E-3</c:v>
                </c:pt>
                <c:pt idx="14">
                  <c:v>3.8772889055829333E-3</c:v>
                </c:pt>
                <c:pt idx="15">
                  <c:v>9.4805225094188299E-3</c:v>
                </c:pt>
                <c:pt idx="16">
                  <c:v>1.5455408491283629E-2</c:v>
                </c:pt>
                <c:pt idx="17">
                  <c:v>4.8228084329759733E-3</c:v>
                </c:pt>
                <c:pt idx="18">
                  <c:v>3.8006427049060926E-3</c:v>
                </c:pt>
                <c:pt idx="19">
                  <c:v>9.1765975869510553E-3</c:v>
                </c:pt>
                <c:pt idx="20">
                  <c:v>2.4051687727731322E-2</c:v>
                </c:pt>
                <c:pt idx="21">
                  <c:v>9.3403232954108462E-3</c:v>
                </c:pt>
                <c:pt idx="22">
                  <c:v>1.3956478719152675E-2</c:v>
                </c:pt>
                <c:pt idx="23">
                  <c:v>3.4007601399069366E-2</c:v>
                </c:pt>
                <c:pt idx="24">
                  <c:v>6.4880720321007307E-2</c:v>
                </c:pt>
                <c:pt idx="25">
                  <c:v>5.3227518247199117E-2</c:v>
                </c:pt>
                <c:pt idx="26">
                  <c:v>3.9428392287144079E-2</c:v>
                </c:pt>
                <c:pt idx="27">
                  <c:v>4.0715976873825957E-2</c:v>
                </c:pt>
                <c:pt idx="28">
                  <c:v>6.0622742559815125E-2</c:v>
                </c:pt>
                <c:pt idx="29">
                  <c:v>0.1374575559421691</c:v>
                </c:pt>
                <c:pt idx="30">
                  <c:v>6.7389830701541628E-2</c:v>
                </c:pt>
                <c:pt idx="31">
                  <c:v>9.8687992097746563E-2</c:v>
                </c:pt>
                <c:pt idx="32">
                  <c:v>3.6288862819880717E-2</c:v>
                </c:pt>
                <c:pt idx="33">
                  <c:v>0.16233527160394365</c:v>
                </c:pt>
                <c:pt idx="34">
                  <c:v>0.13159998816540938</c:v>
                </c:pt>
                <c:pt idx="35">
                  <c:v>4.3346321712222524E-2</c:v>
                </c:pt>
                <c:pt idx="36">
                  <c:v>2.6933509938661754E-2</c:v>
                </c:pt>
                <c:pt idx="37">
                  <c:v>3.6155087732873202E-2</c:v>
                </c:pt>
                <c:pt idx="38">
                  <c:v>3.5984337048873272E-2</c:v>
                </c:pt>
                <c:pt idx="39">
                  <c:v>7.4289801750644188E-2</c:v>
                </c:pt>
                <c:pt idx="40">
                  <c:v>4.5953966442599234E-2</c:v>
                </c:pt>
                <c:pt idx="41">
                  <c:v>0.1563143414785057</c:v>
                </c:pt>
                <c:pt idx="42">
                  <c:v>6.9343553166777386E-2</c:v>
                </c:pt>
                <c:pt idx="43">
                  <c:v>5.1055330834488134E-2</c:v>
                </c:pt>
                <c:pt idx="44">
                  <c:v>7.6126107388232736E-2</c:v>
                </c:pt>
                <c:pt idx="45">
                  <c:v>0.16144045202978866</c:v>
                </c:pt>
                <c:pt idx="46">
                  <c:v>0.12781262205373653</c:v>
                </c:pt>
                <c:pt idx="47">
                  <c:v>5.1396823914776832E-2</c:v>
                </c:pt>
                <c:pt idx="48">
                  <c:v>2.3843140863068889E-2</c:v>
                </c:pt>
                <c:pt idx="49">
                  <c:v>4.9965464882302309E-2</c:v>
                </c:pt>
                <c:pt idx="50">
                  <c:v>0.17286542041382114</c:v>
                </c:pt>
                <c:pt idx="51">
                  <c:v>0.10847578722624439</c:v>
                </c:pt>
                <c:pt idx="52">
                  <c:v>2.8674409816141826E-2</c:v>
                </c:pt>
                <c:pt idx="53">
                  <c:v>2.9685467428629528E-2</c:v>
                </c:pt>
                <c:pt idx="54">
                  <c:v>4.8323320935672161E-2</c:v>
                </c:pt>
                <c:pt idx="55">
                  <c:v>1.43890987946986E-2</c:v>
                </c:pt>
                <c:pt idx="56">
                  <c:v>2.0231498281072926E-2</c:v>
                </c:pt>
                <c:pt idx="57">
                  <c:v>7.0831854370351881E-3</c:v>
                </c:pt>
                <c:pt idx="58">
                  <c:v>1.2277416675003113E-2</c:v>
                </c:pt>
                <c:pt idx="59">
                  <c:v>7.401718802848044E-3</c:v>
                </c:pt>
                <c:pt idx="60">
                  <c:v>1.2818873155051522E-2</c:v>
                </c:pt>
                <c:pt idx="61">
                  <c:v>2.0712443253277108E-2</c:v>
                </c:pt>
                <c:pt idx="62">
                  <c:v>4.1437441552386468E-2</c:v>
                </c:pt>
                <c:pt idx="63">
                  <c:v>3.3109512530678599E-2</c:v>
                </c:pt>
                <c:pt idx="64">
                  <c:v>3.2919959947634678E-2</c:v>
                </c:pt>
                <c:pt idx="65">
                  <c:v>9.0208444825655831E-3</c:v>
                </c:pt>
                <c:pt idx="66">
                  <c:v>1.0853715891186428E-2</c:v>
                </c:pt>
                <c:pt idx="67">
                  <c:v>5.477995373038283E-2</c:v>
                </c:pt>
                <c:pt idx="68">
                  <c:v>0.12738229432055709</c:v>
                </c:pt>
                <c:pt idx="69">
                  <c:v>0.13171897576610536</c:v>
                </c:pt>
                <c:pt idx="70">
                  <c:v>1.5602426815323029E-2</c:v>
                </c:pt>
                <c:pt idx="71">
                  <c:v>7.2042657573916811E-3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A6-425D-824B-C2AF542C2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1216"/>
        <c:axId val="51562752"/>
      </c:scatterChart>
      <c:valAx>
        <c:axId val="515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752"/>
        <c:crosses val="autoZero"/>
        <c:crossBetween val="midCat"/>
      </c:valAx>
      <c:valAx>
        <c:axId val="5156275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fit'!$CQ$1</c:f>
              <c:strCache>
                <c:ptCount val="1"/>
                <c:pt idx="0">
                  <c:v>Po8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fit'!$CQ$2:$CQ$73</c:f>
              <c:numCache>
                <c:formatCode>0.000000</c:formatCode>
                <c:ptCount val="72"/>
                <c:pt idx="0">
                  <c:v>4.9751243781094524E-4</c:v>
                </c:pt>
                <c:pt idx="1">
                  <c:v>4.7211566833874298E-3</c:v>
                </c:pt>
                <c:pt idx="2">
                  <c:v>0</c:v>
                </c:pt>
                <c:pt idx="3">
                  <c:v>2.4073182474723159E-3</c:v>
                </c:pt>
                <c:pt idx="4">
                  <c:v>0</c:v>
                </c:pt>
                <c:pt idx="5">
                  <c:v>1.838235294117647E-3</c:v>
                </c:pt>
                <c:pt idx="6">
                  <c:v>0</c:v>
                </c:pt>
                <c:pt idx="7">
                  <c:v>1.0940919037199124E-2</c:v>
                </c:pt>
                <c:pt idx="8">
                  <c:v>3.9784946236559142E-2</c:v>
                </c:pt>
                <c:pt idx="9">
                  <c:v>9.5510983763132766E-3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9.7640358014646055E-3</c:v>
                </c:pt>
                <c:pt idx="22">
                  <c:v>5.5342699020859941E-3</c:v>
                </c:pt>
                <c:pt idx="23">
                  <c:v>4.3149946062567418E-3</c:v>
                </c:pt>
                <c:pt idx="24">
                  <c:v>2.6855268552685527E-2</c:v>
                </c:pt>
                <c:pt idx="25">
                  <c:v>2.9284388533718293E-2</c:v>
                </c:pt>
                <c:pt idx="26">
                  <c:v>2.1071256232909764E-2</c:v>
                </c:pt>
                <c:pt idx="27">
                  <c:v>2.5909697085159077E-2</c:v>
                </c:pt>
                <c:pt idx="28">
                  <c:v>1.8256621239393159E-2</c:v>
                </c:pt>
                <c:pt idx="29">
                  <c:v>5.7045343734763533E-2</c:v>
                </c:pt>
                <c:pt idx="30">
                  <c:v>4.1605839416058395E-2</c:v>
                </c:pt>
                <c:pt idx="31">
                  <c:v>3.6832818703131889E-2</c:v>
                </c:pt>
                <c:pt idx="32">
                  <c:v>7.8532235939643341E-2</c:v>
                </c:pt>
                <c:pt idx="33">
                  <c:v>3.5356200527704489E-2</c:v>
                </c:pt>
                <c:pt idx="34">
                  <c:v>6.5756823821339946E-2</c:v>
                </c:pt>
                <c:pt idx="35">
                  <c:v>3.8421052631578946E-2</c:v>
                </c:pt>
                <c:pt idx="36">
                  <c:v>2.1456953642384105E-2</c:v>
                </c:pt>
                <c:pt idx="37">
                  <c:v>2.1922956467272159E-2</c:v>
                </c:pt>
                <c:pt idx="38">
                  <c:v>8.9214908802537664E-3</c:v>
                </c:pt>
                <c:pt idx="39">
                  <c:v>2.5274112618472403E-2</c:v>
                </c:pt>
                <c:pt idx="40">
                  <c:v>4.9714896650035638E-2</c:v>
                </c:pt>
                <c:pt idx="41">
                  <c:v>4.0079029071408409E-2</c:v>
                </c:pt>
                <c:pt idx="42">
                  <c:v>0.1118455843469064</c:v>
                </c:pt>
                <c:pt idx="43">
                  <c:v>6.499318933644678E-2</c:v>
                </c:pt>
                <c:pt idx="44">
                  <c:v>5.1837888784165884E-2</c:v>
                </c:pt>
                <c:pt idx="45">
                  <c:v>4.4625192349967029E-2</c:v>
                </c:pt>
                <c:pt idx="46">
                  <c:v>0.11705288175876412</c:v>
                </c:pt>
                <c:pt idx="47">
                  <c:v>4.28366468538635E-2</c:v>
                </c:pt>
                <c:pt idx="48">
                  <c:v>2.2859922178988325E-2</c:v>
                </c:pt>
                <c:pt idx="49">
                  <c:v>1.9201616978271854E-2</c:v>
                </c:pt>
                <c:pt idx="50">
                  <c:v>2.7852650494159928E-2</c:v>
                </c:pt>
                <c:pt idx="51">
                  <c:v>0.10096540627514079</c:v>
                </c:pt>
                <c:pt idx="52">
                  <c:v>3.9104638619201729E-2</c:v>
                </c:pt>
                <c:pt idx="53">
                  <c:v>1.008290387631638E-2</c:v>
                </c:pt>
                <c:pt idx="54">
                  <c:v>1.3486711622372074E-2</c:v>
                </c:pt>
                <c:pt idx="55">
                  <c:v>1.8181818181818182E-3</c:v>
                </c:pt>
                <c:pt idx="56">
                  <c:v>0</c:v>
                </c:pt>
                <c:pt idx="57">
                  <c:v>8.2644628099173556E-3</c:v>
                </c:pt>
                <c:pt idx="58">
                  <c:v>0</c:v>
                </c:pt>
                <c:pt idx="59">
                  <c:v>1.8674136321195146E-3</c:v>
                </c:pt>
                <c:pt idx="60">
                  <c:v>0</c:v>
                </c:pt>
                <c:pt idx="61">
                  <c:v>4.1899441340782122E-3</c:v>
                </c:pt>
                <c:pt idx="62">
                  <c:v>6.269592476489028E-3</c:v>
                </c:pt>
                <c:pt idx="63">
                  <c:v>0</c:v>
                </c:pt>
                <c:pt idx="64">
                  <c:v>6.2305295950155761E-3</c:v>
                </c:pt>
                <c:pt idx="65">
                  <c:v>1.3736263736263736E-2</c:v>
                </c:pt>
                <c:pt idx="66">
                  <c:v>2.103049421661409E-3</c:v>
                </c:pt>
                <c:pt idx="67">
                  <c:v>6.2836624775583485E-3</c:v>
                </c:pt>
                <c:pt idx="68">
                  <c:v>4.1832669322709161E-2</c:v>
                </c:pt>
                <c:pt idx="69">
                  <c:v>4.1198501872659173E-2</c:v>
                </c:pt>
                <c:pt idx="70">
                  <c:v>4.3189368770764118E-2</c:v>
                </c:pt>
                <c:pt idx="71">
                  <c:v>2.0283975659229209E-3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2-4B46-A83D-A6EA3E8D1EF9}"/>
            </c:ext>
          </c:extLst>
        </c:ser>
        <c:ser>
          <c:idx val="1"/>
          <c:order val="1"/>
          <c:tx>
            <c:strRef>
              <c:f>'relm fit'!$CX$1</c:f>
              <c:strCache>
                <c:ptCount val="1"/>
                <c:pt idx="0">
                  <c:v>pp8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fit'!$CX$2:$CX$73</c:f>
              <c:numCache>
                <c:formatCode>0.000</c:formatCode>
                <c:ptCount val="72"/>
                <c:pt idx="0">
                  <c:v>1.0780967164369434E-3</c:v>
                </c:pt>
                <c:pt idx="1">
                  <c:v>8.4851067094823922E-3</c:v>
                </c:pt>
                <c:pt idx="2">
                  <c:v>2.2323041142986591E-3</c:v>
                </c:pt>
                <c:pt idx="3">
                  <c:v>1.426694350133073E-3</c:v>
                </c:pt>
                <c:pt idx="4">
                  <c:v>1.3093282255914112E-3</c:v>
                </c:pt>
                <c:pt idx="5">
                  <c:v>4.940847775087889E-4</c:v>
                </c:pt>
                <c:pt idx="6">
                  <c:v>2.2319173639513079E-2</c:v>
                </c:pt>
                <c:pt idx="7">
                  <c:v>3.352188877226657E-2</c:v>
                </c:pt>
                <c:pt idx="8">
                  <c:v>3.4892825887341709E-2</c:v>
                </c:pt>
                <c:pt idx="9">
                  <c:v>8.6050675189523178E-3</c:v>
                </c:pt>
                <c:pt idx="10">
                  <c:v>1.735186504800445E-5</c:v>
                </c:pt>
                <c:pt idx="11">
                  <c:v>2.5374104155028594E-5</c:v>
                </c:pt>
                <c:pt idx="12">
                  <c:v>9.0072836208018916E-6</c:v>
                </c:pt>
                <c:pt idx="13">
                  <c:v>1.1237367885123966E-5</c:v>
                </c:pt>
                <c:pt idx="14">
                  <c:v>6.8423011192972298E-6</c:v>
                </c:pt>
                <c:pt idx="15">
                  <c:v>9.0028245540751999E-6</c:v>
                </c:pt>
                <c:pt idx="16">
                  <c:v>1.636452071402763E-5</c:v>
                </c:pt>
                <c:pt idx="17">
                  <c:v>5.3606612833999599E-5</c:v>
                </c:pt>
                <c:pt idx="18">
                  <c:v>5.1319783164919601E-5</c:v>
                </c:pt>
                <c:pt idx="19">
                  <c:v>4.3103352604573276E-5</c:v>
                </c:pt>
                <c:pt idx="20">
                  <c:v>1.0670170724650268E-3</c:v>
                </c:pt>
                <c:pt idx="21">
                  <c:v>4.2009393712718803E-3</c:v>
                </c:pt>
                <c:pt idx="22">
                  <c:v>2.4990368026074111E-3</c:v>
                </c:pt>
                <c:pt idx="23">
                  <c:v>3.1713628656870655E-3</c:v>
                </c:pt>
                <c:pt idx="24">
                  <c:v>1.2783386658828994E-2</c:v>
                </c:pt>
                <c:pt idx="25">
                  <c:v>1.7068049992219201E-2</c:v>
                </c:pt>
                <c:pt idx="26">
                  <c:v>1.2203553558258176E-2</c:v>
                </c:pt>
                <c:pt idx="27">
                  <c:v>1.3923716015600641E-2</c:v>
                </c:pt>
                <c:pt idx="28">
                  <c:v>7.6740762405212801E-3</c:v>
                </c:pt>
                <c:pt idx="29">
                  <c:v>2.0730488757137833E-2</c:v>
                </c:pt>
                <c:pt idx="30">
                  <c:v>4.5955268672185433E-2</c:v>
                </c:pt>
                <c:pt idx="31">
                  <c:v>2.3744607537382958E-2</c:v>
                </c:pt>
                <c:pt idx="32">
                  <c:v>4.2278512784288208E-2</c:v>
                </c:pt>
                <c:pt idx="33">
                  <c:v>1.2236524648647547E-2</c:v>
                </c:pt>
                <c:pt idx="34">
                  <c:v>5.8751402802333687E-2</c:v>
                </c:pt>
                <c:pt idx="35">
                  <c:v>3.3854029498299375E-2</c:v>
                </c:pt>
                <c:pt idx="36">
                  <c:v>1.296704431940322E-2</c:v>
                </c:pt>
                <c:pt idx="37">
                  <c:v>1.1213205242231079E-2</c:v>
                </c:pt>
                <c:pt idx="38">
                  <c:v>4.5723375375361893E-3</c:v>
                </c:pt>
                <c:pt idx="39">
                  <c:v>1.4051051803506244E-2</c:v>
                </c:pt>
                <c:pt idx="40">
                  <c:v>3.5319116208412583E-2</c:v>
                </c:pt>
                <c:pt idx="41">
                  <c:v>2.201446294837418E-2</c:v>
                </c:pt>
                <c:pt idx="42">
                  <c:v>3.758908251032457E-2</c:v>
                </c:pt>
                <c:pt idx="43">
                  <c:v>3.24863760066086E-2</c:v>
                </c:pt>
                <c:pt idx="44">
                  <c:v>2.3158580329505379E-2</c:v>
                </c:pt>
                <c:pt idx="45">
                  <c:v>4.6026345450441188E-2</c:v>
                </c:pt>
                <c:pt idx="46">
                  <c:v>7.3237250692691699E-2</c:v>
                </c:pt>
                <c:pt idx="47">
                  <c:v>2.4923605202234068E-2</c:v>
                </c:pt>
                <c:pt idx="48">
                  <c:v>1.7003547244787802E-2</c:v>
                </c:pt>
                <c:pt idx="49">
                  <c:v>9.3533952851808048E-3</c:v>
                </c:pt>
                <c:pt idx="50">
                  <c:v>2.1805936501018076E-2</c:v>
                </c:pt>
                <c:pt idx="51">
                  <c:v>5.9404440238499896E-2</c:v>
                </c:pt>
                <c:pt idx="52">
                  <c:v>3.3748658159192674E-2</c:v>
                </c:pt>
                <c:pt idx="53">
                  <c:v>6.3231920412007208E-3</c:v>
                </c:pt>
                <c:pt idx="54">
                  <c:v>9.4717874149733098E-3</c:v>
                </c:pt>
                <c:pt idx="55">
                  <c:v>7.2689014183239401E-3</c:v>
                </c:pt>
                <c:pt idx="56">
                  <c:v>2.2217041361058997E-3</c:v>
                </c:pt>
                <c:pt idx="57">
                  <c:v>5.3098030889183832E-3</c:v>
                </c:pt>
                <c:pt idx="58">
                  <c:v>1.4652873372825756E-5</c:v>
                </c:pt>
                <c:pt idx="59">
                  <c:v>1.0626154646022142E-3</c:v>
                </c:pt>
                <c:pt idx="60">
                  <c:v>7.2475125575071569E-6</c:v>
                </c:pt>
                <c:pt idx="61">
                  <c:v>1.8924068301211165E-3</c:v>
                </c:pt>
                <c:pt idx="62">
                  <c:v>1.8699528952539551E-2</c:v>
                </c:pt>
                <c:pt idx="63">
                  <c:v>1.3287284693565433E-5</c:v>
                </c:pt>
                <c:pt idx="64">
                  <c:v>4.5536051407855755E-3</c:v>
                </c:pt>
                <c:pt idx="65">
                  <c:v>6.2981140501463658E-3</c:v>
                </c:pt>
                <c:pt idx="66">
                  <c:v>1.8670908379409346E-3</c:v>
                </c:pt>
                <c:pt idx="67">
                  <c:v>5.3724509599003562E-3</c:v>
                </c:pt>
                <c:pt idx="68">
                  <c:v>3.8982651831795438E-2</c:v>
                </c:pt>
                <c:pt idx="69">
                  <c:v>3.7617099659534137E-2</c:v>
                </c:pt>
                <c:pt idx="70">
                  <c:v>4.2799691208721721E-2</c:v>
                </c:pt>
                <c:pt idx="71">
                  <c:v>1.8013228890632453E-3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2-4B46-A83D-A6EA3E8D1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6576"/>
        <c:axId val="51738112"/>
      </c:scatterChart>
      <c:valAx>
        <c:axId val="5173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8112"/>
        <c:crosses val="autoZero"/>
        <c:crossBetween val="midCat"/>
      </c:valAx>
      <c:valAx>
        <c:axId val="51738112"/>
        <c:scaling>
          <c:orientation val="minMax"/>
        </c:scaling>
        <c:delete val="0"/>
        <c:axPos val="l"/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fit'!$CR$1</c:f>
              <c:strCache>
                <c:ptCount val="1"/>
                <c:pt idx="0">
                  <c:v>Po9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fit'!$CR$2:$CR$73</c:f>
              <c:numCache>
                <c:formatCode>0.000000</c:formatCode>
                <c:ptCount val="72"/>
                <c:pt idx="0">
                  <c:v>4.9751243781094524E-4</c:v>
                </c:pt>
                <c:pt idx="1">
                  <c:v>5.9014458542342872E-4</c:v>
                </c:pt>
                <c:pt idx="2">
                  <c:v>0</c:v>
                </c:pt>
                <c:pt idx="3">
                  <c:v>4.8146364949446316E-4</c:v>
                </c:pt>
                <c:pt idx="4">
                  <c:v>0</c:v>
                </c:pt>
                <c:pt idx="5">
                  <c:v>1.838235294117647E-3</c:v>
                </c:pt>
                <c:pt idx="6">
                  <c:v>0</c:v>
                </c:pt>
                <c:pt idx="7">
                  <c:v>2.1881838074398249E-3</c:v>
                </c:pt>
                <c:pt idx="8">
                  <c:v>1.1290322580645161E-2</c:v>
                </c:pt>
                <c:pt idx="9">
                  <c:v>3.8204393505253103E-3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8.1366965012205042E-4</c:v>
                </c:pt>
                <c:pt idx="22">
                  <c:v>1.277139208173691E-3</c:v>
                </c:pt>
                <c:pt idx="23">
                  <c:v>7.19165767709457E-4</c:v>
                </c:pt>
                <c:pt idx="24">
                  <c:v>3.4850348503485036E-3</c:v>
                </c:pt>
                <c:pt idx="25">
                  <c:v>4.5370179418436794E-3</c:v>
                </c:pt>
                <c:pt idx="26">
                  <c:v>3.8603828212964452E-3</c:v>
                </c:pt>
                <c:pt idx="27">
                  <c:v>4.1912745284816153E-3</c:v>
                </c:pt>
                <c:pt idx="28">
                  <c:v>5.6569812291077399E-3</c:v>
                </c:pt>
                <c:pt idx="29">
                  <c:v>8.2886396879570945E-3</c:v>
                </c:pt>
                <c:pt idx="30">
                  <c:v>7.6642335766423358E-3</c:v>
                </c:pt>
                <c:pt idx="31">
                  <c:v>1.7865019850022056E-2</c:v>
                </c:pt>
                <c:pt idx="32">
                  <c:v>1.2345679012345678E-2</c:v>
                </c:pt>
                <c:pt idx="33">
                  <c:v>2.7968337730870714E-2</c:v>
                </c:pt>
                <c:pt idx="34">
                  <c:v>4.9627791563275434E-3</c:v>
                </c:pt>
                <c:pt idx="35">
                  <c:v>1.2631578947368421E-2</c:v>
                </c:pt>
                <c:pt idx="36">
                  <c:v>1.4834437086092715E-2</c:v>
                </c:pt>
                <c:pt idx="37">
                  <c:v>1.2214218603194488E-2</c:v>
                </c:pt>
                <c:pt idx="38">
                  <c:v>2.7755749405233942E-3</c:v>
                </c:pt>
                <c:pt idx="39">
                  <c:v>3.5309422040512915E-3</c:v>
                </c:pt>
                <c:pt idx="40">
                  <c:v>8.9094796863863155E-3</c:v>
                </c:pt>
                <c:pt idx="41">
                  <c:v>2.4555461473327687E-2</c:v>
                </c:pt>
                <c:pt idx="42">
                  <c:v>1.3484928609201481E-2</c:v>
                </c:pt>
                <c:pt idx="43">
                  <c:v>1.9069857949017319E-2</c:v>
                </c:pt>
                <c:pt idx="44">
                  <c:v>3.6522148916116874E-2</c:v>
                </c:pt>
                <c:pt idx="45">
                  <c:v>1.8465596834469113E-2</c:v>
                </c:pt>
                <c:pt idx="46">
                  <c:v>1.9013666072489603E-2</c:v>
                </c:pt>
                <c:pt idx="47">
                  <c:v>2.2545603607296578E-2</c:v>
                </c:pt>
                <c:pt idx="48">
                  <c:v>1.0457198443579766E-2</c:v>
                </c:pt>
                <c:pt idx="49">
                  <c:v>1.1116725618999495E-2</c:v>
                </c:pt>
                <c:pt idx="50">
                  <c:v>4.4923629829290209E-3</c:v>
                </c:pt>
                <c:pt idx="51">
                  <c:v>1.0860820595333869E-2</c:v>
                </c:pt>
                <c:pt idx="52">
                  <c:v>2.4271844660194174E-2</c:v>
                </c:pt>
                <c:pt idx="53">
                  <c:v>5.6016132646202104E-3</c:v>
                </c:pt>
                <c:pt idx="54">
                  <c:v>1.1900039666798889E-3</c:v>
                </c:pt>
                <c:pt idx="55">
                  <c:v>0</c:v>
                </c:pt>
                <c:pt idx="56">
                  <c:v>0</c:v>
                </c:pt>
                <c:pt idx="57">
                  <c:v>1.3774104683195593E-3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1.6393442622950821E-2</c:v>
                </c:pt>
                <c:pt idx="64">
                  <c:v>0</c:v>
                </c:pt>
                <c:pt idx="65">
                  <c:v>2.7472527472527475E-3</c:v>
                </c:pt>
                <c:pt idx="66">
                  <c:v>2.103049421661409E-3</c:v>
                </c:pt>
                <c:pt idx="67">
                  <c:v>2.6929982046678637E-3</c:v>
                </c:pt>
                <c:pt idx="68">
                  <c:v>5.9760956175298804E-3</c:v>
                </c:pt>
                <c:pt idx="69">
                  <c:v>7.4906367041198503E-3</c:v>
                </c:pt>
                <c:pt idx="70">
                  <c:v>9.9667774086378731E-3</c:v>
                </c:pt>
                <c:pt idx="71">
                  <c:v>8.1135902636916835E-3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9-4997-A937-CBE3007F9000}"/>
            </c:ext>
          </c:extLst>
        </c:ser>
        <c:ser>
          <c:idx val="1"/>
          <c:order val="1"/>
          <c:tx>
            <c:strRef>
              <c:f>'relm fit'!$CY$1</c:f>
              <c:strCache>
                <c:ptCount val="1"/>
                <c:pt idx="0">
                  <c:v>pp9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fit'!$CY$2:$CY$73</c:f>
              <c:numCache>
                <c:formatCode>0.000</c:formatCode>
                <c:ptCount val="72"/>
                <c:pt idx="0">
                  <c:v>2.2427908351663043E-4</c:v>
                </c:pt>
                <c:pt idx="1">
                  <c:v>5.4773069764515103E-4</c:v>
                </c:pt>
                <c:pt idx="2">
                  <c:v>3.2493493061291259E-3</c:v>
                </c:pt>
                <c:pt idx="3">
                  <c:v>2.863381466253176E-4</c:v>
                </c:pt>
                <c:pt idx="4">
                  <c:v>2.1013900806733077E-6</c:v>
                </c:pt>
                <c:pt idx="5">
                  <c:v>4.9096141775510594E-4</c:v>
                </c:pt>
                <c:pt idx="6">
                  <c:v>2.1446538219512164E-6</c:v>
                </c:pt>
                <c:pt idx="7">
                  <c:v>6.2741267940719788E-3</c:v>
                </c:pt>
                <c:pt idx="8">
                  <c:v>1.1046244599684557E-2</c:v>
                </c:pt>
                <c:pt idx="9">
                  <c:v>3.4417517487475256E-3</c:v>
                </c:pt>
                <c:pt idx="10">
                  <c:v>5.003869943922033E-6</c:v>
                </c:pt>
                <c:pt idx="11">
                  <c:v>9.216856740363594E-6</c:v>
                </c:pt>
                <c:pt idx="12">
                  <c:v>2.8600264069785115E-6</c:v>
                </c:pt>
                <c:pt idx="13">
                  <c:v>4.0487544800088432E-6</c:v>
                </c:pt>
                <c:pt idx="14">
                  <c:v>3.2847191802798396E-6</c:v>
                </c:pt>
                <c:pt idx="15">
                  <c:v>3.0782269840689215E-6</c:v>
                </c:pt>
                <c:pt idx="16">
                  <c:v>4.7805658372201634E-6</c:v>
                </c:pt>
                <c:pt idx="17">
                  <c:v>1.5578294588568826E-5</c:v>
                </c:pt>
                <c:pt idx="18">
                  <c:v>1.3212391305738998E-5</c:v>
                </c:pt>
                <c:pt idx="19">
                  <c:v>1.0592641297735184E-5</c:v>
                </c:pt>
                <c:pt idx="20">
                  <c:v>4.7528413694193788E-6</c:v>
                </c:pt>
                <c:pt idx="21">
                  <c:v>1.384859454097592E-4</c:v>
                </c:pt>
                <c:pt idx="22">
                  <c:v>6.8108547977850274E-4</c:v>
                </c:pt>
                <c:pt idx="23">
                  <c:v>3.0790753613951652E-4</c:v>
                </c:pt>
                <c:pt idx="24">
                  <c:v>1.0389870669960334E-3</c:v>
                </c:pt>
                <c:pt idx="25">
                  <c:v>2.4023904086995936E-3</c:v>
                </c:pt>
                <c:pt idx="26">
                  <c:v>2.8772005637612711E-3</c:v>
                </c:pt>
                <c:pt idx="27">
                  <c:v>2.645684856385552E-3</c:v>
                </c:pt>
                <c:pt idx="28">
                  <c:v>2.400202554557329E-3</c:v>
                </c:pt>
                <c:pt idx="29">
                  <c:v>1.0341756369525472E-3</c:v>
                </c:pt>
                <c:pt idx="30">
                  <c:v>3.9338034160495338E-3</c:v>
                </c:pt>
                <c:pt idx="31">
                  <c:v>1.4110630870801413E-2</c:v>
                </c:pt>
                <c:pt idx="32">
                  <c:v>7.6911978830219094E-3</c:v>
                </c:pt>
                <c:pt idx="33">
                  <c:v>9.7044420498311329E-3</c:v>
                </c:pt>
                <c:pt idx="34">
                  <c:v>9.1183430734379162E-4</c:v>
                </c:pt>
                <c:pt idx="35">
                  <c:v>1.1652154433515544E-2</c:v>
                </c:pt>
                <c:pt idx="36">
                  <c:v>7.8925077811374464E-3</c:v>
                </c:pt>
                <c:pt idx="37">
                  <c:v>3.3114568351285708E-3</c:v>
                </c:pt>
                <c:pt idx="38">
                  <c:v>1.3602420890309157E-3</c:v>
                </c:pt>
                <c:pt idx="39">
                  <c:v>1.2162624270303636E-3</c:v>
                </c:pt>
                <c:pt idx="40">
                  <c:v>4.2108974056131255E-3</c:v>
                </c:pt>
                <c:pt idx="41">
                  <c:v>1.1234282077064457E-2</c:v>
                </c:pt>
                <c:pt idx="42">
                  <c:v>4.5148621379920983E-3</c:v>
                </c:pt>
                <c:pt idx="43">
                  <c:v>7.4052360814735327E-3</c:v>
                </c:pt>
                <c:pt idx="44">
                  <c:v>9.0538872604031921E-3</c:v>
                </c:pt>
                <c:pt idx="45">
                  <c:v>9.1904841498363088E-3</c:v>
                </c:pt>
                <c:pt idx="46">
                  <c:v>1.7505451773538024E-2</c:v>
                </c:pt>
                <c:pt idx="47">
                  <c:v>1.0682251099787442E-2</c:v>
                </c:pt>
                <c:pt idx="48">
                  <c:v>5.2207018188230583E-3</c:v>
                </c:pt>
                <c:pt idx="49">
                  <c:v>5.7211792575852481E-3</c:v>
                </c:pt>
                <c:pt idx="50">
                  <c:v>1.9641549143741715E-3</c:v>
                </c:pt>
                <c:pt idx="51">
                  <c:v>5.7975877625572984E-3</c:v>
                </c:pt>
                <c:pt idx="52">
                  <c:v>1.1523699818189499E-2</c:v>
                </c:pt>
                <c:pt idx="53">
                  <c:v>6.2676379478252033E-3</c:v>
                </c:pt>
                <c:pt idx="54">
                  <c:v>8.4018506917909607E-4</c:v>
                </c:pt>
                <c:pt idx="55">
                  <c:v>6.1121904134433095E-6</c:v>
                </c:pt>
                <c:pt idx="56">
                  <c:v>2.7260162956073298E-3</c:v>
                </c:pt>
                <c:pt idx="57">
                  <c:v>8.8713697189377657E-4</c:v>
                </c:pt>
                <c:pt idx="58">
                  <c:v>7.1003443391403453E-6</c:v>
                </c:pt>
                <c:pt idx="59">
                  <c:v>3.1160870150149791E-6</c:v>
                </c:pt>
                <c:pt idx="60">
                  <c:v>3.6589218801695616E-6</c:v>
                </c:pt>
                <c:pt idx="61">
                  <c:v>1.5834776539219351E-6</c:v>
                </c:pt>
                <c:pt idx="62">
                  <c:v>3.4936902909274344E-6</c:v>
                </c:pt>
                <c:pt idx="63">
                  <c:v>9.7943147481935923E-3</c:v>
                </c:pt>
                <c:pt idx="64">
                  <c:v>2.1068677350634831E-6</c:v>
                </c:pt>
                <c:pt idx="65">
                  <c:v>7.0273394070352905E-4</c:v>
                </c:pt>
                <c:pt idx="66">
                  <c:v>6.3028142430186394E-4</c:v>
                </c:pt>
                <c:pt idx="67">
                  <c:v>1.040058347713089E-3</c:v>
                </c:pt>
                <c:pt idx="68">
                  <c:v>2.5087607544078765E-3</c:v>
                </c:pt>
                <c:pt idx="69">
                  <c:v>7.6489478286039326E-3</c:v>
                </c:pt>
                <c:pt idx="70">
                  <c:v>1.2749732379288599E-2</c:v>
                </c:pt>
                <c:pt idx="71">
                  <c:v>7.2042657573916811E-3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79-4997-A937-CBE3007F9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72416"/>
        <c:axId val="52101888"/>
      </c:scatterChart>
      <c:valAx>
        <c:axId val="517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1888"/>
        <c:crosses val="autoZero"/>
        <c:crossBetween val="midCat"/>
      </c:valAx>
      <c:valAx>
        <c:axId val="52101888"/>
        <c:scaling>
          <c:orientation val="minMax"/>
        </c:scaling>
        <c:delete val="0"/>
        <c:axPos val="l"/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'relm fit'!$CS$1</c:f>
              <c:strCache>
                <c:ptCount val="1"/>
                <c:pt idx="0">
                  <c:v>Po10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fit'!$CS$2:$CS$73</c:f>
              <c:numCache>
                <c:formatCode>0.000000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4.8146364949446316E-4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2.1505376344086021E-3</c:v>
                </c:pt>
                <c:pt idx="9">
                  <c:v>1.9102196752626551E-3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3.595828838547285E-4</c:v>
                </c:pt>
                <c:pt idx="24">
                  <c:v>2.0500205002050019E-4</c:v>
                </c:pt>
                <c:pt idx="25">
                  <c:v>1.0311404413281089E-4</c:v>
                </c:pt>
                <c:pt idx="26">
                  <c:v>6.4339713688274091E-4</c:v>
                </c:pt>
                <c:pt idx="27">
                  <c:v>2.0956372642408076E-3</c:v>
                </c:pt>
                <c:pt idx="28">
                  <c:v>1.2856775520699408E-3</c:v>
                </c:pt>
                <c:pt idx="29">
                  <c:v>1.9502681618722574E-3</c:v>
                </c:pt>
                <c:pt idx="30">
                  <c:v>0</c:v>
                </c:pt>
                <c:pt idx="31">
                  <c:v>3.5288928098808998E-3</c:v>
                </c:pt>
                <c:pt idx="32">
                  <c:v>1.0288065843621399E-2</c:v>
                </c:pt>
                <c:pt idx="33">
                  <c:v>5.2770448548812663E-3</c:v>
                </c:pt>
                <c:pt idx="34">
                  <c:v>8.6848635235732014E-3</c:v>
                </c:pt>
                <c:pt idx="35">
                  <c:v>1.5789473684210526E-3</c:v>
                </c:pt>
                <c:pt idx="36">
                  <c:v>5.2980132450331126E-3</c:v>
                </c:pt>
                <c:pt idx="37">
                  <c:v>5.6373316630128406E-3</c:v>
                </c:pt>
                <c:pt idx="38">
                  <c:v>3.9651070578905631E-4</c:v>
                </c:pt>
                <c:pt idx="39">
                  <c:v>1.1150343802267236E-3</c:v>
                </c:pt>
                <c:pt idx="40">
                  <c:v>5.3456878118317893E-4</c:v>
                </c:pt>
                <c:pt idx="41">
                  <c:v>4.2337002540220152E-3</c:v>
                </c:pt>
                <c:pt idx="42">
                  <c:v>8.1967213114754103E-3</c:v>
                </c:pt>
                <c:pt idx="43">
                  <c:v>2.918855808523059E-3</c:v>
                </c:pt>
                <c:pt idx="44">
                  <c:v>8.2469368520263903E-3</c:v>
                </c:pt>
                <c:pt idx="45">
                  <c:v>1.3189712024620796E-2</c:v>
                </c:pt>
                <c:pt idx="46">
                  <c:v>1.1883541295306001E-2</c:v>
                </c:pt>
                <c:pt idx="47">
                  <c:v>7.583521213363394E-3</c:v>
                </c:pt>
                <c:pt idx="48">
                  <c:v>4.1342412451361868E-3</c:v>
                </c:pt>
                <c:pt idx="49">
                  <c:v>3.0318342597271349E-3</c:v>
                </c:pt>
                <c:pt idx="50">
                  <c:v>4.4923629829290209E-3</c:v>
                </c:pt>
                <c:pt idx="51">
                  <c:v>1.2067578439259854E-3</c:v>
                </c:pt>
                <c:pt idx="52">
                  <c:v>2.1574973031283709E-3</c:v>
                </c:pt>
                <c:pt idx="53">
                  <c:v>1.3443871835088505E-3</c:v>
                </c:pt>
                <c:pt idx="54">
                  <c:v>1.9833399444664813E-3</c:v>
                </c:pt>
                <c:pt idx="55">
                  <c:v>0</c:v>
                </c:pt>
                <c:pt idx="56">
                  <c:v>0</c:v>
                </c:pt>
                <c:pt idx="57">
                  <c:v>1.3774104683195593E-3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1.0384215991692627E-3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6.6445182724252493E-3</c:v>
                </c:pt>
                <c:pt idx="71">
                  <c:v>2.0283975659229209E-3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2-481A-9850-258BE872FB43}"/>
            </c:ext>
          </c:extLst>
        </c:ser>
        <c:ser>
          <c:idx val="1"/>
          <c:order val="1"/>
          <c:tx>
            <c:strRef>
              <c:f>'relm fit'!$CZ$1</c:f>
              <c:strCache>
                <c:ptCount val="1"/>
                <c:pt idx="0">
                  <c:v>pp10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'relm fit'!$CJ$2:$CJ$73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'relm fit'!$CZ$2:$CZ$73</c:f>
              <c:numCache>
                <c:formatCode>0.000</c:formatCode>
                <c:ptCount val="72"/>
                <c:pt idx="0">
                  <c:v>3.1935859156372662E-7</c:v>
                </c:pt>
                <c:pt idx="1">
                  <c:v>4.8419614422555275E-7</c:v>
                </c:pt>
                <c:pt idx="2">
                  <c:v>1.0375655419017746E-6</c:v>
                </c:pt>
                <c:pt idx="3">
                  <c:v>2.8469046262710333E-4</c:v>
                </c:pt>
                <c:pt idx="4">
                  <c:v>4.9980050425344347E-7</c:v>
                </c:pt>
                <c:pt idx="5">
                  <c:v>4.4871141468416693E-7</c:v>
                </c:pt>
                <c:pt idx="6">
                  <c:v>5.0064828787840382E-7</c:v>
                </c:pt>
                <c:pt idx="7">
                  <c:v>3.4306698555217361E-7</c:v>
                </c:pt>
                <c:pt idx="8">
                  <c:v>1.7071335279658978E-3</c:v>
                </c:pt>
                <c:pt idx="9">
                  <c:v>1.7204641328371433E-3</c:v>
                </c:pt>
                <c:pt idx="10">
                  <c:v>1.0707791870112596E-6</c:v>
                </c:pt>
                <c:pt idx="11">
                  <c:v>1.6070465280292422E-6</c:v>
                </c:pt>
                <c:pt idx="12">
                  <c:v>6.2018032959595694E-7</c:v>
                </c:pt>
                <c:pt idx="13">
                  <c:v>7.8371940283494164E-7</c:v>
                </c:pt>
                <c:pt idx="14">
                  <c:v>7.1747434898188697E-7</c:v>
                </c:pt>
                <c:pt idx="15">
                  <c:v>9.373880003964812E-7</c:v>
                </c:pt>
                <c:pt idx="16">
                  <c:v>1.0316902919282768E-6</c:v>
                </c:pt>
                <c:pt idx="17">
                  <c:v>2.7565576404888643E-6</c:v>
                </c:pt>
                <c:pt idx="18">
                  <c:v>2.2663791120608551E-6</c:v>
                </c:pt>
                <c:pt idx="19">
                  <c:v>1.5929084732757337E-6</c:v>
                </c:pt>
                <c:pt idx="20">
                  <c:v>6.6765900568394059E-7</c:v>
                </c:pt>
                <c:pt idx="21">
                  <c:v>3.3695434117145073E-7</c:v>
                </c:pt>
                <c:pt idx="22">
                  <c:v>3.110743386160711E-7</c:v>
                </c:pt>
                <c:pt idx="23">
                  <c:v>8.851734086954176E-5</c:v>
                </c:pt>
                <c:pt idx="24">
                  <c:v>5.4461344162661856E-5</c:v>
                </c:pt>
                <c:pt idx="25">
                  <c:v>4.3254883380017895E-5</c:v>
                </c:pt>
                <c:pt idx="26">
                  <c:v>2.4123283676588187E-4</c:v>
                </c:pt>
                <c:pt idx="27">
                  <c:v>6.7612487739942499E-4</c:v>
                </c:pt>
                <c:pt idx="28">
                  <c:v>4.2824566209948673E-4</c:v>
                </c:pt>
                <c:pt idx="29">
                  <c:v>2.4326276684939245E-4</c:v>
                </c:pt>
                <c:pt idx="30">
                  <c:v>3.2106798271609069E-7</c:v>
                </c:pt>
                <c:pt idx="31">
                  <c:v>6.4145975388647596E-4</c:v>
                </c:pt>
                <c:pt idx="32">
                  <c:v>3.3593256209435937E-3</c:v>
                </c:pt>
                <c:pt idx="33">
                  <c:v>1.5176553757385561E-3</c:v>
                </c:pt>
                <c:pt idx="34">
                  <c:v>5.2491809019155505E-4</c:v>
                </c:pt>
                <c:pt idx="35">
                  <c:v>9.339286888587776E-5</c:v>
                </c:pt>
                <c:pt idx="36">
                  <c:v>1.9547809273558155E-3</c:v>
                </c:pt>
                <c:pt idx="37">
                  <c:v>1.2182080956940219E-3</c:v>
                </c:pt>
                <c:pt idx="38">
                  <c:v>1.0704047158113056E-4</c:v>
                </c:pt>
                <c:pt idx="39">
                  <c:v>2.5806269717190721E-4</c:v>
                </c:pt>
                <c:pt idx="40">
                  <c:v>1.5150108284695018E-4</c:v>
                </c:pt>
                <c:pt idx="41">
                  <c:v>6.6706398322019121E-4</c:v>
                </c:pt>
                <c:pt idx="42">
                  <c:v>1.5557029788525697E-3</c:v>
                </c:pt>
                <c:pt idx="43">
                  <c:v>6.6567069538730106E-4</c:v>
                </c:pt>
                <c:pt idx="44">
                  <c:v>1.1972851060935857E-3</c:v>
                </c:pt>
                <c:pt idx="45">
                  <c:v>1.7104086186069008E-3</c:v>
                </c:pt>
                <c:pt idx="46">
                  <c:v>2.185109130125935E-3</c:v>
                </c:pt>
                <c:pt idx="47">
                  <c:v>2.1268246675172236E-3</c:v>
                </c:pt>
                <c:pt idx="48">
                  <c:v>1.1790917409768759E-3</c:v>
                </c:pt>
                <c:pt idx="49">
                  <c:v>8.4684885833351947E-4</c:v>
                </c:pt>
                <c:pt idx="50">
                  <c:v>9.2947448493340096E-4</c:v>
                </c:pt>
                <c:pt idx="51">
                  <c:v>2.7777882589577685E-4</c:v>
                </c:pt>
                <c:pt idx="52">
                  <c:v>7.6723461062216676E-4</c:v>
                </c:pt>
                <c:pt idx="53">
                  <c:v>6.4198861032926555E-4</c:v>
                </c:pt>
                <c:pt idx="54">
                  <c:v>1.3919076762902692E-3</c:v>
                </c:pt>
                <c:pt idx="55">
                  <c:v>1.5104341210516658E-6</c:v>
                </c:pt>
                <c:pt idx="56">
                  <c:v>1.550869636196161E-6</c:v>
                </c:pt>
                <c:pt idx="57">
                  <c:v>8.8442100007278426E-4</c:v>
                </c:pt>
                <c:pt idx="58">
                  <c:v>1.7203690839696876E-6</c:v>
                </c:pt>
                <c:pt idx="59">
                  <c:v>9.7412330315420918E-7</c:v>
                </c:pt>
                <c:pt idx="60">
                  <c:v>1.1072078449462635E-6</c:v>
                </c:pt>
                <c:pt idx="61">
                  <c:v>5.3380293777538597E-7</c:v>
                </c:pt>
                <c:pt idx="62">
                  <c:v>8.616660456751705E-7</c:v>
                </c:pt>
                <c:pt idx="63">
                  <c:v>1.3386547537050603E-6</c:v>
                </c:pt>
                <c:pt idx="64">
                  <c:v>4.9567161791352064E-4</c:v>
                </c:pt>
                <c:pt idx="65">
                  <c:v>5.3280461522783547E-7</c:v>
                </c:pt>
                <c:pt idx="66">
                  <c:v>2.4570849480821786E-7</c:v>
                </c:pt>
                <c:pt idx="67">
                  <c:v>3.7535972032277549E-7</c:v>
                </c:pt>
                <c:pt idx="68">
                  <c:v>6.6238242322242204E-7</c:v>
                </c:pt>
                <c:pt idx="69">
                  <c:v>4.656197769964234E-7</c:v>
                </c:pt>
                <c:pt idx="70">
                  <c:v>2.1778195056509852E-3</c:v>
                </c:pt>
                <c:pt idx="71">
                  <c:v>1.8013228890632453E-3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92-481A-9850-258BE872F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32480"/>
        <c:axId val="52138368"/>
      </c:scatterChart>
      <c:valAx>
        <c:axId val="5213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8368"/>
        <c:crosses val="autoZero"/>
        <c:crossBetween val="midCat"/>
      </c:valAx>
      <c:valAx>
        <c:axId val="52138368"/>
        <c:scaling>
          <c:orientation val="minMax"/>
        </c:scaling>
        <c:delete val="0"/>
        <c:axPos val="l"/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10" Type="http://schemas.openxmlformats.org/officeDocument/2006/relationships/chart" Target="../charts/chart10.xml"/><Relationship Id="rId19" Type="http://schemas.openxmlformats.org/officeDocument/2006/relationships/chart" Target="../charts/chart18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513889</xdr:colOff>
      <xdr:row>26</xdr:row>
      <xdr:rowOff>111683</xdr:rowOff>
    </xdr:from>
    <xdr:to>
      <xdr:col>10</xdr:col>
      <xdr:colOff>164981</xdr:colOff>
      <xdr:row>39</xdr:row>
      <xdr:rowOff>160648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74E75-D24A-4488-A8D9-47F8BD8D8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397350</xdr:colOff>
      <xdr:row>4</xdr:row>
      <xdr:rowOff>11158</xdr:rowOff>
    </xdr:from>
    <xdr:to>
      <xdr:col>10</xdr:col>
      <xdr:colOff>444975</xdr:colOff>
      <xdr:row>14</xdr:row>
      <xdr:rowOff>121083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629579-1D0F-4395-81A0-28F1455D9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564297</xdr:colOff>
      <xdr:row>4</xdr:row>
      <xdr:rowOff>28701</xdr:rowOff>
    </xdr:from>
    <xdr:to>
      <xdr:col>22</xdr:col>
      <xdr:colOff>226653</xdr:colOff>
      <xdr:row>13</xdr:row>
      <xdr:rowOff>104336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1C2FCA-4028-4AED-B444-93AA4290E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83945</xdr:colOff>
      <xdr:row>18</xdr:row>
      <xdr:rowOff>39335</xdr:rowOff>
    </xdr:from>
    <xdr:to>
      <xdr:col>84</xdr:col>
      <xdr:colOff>192593</xdr:colOff>
      <xdr:row>28</xdr:row>
      <xdr:rowOff>125604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F682BB-46D9-4397-81A7-304AADF9A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304800</xdr:colOff>
      <xdr:row>47</xdr:row>
      <xdr:rowOff>160020</xdr:rowOff>
    </xdr:from>
    <xdr:to>
      <xdr:col>9</xdr:col>
      <xdr:colOff>167640</xdr:colOff>
      <xdr:row>62</xdr:row>
      <xdr:rowOff>160020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CF7498E-7C1E-49D4-9EB7-94CBABE05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88</xdr:col>
      <xdr:colOff>41909</xdr:colOff>
      <xdr:row>27</xdr:row>
      <xdr:rowOff>90645</xdr:rowOff>
    </xdr:from>
    <xdr:to>
      <xdr:col>103</xdr:col>
      <xdr:colOff>377399</xdr:colOff>
      <xdr:row>45</xdr:row>
      <xdr:rowOff>128745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EC2E3B5-DD16-461E-9FB6-F87C3BFEC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91</xdr:col>
      <xdr:colOff>175260</xdr:colOff>
      <xdr:row>53</xdr:row>
      <xdr:rowOff>89535</xdr:rowOff>
    </xdr:from>
    <xdr:to>
      <xdr:col>104</xdr:col>
      <xdr:colOff>438150</xdr:colOff>
      <xdr:row>68</xdr:row>
      <xdr:rowOff>89535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D79D513-3B72-49B7-A3CA-E912073FF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76</xdr:col>
      <xdr:colOff>98034</xdr:colOff>
      <xdr:row>6</xdr:row>
      <xdr:rowOff>147396</xdr:rowOff>
    </xdr:from>
    <xdr:to>
      <xdr:col>84</xdr:col>
      <xdr:colOff>197094</xdr:colOff>
      <xdr:row>18</xdr:row>
      <xdr:rowOff>33495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71E3078-8643-443E-BB23-ABC98DCD3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108</xdr:col>
      <xdr:colOff>247649</xdr:colOff>
      <xdr:row>22</xdr:row>
      <xdr:rowOff>26670</xdr:rowOff>
    </xdr:from>
    <xdr:to>
      <xdr:col>116</xdr:col>
      <xdr:colOff>28574</xdr:colOff>
      <xdr:row>37</xdr:row>
      <xdr:rowOff>26670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E4C6A3F-871D-4859-A149-F13590943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108</xdr:col>
      <xdr:colOff>215265</xdr:colOff>
      <xdr:row>5</xdr:row>
      <xdr:rowOff>152400</xdr:rowOff>
    </xdr:from>
    <xdr:to>
      <xdr:col>116</xdr:col>
      <xdr:colOff>97155</xdr:colOff>
      <xdr:row>20</xdr:row>
      <xdr:rowOff>152400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725E6C6-1427-48A2-9996-AE0B4D28C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437061</xdr:colOff>
      <xdr:row>15</xdr:row>
      <xdr:rowOff>20045</xdr:rowOff>
    </xdr:from>
    <xdr:to>
      <xdr:col>10</xdr:col>
      <xdr:colOff>311498</xdr:colOff>
      <xdr:row>26</xdr:row>
      <xdr:rowOff>41954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9AA0F1C-116D-4C29-9DA7-9200EAAFC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147</xdr:col>
      <xdr:colOff>571500</xdr:colOff>
      <xdr:row>6</xdr:row>
      <xdr:rowOff>175260</xdr:rowOff>
    </xdr:from>
    <xdr:to>
      <xdr:col>157</xdr:col>
      <xdr:colOff>511497</xdr:colOff>
      <xdr:row>19</xdr:row>
      <xdr:rowOff>16510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0AF277A-8890-43E0-9C32-507A32B47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45680" y="1272540"/>
          <a:ext cx="6019376" cy="221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167</xdr:col>
      <xdr:colOff>2471</xdr:colOff>
      <xdr:row>1</xdr:row>
      <xdr:rowOff>14654</xdr:rowOff>
    </xdr:from>
    <xdr:to>
      <xdr:col>174</xdr:col>
      <xdr:colOff>295170</xdr:colOff>
      <xdr:row>10</xdr:row>
      <xdr:rowOff>1717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6D318E3-E8F7-488D-BEE4-7B38CA26E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167</xdr:col>
      <xdr:colOff>14277</xdr:colOff>
      <xdr:row>10</xdr:row>
      <xdr:rowOff>148443</xdr:rowOff>
    </xdr:from>
    <xdr:to>
      <xdr:col>174</xdr:col>
      <xdr:colOff>299734</xdr:colOff>
      <xdr:row>19</xdr:row>
      <xdr:rowOff>141786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6AC0FF2-BFC5-4967-8BA8-ED51D1FF9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167</xdr:col>
      <xdr:colOff>10467</xdr:colOff>
      <xdr:row>20</xdr:row>
      <xdr:rowOff>136072</xdr:rowOff>
    </xdr:from>
    <xdr:to>
      <xdr:col>174</xdr:col>
      <xdr:colOff>297829</xdr:colOff>
      <xdr:row>29</xdr:row>
      <xdr:rowOff>127511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CA155F6-CCD1-4953-A65D-DA3BB7D5A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167</xdr:col>
      <xdr:colOff>0</xdr:colOff>
      <xdr:row>30</xdr:row>
      <xdr:rowOff>94203</xdr:rowOff>
    </xdr:from>
    <xdr:to>
      <xdr:col>174</xdr:col>
      <xdr:colOff>285457</xdr:colOff>
      <xdr:row>39</xdr:row>
      <xdr:rowOff>85640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7AB5E4-85C6-4598-91A2-69A196812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167</xdr:col>
      <xdr:colOff>31401</xdr:colOff>
      <xdr:row>40</xdr:row>
      <xdr:rowOff>129415</xdr:rowOff>
    </xdr:from>
    <xdr:to>
      <xdr:col>174</xdr:col>
      <xdr:colOff>316858</xdr:colOff>
      <xdr:row>49</xdr:row>
      <xdr:rowOff>120853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577BBDC-4189-482D-9638-A4D026565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166</xdr:col>
      <xdr:colOff>596621</xdr:colOff>
      <xdr:row>50</xdr:row>
      <xdr:rowOff>171283</xdr:rowOff>
    </xdr:from>
    <xdr:to>
      <xdr:col>174</xdr:col>
      <xdr:colOff>276896</xdr:colOff>
      <xdr:row>59</xdr:row>
      <xdr:rowOff>162722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B98BB84-FE53-4B65-B826-8844125FB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166</xdr:col>
      <xdr:colOff>525257</xdr:colOff>
      <xdr:row>61</xdr:row>
      <xdr:rowOff>136072</xdr:rowOff>
    </xdr:from>
    <xdr:to>
      <xdr:col>174</xdr:col>
      <xdr:colOff>203627</xdr:colOff>
      <xdr:row>70</xdr:row>
      <xdr:rowOff>127510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00A8673-B2AA-4495-893F-FF4E2F555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81"/>
  <sheetViews>
    <sheetView tabSelected="1" zoomScale="91" zoomScaleNormal="91" workbookViewId="0">
      <selection activeCell="C8" sqref="C8"/>
    </sheetView>
  </sheetViews>
  <sheetFormatPr defaultColWidth="8.88671875" defaultRowHeight="14.4" x14ac:dyDescent="0.3"/>
  <cols>
    <col min="1" max="1" width="19.77734375" customWidth="1"/>
    <col min="2" max="2" width="13.21875" bestFit="1" customWidth="1"/>
    <col min="3" max="3" width="10" customWidth="1"/>
    <col min="7" max="7" width="12" bestFit="1" customWidth="1"/>
    <col min="9" max="9" width="13.21875" style="5" bestFit="1" customWidth="1"/>
    <col min="11" max="11" width="8.88671875" style="5"/>
    <col min="13" max="16" width="6" bestFit="1" customWidth="1"/>
    <col min="17" max="19" width="4.88671875" bestFit="1" customWidth="1"/>
    <col min="20" max="20" width="3.77734375" bestFit="1" customWidth="1"/>
    <col min="21" max="21" width="4.33203125" bestFit="1" customWidth="1"/>
    <col min="23" max="41" width="4.5546875" customWidth="1"/>
    <col min="43" max="51" width="8.88671875" style="5"/>
    <col min="56" max="56" width="5.5546875" customWidth="1"/>
    <col min="57" max="64" width="4.5546875" customWidth="1"/>
    <col min="65" max="68" width="6" bestFit="1" customWidth="1"/>
    <col min="69" max="72" width="5.77734375" bestFit="1" customWidth="1"/>
    <col min="73" max="73" width="6.77734375" bestFit="1" customWidth="1"/>
    <col min="74" max="74" width="11" customWidth="1"/>
    <col min="75" max="75" width="8.5546875" customWidth="1"/>
    <col min="91" max="94" width="6" bestFit="1" customWidth="1"/>
    <col min="95" max="97" width="9.21875" bestFit="1" customWidth="1"/>
    <col min="98" max="98" width="5.77734375" style="28" bestFit="1" customWidth="1"/>
    <col min="99" max="101" width="5.77734375" bestFit="1" customWidth="1"/>
    <col min="102" max="104" width="6" bestFit="1" customWidth="1"/>
    <col min="116" max="116" width="12.6640625" bestFit="1" customWidth="1"/>
    <col min="117" max="117" width="13.33203125" customWidth="1"/>
    <col min="118" max="125" width="8.33203125" bestFit="1" customWidth="1"/>
    <col min="126" max="126" width="6" bestFit="1" customWidth="1"/>
    <col min="128" max="128" width="11.44140625" bestFit="1" customWidth="1"/>
    <col min="129" max="135" width="6" bestFit="1" customWidth="1"/>
    <col min="136" max="136" width="7.109375" bestFit="1" customWidth="1"/>
    <col min="137" max="137" width="8.21875" bestFit="1" customWidth="1"/>
    <col min="138" max="138" width="16.6640625" bestFit="1" customWidth="1"/>
    <col min="139" max="139" width="22.109375" bestFit="1" customWidth="1"/>
  </cols>
  <sheetData>
    <row r="1" spans="1:166" x14ac:dyDescent="0.3">
      <c r="A1" s="6" t="s">
        <v>46</v>
      </c>
      <c r="B1" s="6">
        <v>0.74524213279868901</v>
      </c>
      <c r="D1" t="s">
        <v>0</v>
      </c>
      <c r="E1" s="4" t="s">
        <v>44</v>
      </c>
      <c r="F1" s="4" t="s">
        <v>105</v>
      </c>
      <c r="G1" s="4" t="s">
        <v>106</v>
      </c>
      <c r="H1" t="s">
        <v>45</v>
      </c>
      <c r="I1" s="2" t="s">
        <v>47</v>
      </c>
      <c r="J1" t="s">
        <v>43</v>
      </c>
      <c r="K1" s="2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32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t="s">
        <v>31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t="s">
        <v>42</v>
      </c>
      <c r="BA1" t="s">
        <v>50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2" t="s">
        <v>139</v>
      </c>
      <c r="BW1" t="s">
        <v>75</v>
      </c>
      <c r="BX1" s="2" t="s">
        <v>85</v>
      </c>
      <c r="BY1" t="s">
        <v>49</v>
      </c>
      <c r="BZ1">
        <v>2</v>
      </c>
      <c r="CA1">
        <v>3</v>
      </c>
      <c r="CB1">
        <v>4</v>
      </c>
      <c r="CC1">
        <v>5</v>
      </c>
      <c r="CD1">
        <v>6</v>
      </c>
      <c r="CE1">
        <v>7</v>
      </c>
      <c r="CF1">
        <v>8</v>
      </c>
      <c r="CG1">
        <v>9</v>
      </c>
      <c r="CH1">
        <v>10</v>
      </c>
      <c r="CJ1" t="s">
        <v>0</v>
      </c>
      <c r="CK1" t="s">
        <v>165</v>
      </c>
      <c r="CL1" t="s">
        <v>166</v>
      </c>
      <c r="CM1" t="s">
        <v>92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s="28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104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50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126</v>
      </c>
      <c r="DX1" t="s">
        <v>50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s="7" t="s">
        <v>144</v>
      </c>
      <c r="EI1" s="7" t="s">
        <v>145</v>
      </c>
      <c r="EJ1" s="8" t="s">
        <v>146</v>
      </c>
      <c r="EK1" s="8" t="s">
        <v>147</v>
      </c>
      <c r="EL1" s="8" t="s">
        <v>148</v>
      </c>
      <c r="EM1" s="8" t="s">
        <v>149</v>
      </c>
      <c r="EN1" s="8" t="s">
        <v>150</v>
      </c>
      <c r="EO1" s="8" t="s">
        <v>151</v>
      </c>
      <c r="EP1" s="8" t="s">
        <v>152</v>
      </c>
      <c r="EQ1" s="8" t="s">
        <v>153</v>
      </c>
      <c r="ES1" s="8" t="s">
        <v>146</v>
      </c>
      <c r="ET1" s="8" t="s">
        <v>147</v>
      </c>
      <c r="EU1" s="8" t="s">
        <v>148</v>
      </c>
      <c r="EV1" s="8" t="s">
        <v>149</v>
      </c>
      <c r="EW1" s="8" t="s">
        <v>150</v>
      </c>
      <c r="EX1" s="8" t="s">
        <v>151</v>
      </c>
      <c r="EY1" s="8" t="s">
        <v>152</v>
      </c>
      <c r="EZ1" s="8" t="s">
        <v>154</v>
      </c>
      <c r="FB1" s="8" t="s">
        <v>155</v>
      </c>
      <c r="FC1" s="8" t="s">
        <v>156</v>
      </c>
      <c r="FD1" s="8" t="s">
        <v>157</v>
      </c>
      <c r="FE1" s="8" t="s">
        <v>158</v>
      </c>
      <c r="FF1" s="8" t="s">
        <v>159</v>
      </c>
      <c r="FG1" s="8" t="s">
        <v>160</v>
      </c>
      <c r="FH1" s="8"/>
      <c r="FJ1" s="8" t="s">
        <v>164</v>
      </c>
    </row>
    <row r="2" spans="1:166" x14ac:dyDescent="0.3">
      <c r="A2" s="6" t="s">
        <v>48</v>
      </c>
      <c r="B2" s="6">
        <v>1</v>
      </c>
      <c r="D2">
        <v>1951</v>
      </c>
      <c r="E2">
        <f>SUM(J2:L2)</f>
        <v>47.251740170173179</v>
      </c>
      <c r="F2">
        <f>J2/(J2+K2+BV2)</f>
        <v>0.11120065004901378</v>
      </c>
      <c r="G2">
        <f>-LN(Su)*Relm-LN(1-F2)</f>
        <v>0.38951090826947499</v>
      </c>
      <c r="H2">
        <f>K2/(E2-J2)</f>
        <v>0.52684823023806082</v>
      </c>
      <c r="I2" s="2">
        <v>5.8337401701731801</v>
      </c>
      <c r="J2">
        <f>I2*SSLQmult</f>
        <v>5.8337401701731801</v>
      </c>
      <c r="K2" s="2">
        <v>21.821000000000002</v>
      </c>
      <c r="L2">
        <f>BX2/qspawn</f>
        <v>19.597000000000001</v>
      </c>
      <c r="M2" s="25">
        <f>$K2/$AP2*AQ2/$AZ2</f>
        <v>27.983444807821687</v>
      </c>
      <c r="N2" s="25">
        <f t="shared" ref="N2:N33" si="0">$K2/$AP2*AR2/$AZ2</f>
        <v>83.674906817088868</v>
      </c>
      <c r="O2" s="25">
        <f t="shared" ref="O2:O33" si="1">$K2/$AP2*AS2/$AZ2</f>
        <v>91.77247844454908</v>
      </c>
      <c r="P2" s="25">
        <f t="shared" ref="P2:P33" si="2">$K2/$AP2*AT2/$AZ2</f>
        <v>14.983261786865157</v>
      </c>
      <c r="Q2" s="25">
        <f t="shared" ref="Q2:Q33" si="3">$K2/$AP2*AU2/$AZ2</f>
        <v>3.1949602339638932</v>
      </c>
      <c r="R2" s="25">
        <f t="shared" ref="R2:R33" si="4">$K2/$AP2*AV2/$AZ2</f>
        <v>0.66102625530287451</v>
      </c>
      <c r="S2" s="25">
        <f t="shared" ref="S2:S33" si="5">$K2/$AP2*AW2/$AZ2</f>
        <v>5.5085521275239545E-2</v>
      </c>
      <c r="T2" s="25">
        <f t="shared" ref="T2:T33" si="6">$K2/$AP2*AX2/$AZ2</f>
        <v>5.5085521275239545E-2</v>
      </c>
      <c r="U2" s="25">
        <f t="shared" ref="U2:U33" si="7">$K2/$AP2*AY2/$AZ2</f>
        <v>0</v>
      </c>
      <c r="V2">
        <f t="shared" ref="V2:V65" si="8">SUM(M2:U2)</f>
        <v>222.380249388142</v>
      </c>
      <c r="W2">
        <f>$L2/$AP2*AQ2/$AZ2/spq</f>
        <v>25.131367393743716</v>
      </c>
      <c r="X2">
        <f t="shared" ref="X2:X33" si="9">$L2/$AP2*AR2/$AZ2/spq</f>
        <v>75.146746202946275</v>
      </c>
      <c r="Y2">
        <f t="shared" ref="Y2:Y33" si="10">$L2/$AP2*AS2/$AZ2/spq</f>
        <v>82.419011964521715</v>
      </c>
      <c r="Z2">
        <f t="shared" ref="Z2:Z33" si="11">$L2/$AP2*AT2/$AZ2/spq</f>
        <v>13.456165218697423</v>
      </c>
      <c r="AA2">
        <f t="shared" ref="AA2:AA33" si="12">$L2/$AP2*AU2/$AZ2/spq</f>
        <v>2.8693293481045976</v>
      </c>
      <c r="AB2">
        <f t="shared" ref="AB2:AB33" si="13">$L2/$AP2*AV2/$AZ2/spq</f>
        <v>0.59365434788370974</v>
      </c>
      <c r="AC2">
        <f t="shared" ref="AC2:AC33" si="14">$L2/$AP2*AW2/$AZ2/spq</f>
        <v>4.9471195656975817E-2</v>
      </c>
      <c r="AD2">
        <f t="shared" ref="AD2:AD33" si="15">$L2/$AP2*AX2/$AZ2/spq</f>
        <v>4.9471195656975817E-2</v>
      </c>
      <c r="AE2">
        <f t="shared" ref="AE2:AE33" si="16">$L2/$AP2*AY2/$AZ2/spq</f>
        <v>0</v>
      </c>
      <c r="AF2">
        <f t="shared" ref="AF2:AF65" si="17">SUM(W2:AE2)</f>
        <v>199.71521686721135</v>
      </c>
      <c r="AG2" s="2">
        <v>5.0299999999999997E-2</v>
      </c>
      <c r="AH2" s="2">
        <v>8.7300000000000003E-2</v>
      </c>
      <c r="AI2" s="2">
        <v>0.1144</v>
      </c>
      <c r="AJ2" s="2">
        <v>0.13389999999999999</v>
      </c>
      <c r="AK2" s="2">
        <v>0.1489</v>
      </c>
      <c r="AL2" s="2">
        <v>0.16</v>
      </c>
      <c r="AM2" s="2">
        <v>0.20499999999999999</v>
      </c>
      <c r="AN2" s="2">
        <v>0.19600000000000001</v>
      </c>
      <c r="AO2" s="2">
        <v>0.14879999999999999</v>
      </c>
      <c r="AP2">
        <f>SUMPRODUCT(AQ2:AY2,AG2:AO2)/AZ2</f>
        <v>9.81247213277186E-2</v>
      </c>
      <c r="AQ2" s="2">
        <v>508</v>
      </c>
      <c r="AR2" s="2">
        <v>1519</v>
      </c>
      <c r="AS2" s="2">
        <v>1666</v>
      </c>
      <c r="AT2" s="2">
        <v>272</v>
      </c>
      <c r="AU2" s="2">
        <v>58</v>
      </c>
      <c r="AV2" s="2">
        <v>12</v>
      </c>
      <c r="AW2" s="2">
        <v>1</v>
      </c>
      <c r="AX2" s="2">
        <v>1</v>
      </c>
      <c r="AY2" s="2">
        <v>0</v>
      </c>
      <c r="AZ2">
        <f>SUM(AQ2:AY2)</f>
        <v>4037</v>
      </c>
      <c r="BA2">
        <f t="shared" ref="BA2:BA33" si="18">D2</f>
        <v>1951</v>
      </c>
      <c r="BB2" t="s">
        <v>54</v>
      </c>
      <c r="BC2" t="s">
        <v>55</v>
      </c>
      <c r="BD2">
        <f>$J2/$AP2*AQ2/$AZ2</f>
        <v>7.4812403682330544</v>
      </c>
      <c r="BE2">
        <f t="shared" ref="BE2:BE33" si="19">$J2/$AP2*AR2/$AZ2</f>
        <v>22.370086849106318</v>
      </c>
      <c r="BF2">
        <f t="shared" ref="BF2:BF33" si="20">$J2/$AP2*AS2/$AZ2</f>
        <v>24.534933963535963</v>
      </c>
      <c r="BG2">
        <f t="shared" ref="BG2:BG33" si="21">$J2/$AP2*AT2/$AZ2</f>
        <v>4.0057035042507696</v>
      </c>
      <c r="BH2">
        <f t="shared" ref="BH2:BH33" si="22">$J2/$AP2*AU2/$AZ2</f>
        <v>0.85415736487700222</v>
      </c>
      <c r="BI2">
        <f t="shared" ref="BI2:BI33" si="23">$J2/$AP2*AV2/$AZ2</f>
        <v>0.17672221342282807</v>
      </c>
      <c r="BJ2">
        <f t="shared" ref="BJ2:BJ33" si="24">$J2/$AP2*AW2/$AZ2</f>
        <v>1.4726851118569004E-2</v>
      </c>
      <c r="BK2">
        <f t="shared" ref="BK2:BK33" si="25">$J2/$AP2*AX2/$AZ2</f>
        <v>1.4726851118569004E-2</v>
      </c>
      <c r="BL2">
        <f t="shared" ref="BL2:BL33" si="26">$J2/$AP2*AY2/$AZ2</f>
        <v>0</v>
      </c>
      <c r="BM2" s="23">
        <f>(BN3*EXP(Relm*BZ$5)+M2+BD2)+0.0001</f>
        <v>296.0082548561877</v>
      </c>
      <c r="BN2" s="23">
        <f t="shared" ref="BN2:BN33" si="27">(BO3*EXP(Relm*CA$5)+N2+BE2)+0.0001</f>
        <v>208.69082186661112</v>
      </c>
      <c r="BO2" s="23">
        <f t="shared" ref="BO2:BO33" si="28">(BP3*EXP(Relm*CB$5)+O2+BF2)+0.0001</f>
        <v>256.24242248878511</v>
      </c>
      <c r="BP2" s="23">
        <f t="shared" ref="BP2:BP33" si="29">(BQ3*EXP(Relm*CC$5)+P2+BG2)+0.0001</f>
        <v>40.932729575812722</v>
      </c>
      <c r="BQ2" s="23">
        <f t="shared" ref="BQ2:BQ33" si="30">(BR3*EXP(Relm*CD$5)+Q2+BH2)+0.0001</f>
        <v>11.365184602512739</v>
      </c>
      <c r="BR2" s="23">
        <f t="shared" ref="BR2:BR33" si="31">(BS3*EXP(Relm*CE$5)+R2+BI2)+0.0001</f>
        <v>4.1793869361822873</v>
      </c>
      <c r="BS2" s="23">
        <f t="shared" ref="BS2:BS33" si="32">(BT3*EXP(Relm*CF$5)+S2+BJ2)+0.0001</f>
        <v>0.33758187345393958</v>
      </c>
      <c r="BT2" s="23">
        <f t="shared" ref="BT2:BT33" si="33">(BU3*EXP(Relm*CG$5)+T2+BK2)+0.0001</f>
        <v>7.0227978655108922E-2</v>
      </c>
      <c r="BU2" s="21">
        <f t="shared" ref="BU2:BU33" si="34">(U2+BL2)+0.0001</f>
        <v>1E-4</v>
      </c>
      <c r="BV2">
        <f>SUMPRODUCT(DD2:DL2,AG2:AO2)</f>
        <v>24.806645330737556</v>
      </c>
      <c r="BW2">
        <v>0.92375696708540211</v>
      </c>
      <c r="BX2" s="2">
        <v>19.597000000000001</v>
      </c>
      <c r="BY2" s="3" t="s">
        <v>52</v>
      </c>
      <c r="BZ2" s="3">
        <f>DN80</f>
        <v>6.4278266425908254E-2</v>
      </c>
      <c r="CA2" s="3">
        <f t="shared" ref="CA2" si="35">DO80</f>
        <v>0.64970951875046046</v>
      </c>
      <c r="CB2" s="33">
        <f>DP80</f>
        <v>0.84485638687614872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J2">
        <v>1951</v>
      </c>
      <c r="CK2">
        <f>SUM(AS2:AY2)</f>
        <v>2010</v>
      </c>
      <c r="CL2" s="25">
        <f>SUM(BO2:BU2)</f>
        <v>313.12763345540191</v>
      </c>
      <c r="CM2" s="9">
        <f>AS2/$CK2</f>
        <v>0.82885572139303487</v>
      </c>
      <c r="CN2" s="9">
        <f>AT2/$CK2</f>
        <v>0.13532338308457711</v>
      </c>
      <c r="CO2" s="9">
        <f t="shared" ref="CO2:CO33" si="36">AU2/$CK2</f>
        <v>2.8855721393034824E-2</v>
      </c>
      <c r="CP2" s="9">
        <f t="shared" ref="CP2:CP33" si="37">AV2/$CK2</f>
        <v>5.9701492537313433E-3</v>
      </c>
      <c r="CQ2" s="27">
        <f t="shared" ref="CQ2:CQ65" si="38">AW2/$CK2</f>
        <v>4.9751243781094524E-4</v>
      </c>
      <c r="CR2" s="27">
        <f t="shared" ref="CR2:CR65" si="39">AX2/$CK2</f>
        <v>4.9751243781094524E-4</v>
      </c>
      <c r="CS2" s="27">
        <f t="shared" ref="CS2:CS65" si="40">AY2/$CK2</f>
        <v>0</v>
      </c>
      <c r="CT2" s="29">
        <f>BO2/$CL2</f>
        <v>0.81833219144895808</v>
      </c>
      <c r="CU2" s="9">
        <f t="shared" ref="CU2:CU33" si="41">BP2/$CL2</f>
        <v>0.13072218866190449</v>
      </c>
      <c r="CV2" s="9">
        <f t="shared" ref="CV2:CV33" si="42">BQ2/$CL2</f>
        <v>3.6295693475202208E-2</v>
      </c>
      <c r="CW2" s="9">
        <f t="shared" ref="CW2:CW33" si="43">BR2/$CL2</f>
        <v>1.3347231255390139E-2</v>
      </c>
      <c r="CX2" s="9">
        <f t="shared" ref="CX2:CX33" si="44">BS2/$CL2</f>
        <v>1.0780967164369434E-3</v>
      </c>
      <c r="CY2" s="9">
        <f t="shared" ref="CY2:CY33" si="45">BT2/$CL2</f>
        <v>2.2427908351663043E-4</v>
      </c>
      <c r="CZ2" s="9">
        <f t="shared" ref="CZ2:CZ33" si="46">BU2/$CL2</f>
        <v>3.1935859156372662E-7</v>
      </c>
      <c r="DA2" cm="1">
        <f t="array" ref="DA2">SUMPRODUCT(CM2:CS2,LN(CT2:CZ2+0.000001))</f>
        <v>-0.57054538394977028</v>
      </c>
      <c r="DB2">
        <f t="shared" ref="DB2:DB33" si="47">SUMPRODUCT(CM2:CS2,LN(CT2:CZ2+0.001))</f>
        <v>-0.56612137302632759</v>
      </c>
      <c r="DC2">
        <f t="shared" ref="DC2:DC17" si="48">neffective</f>
        <v>100</v>
      </c>
      <c r="DD2">
        <f>BZ$2*(BM2-BD2-M2)</f>
        <v>16.747288987456781</v>
      </c>
      <c r="DE2">
        <f>CA$2*(BN2-BE2-N2)</f>
        <v>66.689971641834674</v>
      </c>
      <c r="DF2">
        <f t="shared" ref="DF2:DF33" si="49">CB$2*(BO2-BF2-O2)</f>
        <v>118.22498701425771</v>
      </c>
      <c r="DG2">
        <f t="shared" ref="DG2:DG33" si="50">CC$2*(BP2-BG2-P2)</f>
        <v>21.943764284696798</v>
      </c>
      <c r="DH2">
        <f t="shared" ref="DH2:DH33" si="51">CD$2*(BQ2-BH2-Q2)</f>
        <v>7.3160670036718436</v>
      </c>
      <c r="DI2">
        <f t="shared" ref="DI2:DI33" si="52">CE$2*(BR2-BI2-R2)</f>
        <v>3.3416384674565851</v>
      </c>
      <c r="DJ2">
        <f t="shared" ref="DJ2:DJ33" si="53">CF$2*(BS2-BJ2-S2)</f>
        <v>0.26776950106013103</v>
      </c>
      <c r="DK2">
        <f t="shared" ref="DK2:DK33" si="54">CG$2*(BT2-BK2-T2)</f>
        <v>4.1560626130037609E-4</v>
      </c>
      <c r="DL2">
        <f t="shared" ref="DL2:DL33" si="55">CH$2*(BU2-BL2-U2)</f>
        <v>1E-4</v>
      </c>
      <c r="DM2">
        <f t="shared" ref="DM2:DM33" si="56">D2</f>
        <v>1951</v>
      </c>
      <c r="DN2" s="9">
        <f>IF(AND(M2&gt;0,BM2&gt;M2+BD2),M2/(BM2-BD2),"")</f>
        <v>9.698726082021665E-2</v>
      </c>
      <c r="DO2" s="9">
        <f t="shared" ref="DO2:DO33" si="57">IF(AND(N2&gt;0,BN2&gt;N2+BE2),N2/(BN2-BE2),"")</f>
        <v>0.44909068660140067</v>
      </c>
      <c r="DP2" s="9">
        <f t="shared" ref="DP2:DP33" si="58">IF(AND(O2&gt;0,BO2&gt;O2+BF2),O2/(BO2-BF2),"")</f>
        <v>0.39607040337217519</v>
      </c>
      <c r="DQ2" s="9">
        <f t="shared" ref="DQ2:DQ33" si="59">IF(AND(P2&gt;0,BP2&gt;P2+BG2),P2/(BP2-BG2),"")</f>
        <v>0.405753275604395</v>
      </c>
      <c r="DR2" s="9">
        <f t="shared" ref="DR2:DR33" si="60">IF(AND(Q2&gt;0,BQ2&gt;Q2+BH2),Q2/(BQ2-BH2),"")</f>
        <v>0.30396270143074433</v>
      </c>
      <c r="DS2" s="9">
        <f t="shared" ref="DS2:DS33" si="61">IF(AND(R2&gt;0,BR2&gt;R2+BI2),R2/(BR2-BI2),"")</f>
        <v>0.16514654638551871</v>
      </c>
      <c r="DT2" s="9">
        <f t="shared" ref="DT2:DT33" si="62">IF(AND(S2&gt;0,BS2&gt;S2+BJ2),S2/(BS2-BJ2),"")</f>
        <v>0.17061999183651733</v>
      </c>
      <c r="DU2" s="9">
        <f t="shared" ref="DU2:DU33" si="63">IF(AND(T2&gt;0,BT2&gt;T2+BK2),T2/(BT2-BK2),"")</f>
        <v>0.99251175102655786</v>
      </c>
      <c r="DV2" s="9" t="str">
        <f t="shared" ref="DV2:DV33" si="64">IF(AND(U2&gt;0,BU2&gt;U2+BL2),U2/(BU2-BL2),"")</f>
        <v/>
      </c>
      <c r="DW2">
        <f>SUM(O2:U2)/(SUM(BO2:BU2)-SUM(BF2:BL2))</f>
        <v>0.39051670381216436</v>
      </c>
      <c r="DX2">
        <f>DM2</f>
        <v>1951</v>
      </c>
      <c r="DY2" s="9">
        <f>IF(AND($DW2&gt;0,DN2&lt;&gt;""),DN2/$DW2,"")</f>
        <v>0.2483562415472676</v>
      </c>
      <c r="DZ2" s="9">
        <f t="shared" ref="DZ2:EG2" si="65">IF(AND($DW2&gt;0,DO2&lt;&gt;""),DO2/$DW2,"")</f>
        <v>1.1499909791756564</v>
      </c>
      <c r="EA2" s="9">
        <f t="shared" si="65"/>
        <v>1.014221413593315</v>
      </c>
      <c r="EB2" s="9">
        <f t="shared" si="65"/>
        <v>1.0390164406374773</v>
      </c>
      <c r="EC2" s="9">
        <f t="shared" si="65"/>
        <v>0.77836030690494651</v>
      </c>
      <c r="ED2" s="9">
        <f t="shared" si="65"/>
        <v>0.42289240069216855</v>
      </c>
      <c r="EE2" s="9">
        <f>IF(AND($DW2&gt;0,DT2&lt;&gt;""),DT2/$DW2,"")</f>
        <v>0.43690830679187614</v>
      </c>
      <c r="EF2" s="9">
        <f t="shared" si="65"/>
        <v>2.5415346932354237</v>
      </c>
      <c r="EG2" s="9" t="str">
        <f t="shared" si="65"/>
        <v/>
      </c>
      <c r="EI2">
        <f>CK2</f>
        <v>2010</v>
      </c>
      <c r="EJ2" s="8">
        <f>GAMMALN($EI2*CM2+1)</f>
        <v>10697.317329627405</v>
      </c>
      <c r="EK2" s="8">
        <f t="shared" ref="EK2:EK33" si="66">GAMMALN($EI2*CN2+1)</f>
        <v>1256.5003079712751</v>
      </c>
      <c r="EL2" s="8">
        <f t="shared" ref="EL2:EL33" si="67">GAMMALN($EI2*CO2+1)</f>
        <v>180.45629141754378</v>
      </c>
      <c r="EM2" s="8">
        <f t="shared" ref="EM2:EM33" si="68">GAMMALN($EI2*CP2+1)</f>
        <v>19.987214495661885</v>
      </c>
      <c r="EN2" s="8">
        <f t="shared" ref="EN2:EN33" si="69">GAMMALN($EI2*CQ2+1)</f>
        <v>0</v>
      </c>
      <c r="EO2" s="8">
        <f t="shared" ref="EO2:EO33" si="70">GAMMALN($EI2*CR2+1)</f>
        <v>0</v>
      </c>
      <c r="EP2" s="8">
        <f t="shared" ref="EP2:EP33" si="71">GAMMALN($EI2*CS2+1)</f>
        <v>0</v>
      </c>
      <c r="EQ2">
        <f>SUM(EJ2:EP2)</f>
        <v>12154.261143511887</v>
      </c>
      <c r="ES2" s="8">
        <f>GAMMALN($EI2*CM2+theta_dm*$EI2*CT2)-GAMMALN(theta_dm*$EI2*CT2)</f>
        <v>10991.304489591046</v>
      </c>
      <c r="ET2" s="8">
        <f t="shared" ref="ET2:ET33" si="72">GAMMALN($EI2*CN2+theta_dm*$EI2*CU2)-GAMMALN(theta_dm*$EI2*CU2)</f>
        <v>1299.3718352604656</v>
      </c>
      <c r="EU2" s="8">
        <f t="shared" ref="EU2:EU33" si="73">GAMMALN($EI2*CO2+theta_dm*$EI2*CV2)-GAMMALN(theta_dm*$EI2*CV2)</f>
        <v>188.5641984303991</v>
      </c>
      <c r="EV2" s="8">
        <f t="shared" ref="EV2:EV33" si="74">GAMMALN($EI2*CP2+theta_dm*$EI2*CW2)-GAMMALN(theta_dm*$EI2*CW2)</f>
        <v>20.513442271429586</v>
      </c>
      <c r="EW2" s="8">
        <f t="shared" ref="EW2:EW33" si="75">GAMMALN($EI2*CQ2+theta_dm*$EI2*CX2)-GAMMALN(theta_dm*$EI2*CX2)</f>
        <v>-2.3532939065512828</v>
      </c>
      <c r="EX2" s="8">
        <f t="shared" ref="EX2:EX33" si="76">GAMMALN($EI2*CR2+theta_dm*$EI2*CY2)-GAMMALN(theta_dm*$EI2*CY2)</f>
        <v>-3.9233551874859591</v>
      </c>
      <c r="EY2" s="8">
        <f t="shared" ref="EY2:EY33" si="77">GAMMALN($EI2*CS2+theta_dm*$EI2*CZ2)-GAMMALN(theta_dm*$EI2*CZ2)</f>
        <v>0</v>
      </c>
      <c r="EZ2">
        <f>SUM(ES2:EY2)</f>
        <v>12493.477316459303</v>
      </c>
      <c r="FB2">
        <f>GAMMALN($EI2+1)</f>
        <v>13282.560827109874</v>
      </c>
      <c r="FC2">
        <f>GAMMALN(theta_dm*$EI2)</f>
        <v>305.44618228345655</v>
      </c>
      <c r="FD2">
        <f>GAMMALN($EI2+theta_dm*$EI2)</f>
        <v>13947.449195455887</v>
      </c>
      <c r="FE2">
        <f>FB2-EQ2+FC2-FD2+EZ2</f>
        <v>-20.226013115141541</v>
      </c>
      <c r="FF2">
        <f>-1*SUM(FE2:FE73)</f>
        <v>1892.7472654943087</v>
      </c>
      <c r="FG2">
        <f>(1+theta_dm*$EI2)/(1+theta_dm)</f>
        <v>85.422659556210391</v>
      </c>
      <c r="FJ2">
        <v>17.907669253475529</v>
      </c>
    </row>
    <row r="3" spans="1:166" x14ac:dyDescent="0.3">
      <c r="A3" t="s">
        <v>51</v>
      </c>
      <c r="B3">
        <v>1</v>
      </c>
      <c r="C3" t="s">
        <v>103</v>
      </c>
      <c r="D3">
        <v>1952</v>
      </c>
      <c r="E3">
        <f t="shared" ref="E3:E66" si="78">SUM(J3:L3)</f>
        <v>46.030518228223656</v>
      </c>
      <c r="F3">
        <f t="shared" ref="F3:F33" si="79">J3/(J3+K3+BV3)</f>
        <v>0.13315377402450154</v>
      </c>
      <c r="G3">
        <f t="shared" ref="G3:G33" si="80">-LN(Su)*Relm-LN(1-F3)</f>
        <v>0.4582256086659498</v>
      </c>
      <c r="H3">
        <f t="shared" ref="H3:H33" si="81">K3/(E3-J3)</f>
        <v>0.6698744977429435</v>
      </c>
      <c r="I3" s="2">
        <v>5.7125182282236509</v>
      </c>
      <c r="J3">
        <f t="shared" ref="J3:J33" si="82">I3*SSLQmult</f>
        <v>5.7125182282236509</v>
      </c>
      <c r="K3" s="2">
        <v>27.007999999999999</v>
      </c>
      <c r="L3">
        <f>BX3/qspawn</f>
        <v>13.31</v>
      </c>
      <c r="M3" s="25">
        <f>$K3/$AP3*AQ3/$AZ3</f>
        <v>4.509351766569111</v>
      </c>
      <c r="N3" s="25">
        <f>$K3/$AP3*AR3/$AZ3</f>
        <v>66.710513247697662</v>
      </c>
      <c r="O3" s="25">
        <f t="shared" si="1"/>
        <v>57.180439926597991</v>
      </c>
      <c r="P3" s="25">
        <f t="shared" si="2"/>
        <v>84.794408476516068</v>
      </c>
      <c r="Q3" s="25">
        <f t="shared" si="3"/>
        <v>11.389599822777651</v>
      </c>
      <c r="R3" s="25">
        <f t="shared" si="4"/>
        <v>3.3471477030203705</v>
      </c>
      <c r="S3" s="25">
        <f t="shared" si="5"/>
        <v>0.74381060067119342</v>
      </c>
      <c r="T3" s="25">
        <f t="shared" si="6"/>
        <v>9.2976325083899178E-2</v>
      </c>
      <c r="U3" s="25">
        <f t="shared" si="7"/>
        <v>0</v>
      </c>
      <c r="V3">
        <f>SUM(M3:U3)</f>
        <v>228.76824786893397</v>
      </c>
      <c r="W3">
        <f>$L3/$AP3*AQ3/$AZ3/spq</f>
        <v>2.222284953089265</v>
      </c>
      <c r="X3">
        <f t="shared" si="9"/>
        <v>32.876071213227782</v>
      </c>
      <c r="Y3">
        <f t="shared" si="10"/>
        <v>28.179489611338102</v>
      </c>
      <c r="Z3">
        <f t="shared" si="11"/>
        <v>41.788121179740401</v>
      </c>
      <c r="AA3">
        <f t="shared" si="12"/>
        <v>5.6129877681120606</v>
      </c>
      <c r="AB3">
        <f t="shared" si="13"/>
        <v>1.649531099200279</v>
      </c>
      <c r="AC3">
        <f t="shared" si="14"/>
        <v>0.36656246648895091</v>
      </c>
      <c r="AD3">
        <f t="shared" si="15"/>
        <v>4.5820308311118864E-2</v>
      </c>
      <c r="AE3">
        <f t="shared" si="16"/>
        <v>0</v>
      </c>
      <c r="AF3">
        <f t="shared" si="17"/>
        <v>112.74086859950796</v>
      </c>
      <c r="AG3" s="2">
        <v>5.3600000000000002E-2</v>
      </c>
      <c r="AH3" s="2">
        <v>8.9599999999999999E-2</v>
      </c>
      <c r="AI3" s="2">
        <v>0.1144</v>
      </c>
      <c r="AJ3" s="2">
        <v>0.13850000000000001</v>
      </c>
      <c r="AK3" s="2">
        <v>0.15670000000000001</v>
      </c>
      <c r="AL3" s="2">
        <v>0.1699</v>
      </c>
      <c r="AM3" s="2">
        <v>0.17810000000000001</v>
      </c>
      <c r="AN3" s="2">
        <v>0.19</v>
      </c>
      <c r="AO3" s="2">
        <v>0.14879999999999999</v>
      </c>
      <c r="AP3">
        <f>SUMPRODUCT(AQ3:AY3,AG3:AO3)/AZ3</f>
        <v>0.11805834180044707</v>
      </c>
      <c r="AQ3" s="2">
        <v>97</v>
      </c>
      <c r="AR3" s="2">
        <v>1435</v>
      </c>
      <c r="AS3" s="2">
        <v>1230</v>
      </c>
      <c r="AT3" s="2">
        <v>1824</v>
      </c>
      <c r="AU3" s="2">
        <v>245</v>
      </c>
      <c r="AV3" s="2">
        <v>72</v>
      </c>
      <c r="AW3" s="2">
        <v>16</v>
      </c>
      <c r="AX3" s="2">
        <v>2</v>
      </c>
      <c r="AY3" s="2">
        <v>0</v>
      </c>
      <c r="AZ3">
        <f t="shared" ref="AZ3:AZ65" si="83">SUM(AQ3:AY3)</f>
        <v>4921</v>
      </c>
      <c r="BA3">
        <f t="shared" si="18"/>
        <v>1952</v>
      </c>
      <c r="BB3">
        <f>-LN((SUM(Z3:AE3)+SUM(P3:U3))/SUM(Y2:AD2))</f>
        <v>-0.40998244731915967</v>
      </c>
      <c r="BC3">
        <f>AVERAGE(BB3:BB4)</f>
        <v>0.79057208443851268</v>
      </c>
      <c r="BD3">
        <f t="shared" ref="BD3:BD33" si="84">$J3/$AP3*AQ3/$AZ3</f>
        <v>0.95378236685421225</v>
      </c>
      <c r="BE3">
        <f t="shared" si="19"/>
        <v>14.110079344698915</v>
      </c>
      <c r="BF3">
        <f t="shared" si="20"/>
        <v>12.094353724027641</v>
      </c>
      <c r="BG3">
        <f t="shared" si="21"/>
        <v>17.935041620021476</v>
      </c>
      <c r="BH3">
        <f t="shared" si="22"/>
        <v>2.4090379368998147</v>
      </c>
      <c r="BI3">
        <f t="shared" si="23"/>
        <v>0.707962169211374</v>
      </c>
      <c r="BJ3">
        <f t="shared" si="24"/>
        <v>0.15732492649141647</v>
      </c>
      <c r="BK3">
        <f t="shared" si="25"/>
        <v>1.9665615811427058E-2</v>
      </c>
      <c r="BL3">
        <f t="shared" si="26"/>
        <v>0</v>
      </c>
      <c r="BM3" s="23">
        <f t="shared" ref="BM3:BM33" si="85">(BN4*EXP(Relm*BZ$5)+M3+BD3)+0.0001</f>
        <v>428.65525921280835</v>
      </c>
      <c r="BN3" s="23">
        <f t="shared" si="27"/>
        <v>198.57017839779957</v>
      </c>
      <c r="BO3" s="23">
        <f t="shared" si="28"/>
        <v>78.230249200073658</v>
      </c>
      <c r="BP3" s="23">
        <f t="shared" si="29"/>
        <v>106.64976594085587</v>
      </c>
      <c r="BQ3" s="23">
        <f t="shared" si="30"/>
        <v>15.271870246340368</v>
      </c>
      <c r="BR3" s="23">
        <f t="shared" si="31"/>
        <v>4.5103553626496105</v>
      </c>
      <c r="BS3" s="23">
        <f t="shared" si="32"/>
        <v>1.7524110447128594</v>
      </c>
      <c r="BT3" s="23">
        <f t="shared" si="33"/>
        <v>0.11312165620839848</v>
      </c>
      <c r="BU3" s="23">
        <f t="shared" si="34"/>
        <v>1E-4</v>
      </c>
      <c r="BV3">
        <f t="shared" ref="BV3:BV33" si="86">SUMPRODUCT(DD3:DL3,AG3:AO3)</f>
        <v>10.18114392948954</v>
      </c>
      <c r="BW3">
        <v>1.0723894118364565</v>
      </c>
      <c r="BX3" s="2">
        <v>13.31</v>
      </c>
      <c r="BY3" t="s">
        <v>53</v>
      </c>
      <c r="BZ3">
        <f t="shared" ref="BZ3:CG3" si="87">BZ2/CA2</f>
        <v>9.8933853623585533E-2</v>
      </c>
      <c r="CA3">
        <f t="shared" si="87"/>
        <v>0.76901770388782575</v>
      </c>
      <c r="CB3">
        <f t="shared" si="87"/>
        <v>0.84485638687614872</v>
      </c>
      <c r="CC3">
        <f t="shared" si="87"/>
        <v>1</v>
      </c>
      <c r="CD3">
        <f t="shared" si="87"/>
        <v>1</v>
      </c>
      <c r="CE3">
        <f t="shared" si="87"/>
        <v>1</v>
      </c>
      <c r="CF3">
        <f t="shared" si="87"/>
        <v>1</v>
      </c>
      <c r="CG3">
        <f t="shared" si="87"/>
        <v>1</v>
      </c>
      <c r="CH3">
        <v>1</v>
      </c>
      <c r="CJ3">
        <v>1952</v>
      </c>
      <c r="CK3">
        <f t="shared" ref="CK3:CK33" si="88">SUM(AS3:AY3)</f>
        <v>3389</v>
      </c>
      <c r="CL3">
        <f t="shared" ref="CL3:CL33" si="89">SUM(BO3:BU3)</f>
        <v>206.52787345084076</v>
      </c>
      <c r="CM3" s="9">
        <f>AS3/$CK3</f>
        <v>0.36293892003540867</v>
      </c>
      <c r="CN3" s="9">
        <f t="shared" ref="CN3:CN33" si="90">AT3/$CK3</f>
        <v>0.53821186190616699</v>
      </c>
      <c r="CO3" s="9">
        <f t="shared" si="36"/>
        <v>7.2292711714370017E-2</v>
      </c>
      <c r="CP3" s="9">
        <f t="shared" si="37"/>
        <v>2.1245205075243436E-2</v>
      </c>
      <c r="CQ3" s="27">
        <f t="shared" si="38"/>
        <v>4.7211566833874298E-3</v>
      </c>
      <c r="CR3" s="27">
        <f t="shared" si="39"/>
        <v>5.9014458542342872E-4</v>
      </c>
      <c r="CS3" s="27">
        <f t="shared" si="40"/>
        <v>0</v>
      </c>
      <c r="CT3" s="29">
        <f t="shared" ref="CT3:CT33" si="91">BO3/$CL3</f>
        <v>0.378787850244798</v>
      </c>
      <c r="CU3" s="9">
        <f t="shared" si="41"/>
        <v>0.51639405451120091</v>
      </c>
      <c r="CV3" s="9">
        <f t="shared" si="42"/>
        <v>7.394580688390949E-2</v>
      </c>
      <c r="CW3" s="9">
        <f t="shared" si="43"/>
        <v>2.1838966756819862E-2</v>
      </c>
      <c r="CX3" s="9">
        <f t="shared" si="44"/>
        <v>8.4851067094823922E-3</v>
      </c>
      <c r="CY3" s="9">
        <f t="shared" si="45"/>
        <v>5.4773069764515103E-4</v>
      </c>
      <c r="CZ3" s="9">
        <f t="shared" si="46"/>
        <v>4.8419614422555275E-7</v>
      </c>
      <c r="DA3">
        <f>SUMPRODUCT(CM3:CS3,LN(CT3:CZ3+0.000001))</f>
        <v>-1.0044969382189075</v>
      </c>
      <c r="DB3">
        <f t="shared" si="47"/>
        <v>-0.99944308816300242</v>
      </c>
      <c r="DC3">
        <f t="shared" si="48"/>
        <v>100</v>
      </c>
      <c r="DD3">
        <f t="shared" ref="DD3:DD33" si="92">BZ$2*(BM3-BD3-M3)</f>
        <v>27.202056165199</v>
      </c>
      <c r="DE3">
        <f t="shared" ref="DE3:DE33" si="93">CA$2*(BN3-BE3-N3)</f>
        <v>76.503026726694429</v>
      </c>
      <c r="DF3">
        <f t="shared" si="49"/>
        <v>7.5660738183366139</v>
      </c>
      <c r="DG3">
        <f t="shared" si="50"/>
        <v>3.9203158443183241</v>
      </c>
      <c r="DH3">
        <f t="shared" si="51"/>
        <v>1.4732324866629032</v>
      </c>
      <c r="DI3">
        <f t="shared" si="52"/>
        <v>0.45524549041786599</v>
      </c>
      <c r="DJ3">
        <f t="shared" si="53"/>
        <v>0.85127551755024944</v>
      </c>
      <c r="DK3">
        <f t="shared" si="54"/>
        <v>4.7971531307224036E-4</v>
      </c>
      <c r="DL3">
        <f t="shared" si="55"/>
        <v>1E-4</v>
      </c>
      <c r="DM3">
        <f t="shared" si="56"/>
        <v>1952</v>
      </c>
      <c r="DN3" s="9">
        <f t="shared" ref="DN3:DN33" si="94">IF(AND(M3&gt;0,BM3&gt;M3+BD3),M3/(BM3-BD3),"")</f>
        <v>1.054322234242191E-2</v>
      </c>
      <c r="DO3" s="9">
        <f t="shared" si="57"/>
        <v>0.36165281050019199</v>
      </c>
      <c r="DP3" s="9">
        <f t="shared" si="58"/>
        <v>0.86459009158359956</v>
      </c>
      <c r="DQ3" s="9">
        <f t="shared" si="59"/>
        <v>0.95580986274453594</v>
      </c>
      <c r="DR3" s="9">
        <f t="shared" si="60"/>
        <v>0.88546593384556227</v>
      </c>
      <c r="DS3" s="9">
        <f t="shared" si="61"/>
        <v>0.88027395714796675</v>
      </c>
      <c r="DT3" s="9">
        <f t="shared" si="62"/>
        <v>0.46631375709078271</v>
      </c>
      <c r="DU3" s="9">
        <f t="shared" si="63"/>
        <v>0.99486694160126443</v>
      </c>
      <c r="DV3" s="9" t="str">
        <f t="shared" si="64"/>
        <v/>
      </c>
      <c r="DW3">
        <f t="shared" ref="DW3:DW33" si="95">SUM(O3:U3)/(SUM(BO3:BU3)-SUM(BF3:BL3))</f>
        <v>0.90960912830002338</v>
      </c>
      <c r="DX3">
        <f t="shared" ref="DX3:DX66" si="96">DM3</f>
        <v>1952</v>
      </c>
      <c r="DY3" s="9">
        <f t="shared" ref="DY3:DY34" si="97">IF(AND($DW3&gt;0,DN3&lt;&gt;""),DN3/$DW3,"")</f>
        <v>1.1590937265687112E-2</v>
      </c>
      <c r="DZ3" s="9">
        <f t="shared" ref="DZ3:DZ34" si="98">IF(AND($DW3&gt;0,DO3&lt;&gt;""),DO3/$DW3,"")</f>
        <v>0.39759144807186375</v>
      </c>
      <c r="EA3" s="9">
        <f t="shared" ref="EA3:EA66" si="99">IF(AND($DW3&gt;0,DP3&lt;&gt;""),DP3/$DW3,"")</f>
        <v>0.95050727250224465</v>
      </c>
      <c r="EB3" s="9">
        <f t="shared" ref="EB3:EB66" si="100">IF(AND($DW3&gt;0,DQ3&lt;&gt;""),DQ3/$DW3,"")</f>
        <v>1.0507918544428612</v>
      </c>
      <c r="EC3" s="9">
        <f t="shared" ref="EC3:EC66" si="101">IF(AND($DW3&gt;0,DR3&lt;&gt;""),DR3/$DW3,"")</f>
        <v>0.97345761635046191</v>
      </c>
      <c r="ED3" s="9">
        <f t="shared" ref="ED3:ED66" si="102">IF(AND($DW3&gt;0,DS3&lt;&gt;""),DS3/$DW3,"")</f>
        <v>0.96774969573262593</v>
      </c>
      <c r="EE3" s="9">
        <f t="shared" ref="EE3:EE66" si="103">IF(AND($DW3&gt;0,DT3&lt;&gt;""),DT3/$DW3,"")</f>
        <v>0.51265289956168392</v>
      </c>
      <c r="EF3" s="9">
        <f t="shared" ref="EF3:EF66" si="104">IF(AND($DW3&gt;0,DU3&lt;&gt;""),DU3/$DW3,"")</f>
        <v>1.0937301645824291</v>
      </c>
      <c r="EG3" s="9" t="str">
        <f t="shared" ref="EG3:EG66" si="105">IF(AND($DW3&gt;0,DV3&lt;&gt;""),DV3/$DW3,"")</f>
        <v/>
      </c>
      <c r="EI3">
        <f t="shared" ref="EI3:EI33" si="106">CK3</f>
        <v>3389</v>
      </c>
      <c r="EJ3" s="8">
        <f t="shared" ref="EJ3:EJ33" si="107">GAMMALN($EI3*CM3+1)</f>
        <v>7525.6428124988142</v>
      </c>
      <c r="EK3" s="8">
        <f t="shared" si="66"/>
        <v>11876.701177042576</v>
      </c>
      <c r="EL3" s="8">
        <f t="shared" si="67"/>
        <v>1106.4781693578007</v>
      </c>
      <c r="EM3" s="8">
        <f t="shared" si="68"/>
        <v>238.97838956183435</v>
      </c>
      <c r="EN3" s="8">
        <f t="shared" si="69"/>
        <v>30.671860106080675</v>
      </c>
      <c r="EO3" s="8">
        <f t="shared" si="70"/>
        <v>0.6931471805599454</v>
      </c>
      <c r="EP3" s="8">
        <f t="shared" si="71"/>
        <v>0</v>
      </c>
      <c r="EQ3">
        <f t="shared" ref="EQ3:EQ66" si="108">SUM(EJ3:EP3)</f>
        <v>20779.165555747666</v>
      </c>
      <c r="ES3" s="8">
        <f t="shared" ref="ES3:ES33" si="109">GAMMALN($EI3*CM3+theta_dm*$EI3*CT3)-GAMMALN(theta_dm*$EI3*CT3)</f>
        <v>7750.8369879093852</v>
      </c>
      <c r="ET3" s="8">
        <f t="shared" si="72"/>
        <v>12191.982271306484</v>
      </c>
      <c r="EU3" s="8">
        <f t="shared" si="73"/>
        <v>1146.5847444234416</v>
      </c>
      <c r="EV3" s="8">
        <f t="shared" si="74"/>
        <v>247.70398427543583</v>
      </c>
      <c r="EW3" s="8">
        <f t="shared" si="75"/>
        <v>31.507542415746734</v>
      </c>
      <c r="EX3" s="8">
        <f t="shared" si="76"/>
        <v>-2.4297820595436113</v>
      </c>
      <c r="EY3" s="8">
        <f t="shared" si="77"/>
        <v>0</v>
      </c>
      <c r="EZ3">
        <f t="shared" ref="EZ3:EZ66" si="110">SUM(ES3:EY3)</f>
        <v>21366.185748270953</v>
      </c>
      <c r="FB3">
        <f t="shared" ref="FB3:FB66" si="111">GAMMALN($EI3+1)</f>
        <v>24162.758499784661</v>
      </c>
      <c r="FC3">
        <f t="shared" ref="FC3:FC33" si="112">GAMMALN(theta_dm*$EI3)</f>
        <v>593.30759922346112</v>
      </c>
      <c r="FD3">
        <f t="shared" ref="FD3:FD33" si="113">GAMMALN($EI3+theta_dm*$EI3)</f>
        <v>25366.177304578174</v>
      </c>
      <c r="FE3">
        <f t="shared" ref="FE3:FE33" si="114">FB3-EQ3+FC3-FD3+EZ3</f>
        <v>-23.091013046763692</v>
      </c>
      <c r="FG3">
        <f t="shared" ref="FG3:FG33" si="115">(1+theta_dm*$EI3)/(1+theta_dm)</f>
        <v>143.37131437353946</v>
      </c>
      <c r="FJ3">
        <v>10.377525540355105</v>
      </c>
    </row>
    <row r="4" spans="1:166" x14ac:dyDescent="0.3">
      <c r="A4" s="6" t="s">
        <v>84</v>
      </c>
      <c r="B4" s="6">
        <v>1</v>
      </c>
      <c r="D4">
        <v>1953</v>
      </c>
      <c r="E4">
        <f t="shared" si="78"/>
        <v>45.182296286274116</v>
      </c>
      <c r="F4">
        <f t="shared" si="79"/>
        <v>0.19803083168863259</v>
      </c>
      <c r="G4">
        <f t="shared" si="80"/>
        <v>0.58029794739561524</v>
      </c>
      <c r="H4">
        <f t="shared" si="81"/>
        <v>5.0516531534944818E-4</v>
      </c>
      <c r="I4" s="2">
        <v>5.5912962862741216</v>
      </c>
      <c r="J4">
        <f t="shared" si="82"/>
        <v>5.5912962862741216</v>
      </c>
      <c r="K4" s="2">
        <v>0.02</v>
      </c>
      <c r="L4">
        <f t="shared" ref="L4:L33" si="116">BX4/qspawn</f>
        <v>39.570999999999998</v>
      </c>
      <c r="M4" s="25">
        <f t="shared" ref="M4:M33" si="117">$K4/$AP4*AQ4/$AZ4</f>
        <v>3.5184209575834111E-2</v>
      </c>
      <c r="N4" s="25">
        <f t="shared" si="0"/>
        <v>0.13824592081124204</v>
      </c>
      <c r="O4" s="25">
        <f t="shared" si="1"/>
        <v>6.762840991036434E-2</v>
      </c>
      <c r="P4" s="25">
        <f t="shared" si="2"/>
        <v>4.0477409246534833E-3</v>
      </c>
      <c r="Q4" s="25">
        <f t="shared" si="3"/>
        <v>1.1831858087448643E-3</v>
      </c>
      <c r="R4" s="25">
        <f t="shared" si="4"/>
        <v>1.2454587460472254E-4</v>
      </c>
      <c r="S4" s="25">
        <f t="shared" si="5"/>
        <v>0</v>
      </c>
      <c r="T4" s="25">
        <f t="shared" si="6"/>
        <v>0</v>
      </c>
      <c r="U4" s="25">
        <f t="shared" si="7"/>
        <v>0</v>
      </c>
      <c r="V4">
        <f t="shared" si="8"/>
        <v>0.24641401290544357</v>
      </c>
      <c r="W4">
        <f t="shared" ref="W4:W33" si="118">$L4/$AP4*AQ4/$AZ4/spq</f>
        <v>69.613717856266604</v>
      </c>
      <c r="X4">
        <f t="shared" si="9"/>
        <v>273.52646662108288</v>
      </c>
      <c r="Y4">
        <f t="shared" si="10"/>
        <v>133.80619042815138</v>
      </c>
      <c r="Z4">
        <f t="shared" si="11"/>
        <v>8.0086578064731491</v>
      </c>
      <c r="AA4">
        <f t="shared" si="12"/>
        <v>2.3409922818921509</v>
      </c>
      <c r="AB4">
        <f t="shared" si="13"/>
        <v>0.24642024019917377</v>
      </c>
      <c r="AC4">
        <f t="shared" si="14"/>
        <v>0</v>
      </c>
      <c r="AD4">
        <f t="shared" si="15"/>
        <v>0</v>
      </c>
      <c r="AE4">
        <f t="shared" si="16"/>
        <v>0</v>
      </c>
      <c r="AF4">
        <f t="shared" si="17"/>
        <v>487.54244523406538</v>
      </c>
      <c r="AG4" s="2">
        <v>4.2700000000000002E-2</v>
      </c>
      <c r="AH4" s="2">
        <v>7.9899999999999999E-2</v>
      </c>
      <c r="AI4" s="2">
        <v>0.10009999999999999</v>
      </c>
      <c r="AJ4" s="2">
        <v>0.121</v>
      </c>
      <c r="AK4" s="2">
        <v>0.14729999999999999</v>
      </c>
      <c r="AL4" s="2">
        <v>0.14549999999999999</v>
      </c>
      <c r="AM4" s="2">
        <v>0.1915</v>
      </c>
      <c r="AN4" s="2">
        <v>0.193</v>
      </c>
      <c r="AO4" s="2">
        <v>0.14879999999999999</v>
      </c>
      <c r="AP4">
        <f t="shared" ref="AP4:AP65" si="119">SUMPRODUCT(AQ4:AY4,AG4:AO4)/AZ4</f>
        <v>8.116421531463229E-2</v>
      </c>
      <c r="AQ4" s="2">
        <v>565</v>
      </c>
      <c r="AR4" s="2">
        <v>2220</v>
      </c>
      <c r="AS4" s="2">
        <v>1086</v>
      </c>
      <c r="AT4" s="2">
        <v>65</v>
      </c>
      <c r="AU4" s="2">
        <v>19</v>
      </c>
      <c r="AV4" s="2">
        <v>2</v>
      </c>
      <c r="AW4" s="2">
        <v>0</v>
      </c>
      <c r="AX4" s="2">
        <v>0</v>
      </c>
      <c r="AY4" s="2">
        <v>0</v>
      </c>
      <c r="AZ4">
        <f t="shared" si="83"/>
        <v>3957</v>
      </c>
      <c r="BA4">
        <f t="shared" si="18"/>
        <v>1953</v>
      </c>
      <c r="BB4">
        <f>-LN((SUM(Z4:AE4)+SUM(P4:U4))/SUM(Y3:AD3))</f>
        <v>1.9911266161961849</v>
      </c>
      <c r="BC4">
        <f>AVERAGE(BB3:BB5)</f>
        <v>0.97523519194754738</v>
      </c>
      <c r="BD4">
        <f t="shared" si="84"/>
        <v>9.8362670168425836</v>
      </c>
      <c r="BE4">
        <f>$J4/$AP4*AR4/$AZ4</f>
        <v>38.648695181222188</v>
      </c>
      <c r="BF4">
        <f t="shared" si="20"/>
        <v>18.906523858922206</v>
      </c>
      <c r="BG4">
        <f t="shared" si="21"/>
        <v>1.1316059399907397</v>
      </c>
      <c r="BH4">
        <f t="shared" si="22"/>
        <v>0.33077712092037004</v>
      </c>
      <c r="BI4">
        <f t="shared" si="23"/>
        <v>3.4818644307407373E-2</v>
      </c>
      <c r="BJ4">
        <f t="shared" si="24"/>
        <v>0</v>
      </c>
      <c r="BK4">
        <f t="shared" si="25"/>
        <v>0</v>
      </c>
      <c r="BL4">
        <f t="shared" si="26"/>
        <v>0</v>
      </c>
      <c r="BM4" s="23">
        <f>(BN5*EXP(Relm*BZ$5)+M4+BD4)+0.0001</f>
        <v>646.41703845444351</v>
      </c>
      <c r="BN4" s="23">
        <f t="shared" si="27"/>
        <v>308.73833586467316</v>
      </c>
      <c r="BO4" s="23">
        <f t="shared" si="28"/>
        <v>85.903746153206953</v>
      </c>
      <c r="BP4" s="23">
        <f t="shared" si="29"/>
        <v>6.5333498874285194</v>
      </c>
      <c r="BQ4" s="23">
        <f t="shared" si="30"/>
        <v>2.5737400477658716</v>
      </c>
      <c r="BR4" s="23">
        <f t="shared" si="31"/>
        <v>0.84019874754353796</v>
      </c>
      <c r="BS4" s="23">
        <f t="shared" si="32"/>
        <v>0.2151482507993687</v>
      </c>
      <c r="BT4" s="23">
        <f t="shared" si="33"/>
        <v>0.31317051067186835</v>
      </c>
      <c r="BU4" s="23">
        <f t="shared" si="34"/>
        <v>1E-4</v>
      </c>
      <c r="BV4">
        <f t="shared" si="86"/>
        <v>22.623177298452404</v>
      </c>
      <c r="BW4">
        <v>1.2229811190988267</v>
      </c>
      <c r="BX4" s="2">
        <v>39.570999999999998</v>
      </c>
      <c r="BY4" t="s">
        <v>75</v>
      </c>
      <c r="CJ4">
        <v>1953</v>
      </c>
      <c r="CK4">
        <f t="shared" si="88"/>
        <v>1172</v>
      </c>
      <c r="CL4">
        <f t="shared" si="89"/>
        <v>96.379453597416116</v>
      </c>
      <c r="CM4" s="9">
        <f t="shared" ref="CM4:CM33" si="120">AS4/$CK4</f>
        <v>0.92662116040955633</v>
      </c>
      <c r="CN4" s="9">
        <f t="shared" si="90"/>
        <v>5.546075085324232E-2</v>
      </c>
      <c r="CO4" s="9">
        <f t="shared" si="36"/>
        <v>1.6211604095563138E-2</v>
      </c>
      <c r="CP4" s="9">
        <f t="shared" si="37"/>
        <v>1.7064846416382253E-3</v>
      </c>
      <c r="CQ4" s="27">
        <f t="shared" si="38"/>
        <v>0</v>
      </c>
      <c r="CR4" s="27">
        <f t="shared" si="39"/>
        <v>0</v>
      </c>
      <c r="CS4" s="27">
        <f t="shared" si="40"/>
        <v>0</v>
      </c>
      <c r="CT4" s="29">
        <f t="shared" si="91"/>
        <v>0.89130766928844662</v>
      </c>
      <c r="CU4" s="9">
        <f t="shared" si="41"/>
        <v>6.778778716383671E-2</v>
      </c>
      <c r="CV4" s="9">
        <f t="shared" si="42"/>
        <v>2.6704239873744959E-2</v>
      </c>
      <c r="CW4" s="9">
        <f t="shared" si="43"/>
        <v>8.7176126880020334E-3</v>
      </c>
      <c r="CX4" s="9">
        <f t="shared" si="44"/>
        <v>2.2323041142986591E-3</v>
      </c>
      <c r="CY4" s="9">
        <f t="shared" si="45"/>
        <v>3.2493493061291259E-3</v>
      </c>
      <c r="CZ4" s="9">
        <f t="shared" si="46"/>
        <v>1.0375655419017746E-6</v>
      </c>
      <c r="DA4">
        <f t="shared" ref="DA4:DA33" si="121">SUMPRODUCT(CM4:CS4,LN(CT4:CZ4+0.000001))</f>
        <v>-0.3227115463430944</v>
      </c>
      <c r="DB4">
        <f t="shared" si="47"/>
        <v>-0.32008168920643482</v>
      </c>
      <c r="DC4">
        <f t="shared" si="48"/>
        <v>100</v>
      </c>
      <c r="DD4">
        <f t="shared" si="92"/>
        <v>40.916046848079219</v>
      </c>
      <c r="DE4">
        <f t="shared" si="93"/>
        <v>175.38999077725023</v>
      </c>
      <c r="DF4">
        <f t="shared" si="49"/>
        <v>56.545894864240509</v>
      </c>
      <c r="DG4">
        <f t="shared" si="50"/>
        <v>5.3976962065131264</v>
      </c>
      <c r="DH4">
        <f t="shared" si="51"/>
        <v>2.2417797410367566</v>
      </c>
      <c r="DI4">
        <f t="shared" si="52"/>
        <v>0.80525555736152588</v>
      </c>
      <c r="DJ4">
        <f t="shared" si="53"/>
        <v>0.2151482507993687</v>
      </c>
      <c r="DK4">
        <f t="shared" si="54"/>
        <v>0.31317051067186835</v>
      </c>
      <c r="DL4">
        <f t="shared" si="55"/>
        <v>1E-4</v>
      </c>
      <c r="DM4">
        <f t="shared" si="56"/>
        <v>1953</v>
      </c>
      <c r="DN4" s="9">
        <f t="shared" si="94"/>
        <v>5.5270613179812241E-5</v>
      </c>
      <c r="DO4" s="9">
        <f t="shared" si="57"/>
        <v>5.1185199277327441E-4</v>
      </c>
      <c r="DP4" s="9">
        <f t="shared" si="58"/>
        <v>1.009421101270544E-3</v>
      </c>
      <c r="DQ4" s="9">
        <f t="shared" si="59"/>
        <v>7.4933965105351884E-4</v>
      </c>
      <c r="DR4" s="9">
        <f t="shared" si="60"/>
        <v>5.2751019403111325E-4</v>
      </c>
      <c r="DS4" s="9">
        <f t="shared" si="61"/>
        <v>1.5464235347294983E-4</v>
      </c>
      <c r="DT4" s="9" t="str">
        <f t="shared" si="62"/>
        <v/>
      </c>
      <c r="DU4" s="9" t="str">
        <f t="shared" si="63"/>
        <v/>
      </c>
      <c r="DV4" s="9" t="str">
        <f t="shared" si="64"/>
        <v/>
      </c>
      <c r="DW4">
        <f t="shared" si="95"/>
        <v>9.6062103526539904E-4</v>
      </c>
      <c r="DX4">
        <f t="shared" si="96"/>
        <v>1953</v>
      </c>
      <c r="DY4" s="9">
        <f t="shared" si="97"/>
        <v>5.7536334465695053E-2</v>
      </c>
      <c r="DZ4" s="9">
        <f t="shared" si="98"/>
        <v>0.53283446227248255</v>
      </c>
      <c r="EA4" s="9">
        <f t="shared" si="99"/>
        <v>1.050800538624123</v>
      </c>
      <c r="EB4" s="9">
        <f t="shared" si="100"/>
        <v>0.78005750815824304</v>
      </c>
      <c r="EC4" s="9">
        <f t="shared" si="101"/>
        <v>0.54913454386866878</v>
      </c>
      <c r="ED4" s="9">
        <f t="shared" si="102"/>
        <v>0.16098164395309691</v>
      </c>
      <c r="EE4" s="9" t="str">
        <f t="shared" si="103"/>
        <v/>
      </c>
      <c r="EF4" s="9" t="str">
        <f t="shared" si="104"/>
        <v/>
      </c>
      <c r="EG4" s="9" t="str">
        <f t="shared" si="105"/>
        <v/>
      </c>
      <c r="EI4">
        <f t="shared" si="106"/>
        <v>1172</v>
      </c>
      <c r="EJ4" s="8">
        <f t="shared" si="107"/>
        <v>6509.8327030539967</v>
      </c>
      <c r="EK4" s="8">
        <f t="shared" si="66"/>
        <v>209.34258675253682</v>
      </c>
      <c r="EL4" s="8">
        <f t="shared" si="67"/>
        <v>39.339884187199488</v>
      </c>
      <c r="EM4" s="8">
        <f t="shared" si="68"/>
        <v>0.6931471805599454</v>
      </c>
      <c r="EN4" s="8">
        <f t="shared" si="69"/>
        <v>0</v>
      </c>
      <c r="EO4" s="8">
        <f t="shared" si="70"/>
        <v>0</v>
      </c>
      <c r="EP4" s="8">
        <f t="shared" si="71"/>
        <v>0</v>
      </c>
      <c r="EQ4">
        <f t="shared" si="108"/>
        <v>6759.2083211742929</v>
      </c>
      <c r="ES4" s="8">
        <f t="shared" si="109"/>
        <v>6695.6396182805638</v>
      </c>
      <c r="ET4" s="8">
        <f t="shared" si="72"/>
        <v>218.59709386570265</v>
      </c>
      <c r="EU4" s="8">
        <f t="shared" si="73"/>
        <v>40.568632217965053</v>
      </c>
      <c r="EV4" s="8">
        <f t="shared" si="74"/>
        <v>-0.43226368877047328</v>
      </c>
      <c r="EW4" s="8">
        <f t="shared" si="75"/>
        <v>0</v>
      </c>
      <c r="EX4" s="8">
        <f t="shared" si="76"/>
        <v>0</v>
      </c>
      <c r="EY4" s="8">
        <f t="shared" si="77"/>
        <v>0</v>
      </c>
      <c r="EZ4">
        <f t="shared" si="110"/>
        <v>6954.373080675462</v>
      </c>
      <c r="FB4">
        <f t="shared" si="111"/>
        <v>7114.3515321223131</v>
      </c>
      <c r="FC4">
        <f t="shared" si="112"/>
        <v>150.08914953895766</v>
      </c>
      <c r="FD4">
        <f t="shared" si="113"/>
        <v>7471.6651718693556</v>
      </c>
      <c r="FE4">
        <f t="shared" si="114"/>
        <v>-12.059730706915616</v>
      </c>
      <c r="FG4">
        <f t="shared" si="115"/>
        <v>50.208031030523827</v>
      </c>
      <c r="FJ4">
        <v>19.119919663440751</v>
      </c>
    </row>
    <row r="5" spans="1:166" x14ac:dyDescent="0.3">
      <c r="D5">
        <v>1954</v>
      </c>
      <c r="E5">
        <f t="shared" si="78"/>
        <v>59.327074344324586</v>
      </c>
      <c r="F5">
        <f t="shared" si="79"/>
        <v>9.1975095678868454E-2</v>
      </c>
      <c r="G5">
        <f t="shared" si="80"/>
        <v>0.42153222740956114</v>
      </c>
      <c r="H5">
        <f t="shared" si="81"/>
        <v>0.61661436767736788</v>
      </c>
      <c r="I5" s="2">
        <v>5.4700743443245905</v>
      </c>
      <c r="J5">
        <f t="shared" si="82"/>
        <v>5.4700743443245905</v>
      </c>
      <c r="K5" s="2">
        <v>33.209000000000003</v>
      </c>
      <c r="L5">
        <f t="shared" si="116"/>
        <v>20.648</v>
      </c>
      <c r="M5" s="25">
        <f t="shared" si="117"/>
        <v>9.5531028051501767</v>
      </c>
      <c r="N5" s="25">
        <f t="shared" si="0"/>
        <v>225.75798776342626</v>
      </c>
      <c r="O5" s="25">
        <f t="shared" si="1"/>
        <v>98.520035677653055</v>
      </c>
      <c r="P5" s="25">
        <f t="shared" si="2"/>
        <v>19.809501522335953</v>
      </c>
      <c r="Q5" s="25">
        <f t="shared" si="3"/>
        <v>2.4615356921245857</v>
      </c>
      <c r="R5" s="25">
        <f t="shared" si="4"/>
        <v>0.5274719340266969</v>
      </c>
      <c r="S5" s="25">
        <f t="shared" si="5"/>
        <v>0.29303996334816496</v>
      </c>
      <c r="T5" s="25">
        <f t="shared" si="6"/>
        <v>5.8607992669632993E-2</v>
      </c>
      <c r="U5" s="25">
        <f t="shared" si="7"/>
        <v>5.8607992669632993E-2</v>
      </c>
      <c r="V5">
        <f t="shared" si="8"/>
        <v>357.03989134340418</v>
      </c>
      <c r="W5">
        <f t="shared" si="118"/>
        <v>5.9397291915065438</v>
      </c>
      <c r="X5">
        <f t="shared" si="9"/>
        <v>140.36709721278041</v>
      </c>
      <c r="Y5">
        <f t="shared" si="10"/>
        <v>61.255734790935584</v>
      </c>
      <c r="Z5">
        <f t="shared" si="11"/>
        <v>12.316739059688416</v>
      </c>
      <c r="AA5">
        <f t="shared" si="12"/>
        <v>1.5304823683636495</v>
      </c>
      <c r="AB5">
        <f t="shared" si="13"/>
        <v>0.3279605075064963</v>
      </c>
      <c r="AC5">
        <f t="shared" si="14"/>
        <v>0.18220028194805352</v>
      </c>
      <c r="AD5">
        <f t="shared" si="15"/>
        <v>3.6440056389610703E-2</v>
      </c>
      <c r="AE5">
        <f t="shared" si="16"/>
        <v>3.6440056389610703E-2</v>
      </c>
      <c r="AF5">
        <f t="shared" si="17"/>
        <v>221.99282352550833</v>
      </c>
      <c r="AG5" s="2">
        <v>5.4199999999999998E-2</v>
      </c>
      <c r="AH5" s="2">
        <v>8.5400000000000004E-2</v>
      </c>
      <c r="AI5" s="2">
        <v>0.1056</v>
      </c>
      <c r="AJ5" s="2">
        <v>0.1258</v>
      </c>
      <c r="AK5" s="2">
        <v>0.1474</v>
      </c>
      <c r="AL5" s="2">
        <v>0.1658</v>
      </c>
      <c r="AM5" s="2">
        <v>0.155</v>
      </c>
      <c r="AN5" s="2">
        <v>0.193</v>
      </c>
      <c r="AO5" s="2">
        <v>0.14879999999999999</v>
      </c>
      <c r="AP5">
        <f t="shared" si="119"/>
        <v>9.3012015758371633E-2</v>
      </c>
      <c r="AQ5" s="2">
        <v>163</v>
      </c>
      <c r="AR5" s="2">
        <v>3852</v>
      </c>
      <c r="AS5" s="2">
        <v>1681</v>
      </c>
      <c r="AT5" s="2">
        <v>338</v>
      </c>
      <c r="AU5" s="2">
        <v>42</v>
      </c>
      <c r="AV5" s="2">
        <v>9</v>
      </c>
      <c r="AW5" s="2">
        <v>5</v>
      </c>
      <c r="AX5" s="2">
        <v>1</v>
      </c>
      <c r="AY5" s="2">
        <v>1</v>
      </c>
      <c r="AZ5">
        <f t="shared" si="83"/>
        <v>6092</v>
      </c>
      <c r="BA5">
        <f t="shared" si="18"/>
        <v>1954</v>
      </c>
      <c r="BB5">
        <f t="shared" ref="BB5:BB34" si="122">-LN((SUM(Z5:AE5)+SUM(P5:U5))/SUM(Y4:AD4))</f>
        <v>1.3445614069656169</v>
      </c>
      <c r="BC5">
        <f t="shared" ref="BC5:BC68" si="123">AVERAGE(BB4:BB6)</f>
        <v>1.7802348035938287</v>
      </c>
      <c r="BD5">
        <f t="shared" si="84"/>
        <v>1.5735548364343177</v>
      </c>
      <c r="BE5">
        <f t="shared" si="19"/>
        <v>37.186093435245347</v>
      </c>
      <c r="BF5">
        <f t="shared" si="20"/>
        <v>16.22788760764471</v>
      </c>
      <c r="BG5">
        <f t="shared" si="21"/>
        <v>3.2629542007042902</v>
      </c>
      <c r="BH5">
        <f t="shared" si="22"/>
        <v>0.40545584742479346</v>
      </c>
      <c r="BI5">
        <f t="shared" si="23"/>
        <v>8.6883395876741459E-2</v>
      </c>
      <c r="BJ5">
        <f t="shared" si="24"/>
        <v>4.8268553264856372E-2</v>
      </c>
      <c r="BK5">
        <f t="shared" si="25"/>
        <v>9.6537106529712736E-3</v>
      </c>
      <c r="BL5">
        <f t="shared" si="26"/>
        <v>9.6537106529712736E-3</v>
      </c>
      <c r="BM5" s="23">
        <f>(BN6*EXP(Relm*BZ$5)+M5+BD5)+0.0001</f>
        <v>304.76939057380804</v>
      </c>
      <c r="BN5" s="23">
        <f>(BO6*EXP(Relm*CA$5)+N5+BE5)+0.0001</f>
        <v>444.27469253930741</v>
      </c>
      <c r="BO5" s="23">
        <f t="shared" si="28"/>
        <v>188.41156034823501</v>
      </c>
      <c r="BP5" s="23">
        <f t="shared" si="29"/>
        <v>46.713205754988081</v>
      </c>
      <c r="BQ5" s="23">
        <f t="shared" si="30"/>
        <v>3.340356667778003</v>
      </c>
      <c r="BR5" s="23">
        <f t="shared" si="31"/>
        <v>1.1815972095606309</v>
      </c>
      <c r="BS5" s="23">
        <f t="shared" si="32"/>
        <v>0.34258701537038283</v>
      </c>
      <c r="BT5" s="23">
        <f t="shared" si="33"/>
        <v>6.8757355792363556E-2</v>
      </c>
      <c r="BU5" s="23">
        <f t="shared" si="34"/>
        <v>6.8361703322604273E-2</v>
      </c>
      <c r="BV5">
        <f t="shared" si="86"/>
        <v>20.794354891600147</v>
      </c>
      <c r="BW5">
        <v>1.1054346616743365</v>
      </c>
      <c r="BX5" s="2">
        <v>20.648</v>
      </c>
      <c r="BY5" t="s">
        <v>76</v>
      </c>
      <c r="BZ5">
        <f>-LN(Su)</f>
        <v>0.29404610293899974</v>
      </c>
      <c r="CA5">
        <f>-LN(Su)</f>
        <v>0.29404610293899974</v>
      </c>
      <c r="CB5">
        <f>-LN(Su)</f>
        <v>0.29404610293899974</v>
      </c>
      <c r="CC5">
        <f>CB5*EXP(tanasMsl)</f>
        <v>0.39238227964411826</v>
      </c>
      <c r="CD5">
        <f>CC5*EXP(tanasMsl)</f>
        <v>0.52360446827841489</v>
      </c>
      <c r="CE5">
        <f>CD5*EXP(tanasMsl)</f>
        <v>0.69871055198970733</v>
      </c>
      <c r="CF5">
        <f>CE5*EXP(tanasMsl)</f>
        <v>0.93237637384365113</v>
      </c>
      <c r="CG5">
        <f>CF5*EXP(tanasMsl)</f>
        <v>1.2441857361768338</v>
      </c>
      <c r="CJ5">
        <v>1954</v>
      </c>
      <c r="CK5">
        <f t="shared" si="88"/>
        <v>2077</v>
      </c>
      <c r="CL5">
        <f t="shared" si="89"/>
        <v>240.12642605504709</v>
      </c>
      <c r="CM5" s="9">
        <f t="shared" si="120"/>
        <v>0.8093403948001926</v>
      </c>
      <c r="CN5" s="9">
        <f t="shared" si="90"/>
        <v>0.16273471352912855</v>
      </c>
      <c r="CO5" s="9">
        <f t="shared" si="36"/>
        <v>2.0221473278767454E-2</v>
      </c>
      <c r="CP5" s="9">
        <f t="shared" si="37"/>
        <v>4.3331728454501688E-3</v>
      </c>
      <c r="CQ5" s="27">
        <f t="shared" si="38"/>
        <v>2.4073182474723159E-3</v>
      </c>
      <c r="CR5" s="27">
        <f t="shared" si="39"/>
        <v>4.8146364949446316E-4</v>
      </c>
      <c r="CS5" s="27">
        <f t="shared" si="40"/>
        <v>4.8146364949446316E-4</v>
      </c>
      <c r="CT5" s="29">
        <f t="shared" si="91"/>
        <v>0.78463484191882804</v>
      </c>
      <c r="CU5" s="9">
        <f t="shared" si="41"/>
        <v>0.19453588062931251</v>
      </c>
      <c r="CV5" s="9">
        <f t="shared" si="42"/>
        <v>1.3910824904428689E-2</v>
      </c>
      <c r="CW5" s="9">
        <f t="shared" si="43"/>
        <v>4.9207295880452535E-3</v>
      </c>
      <c r="CX5" s="9">
        <f t="shared" si="44"/>
        <v>1.426694350133073E-3</v>
      </c>
      <c r="CY5" s="9">
        <f t="shared" si="45"/>
        <v>2.863381466253176E-4</v>
      </c>
      <c r="CZ5" s="9">
        <f t="shared" si="46"/>
        <v>2.8469046262710333E-4</v>
      </c>
      <c r="DA5">
        <f t="shared" si="121"/>
        <v>-0.59581361114066567</v>
      </c>
      <c r="DB5">
        <f t="shared" si="47"/>
        <v>-0.58902468414860087</v>
      </c>
      <c r="DC5">
        <f t="shared" si="48"/>
        <v>100</v>
      </c>
      <c r="DD5">
        <f t="shared" si="92"/>
        <v>18.874845821449291</v>
      </c>
      <c r="DE5">
        <f t="shared" si="93"/>
        <v>117.81222422885126</v>
      </c>
      <c r="DF5">
        <f t="shared" si="49"/>
        <v>62.235194253149125</v>
      </c>
      <c r="DG5">
        <f t="shared" si="50"/>
        <v>23.640750031947835</v>
      </c>
      <c r="DH5">
        <f t="shared" si="51"/>
        <v>0.47336512822862398</v>
      </c>
      <c r="DI5">
        <f t="shared" si="52"/>
        <v>0.56724187965719253</v>
      </c>
      <c r="DJ5">
        <f t="shared" si="53"/>
        <v>1.2784987573615236E-3</v>
      </c>
      <c r="DK5">
        <f t="shared" si="54"/>
        <v>4.9565246975929317E-4</v>
      </c>
      <c r="DL5">
        <f t="shared" si="55"/>
        <v>1.000000000000098E-4</v>
      </c>
      <c r="DM5">
        <f t="shared" si="56"/>
        <v>1954</v>
      </c>
      <c r="DN5" s="9">
        <f t="shared" si="94"/>
        <v>3.1508027746875167E-2</v>
      </c>
      <c r="DO5" s="9">
        <f t="shared" si="57"/>
        <v>0.55456720787632985</v>
      </c>
      <c r="DP5" s="9">
        <f t="shared" si="58"/>
        <v>0.57217989435085437</v>
      </c>
      <c r="DQ5" s="9">
        <f t="shared" si="59"/>
        <v>0.45591224017626941</v>
      </c>
      <c r="DR5" s="9">
        <f t="shared" si="60"/>
        <v>0.83871171218260954</v>
      </c>
      <c r="DS5" s="9">
        <f t="shared" si="61"/>
        <v>0.48183546003833488</v>
      </c>
      <c r="DT5" s="9">
        <f t="shared" si="62"/>
        <v>0.99565607013499846</v>
      </c>
      <c r="DU5" s="9">
        <f t="shared" si="63"/>
        <v>0.99161384262188357</v>
      </c>
      <c r="DV5" s="9">
        <f t="shared" si="64"/>
        <v>0.99829665441701032</v>
      </c>
      <c r="DW5">
        <f t="shared" si="95"/>
        <v>0.55312248424374233</v>
      </c>
      <c r="DX5">
        <f t="shared" si="96"/>
        <v>1954</v>
      </c>
      <c r="DY5" s="9">
        <f t="shared" si="97"/>
        <v>5.6963925069787341E-2</v>
      </c>
      <c r="DZ5" s="9">
        <f t="shared" si="98"/>
        <v>1.0026119416110211</v>
      </c>
      <c r="EA5" s="9">
        <f t="shared" si="99"/>
        <v>1.0344542314767196</v>
      </c>
      <c r="EB5" s="9">
        <f t="shared" si="100"/>
        <v>0.82425186674451723</v>
      </c>
      <c r="EC5" s="9">
        <f t="shared" si="101"/>
        <v>1.5163218565040608</v>
      </c>
      <c r="ED5" s="9">
        <f t="shared" si="102"/>
        <v>0.87111891807675335</v>
      </c>
      <c r="EE5" s="9">
        <f t="shared" si="103"/>
        <v>1.8000643591560213</v>
      </c>
      <c r="EF5" s="9">
        <f t="shared" si="104"/>
        <v>1.7927563439726544</v>
      </c>
      <c r="EG5" s="9">
        <f t="shared" si="105"/>
        <v>1.8048383185542225</v>
      </c>
      <c r="EI5">
        <f t="shared" si="106"/>
        <v>2077</v>
      </c>
      <c r="EJ5" s="8">
        <f t="shared" si="107"/>
        <v>10808.661848433458</v>
      </c>
      <c r="EK5" s="8">
        <f t="shared" si="66"/>
        <v>1634.0202207024581</v>
      </c>
      <c r="EL5" s="8">
        <f t="shared" si="67"/>
        <v>117.77188139974506</v>
      </c>
      <c r="EM5" s="8">
        <f t="shared" si="68"/>
        <v>12.801827480081471</v>
      </c>
      <c r="EN5" s="8">
        <f t="shared" si="69"/>
        <v>4.7874917427820458</v>
      </c>
      <c r="EO5" s="8">
        <f t="shared" si="70"/>
        <v>0</v>
      </c>
      <c r="EP5" s="8">
        <f t="shared" si="71"/>
        <v>0</v>
      </c>
      <c r="EQ5">
        <f t="shared" si="108"/>
        <v>12578.043269758524</v>
      </c>
      <c r="ES5" s="8">
        <f t="shared" si="109"/>
        <v>11101.144222848185</v>
      </c>
      <c r="ET5" s="8">
        <f t="shared" si="72"/>
        <v>1699.1185749419299</v>
      </c>
      <c r="EU5" s="8">
        <f t="shared" si="73"/>
        <v>118.87738616006551</v>
      </c>
      <c r="EV5" s="8">
        <f t="shared" si="74"/>
        <v>10.895062089863327</v>
      </c>
      <c r="EW5" s="8">
        <f t="shared" si="75"/>
        <v>1.3972789105881946</v>
      </c>
      <c r="EX5" s="8">
        <f t="shared" si="76"/>
        <v>-3.6462831062994776</v>
      </c>
      <c r="EY5" s="8">
        <f t="shared" si="77"/>
        <v>-3.6520540555807099</v>
      </c>
      <c r="EZ5">
        <f t="shared" si="110"/>
        <v>12924.13418778875</v>
      </c>
      <c r="FB5">
        <f t="shared" si="111"/>
        <v>13793.276312757798</v>
      </c>
      <c r="FC5">
        <f t="shared" si="112"/>
        <v>318.64272815661667</v>
      </c>
      <c r="FD5">
        <f t="shared" si="113"/>
        <v>14483.536522434681</v>
      </c>
      <c r="FE5">
        <f t="shared" si="114"/>
        <v>-25.526563490038825</v>
      </c>
      <c r="FG5">
        <f t="shared" si="115"/>
        <v>88.238148949075551</v>
      </c>
      <c r="FJ5">
        <v>13.55443129946206</v>
      </c>
    </row>
    <row r="6" spans="1:166" x14ac:dyDescent="0.3">
      <c r="A6" s="11"/>
      <c r="B6" s="15"/>
      <c r="D6">
        <v>1955</v>
      </c>
      <c r="E6">
        <f t="shared" si="78"/>
        <v>26.583852402375065</v>
      </c>
      <c r="F6">
        <f t="shared" si="79"/>
        <v>0.14138064774259904</v>
      </c>
      <c r="G6">
        <f t="shared" si="80"/>
        <v>0.42765319709454708</v>
      </c>
      <c r="H6">
        <f t="shared" si="81"/>
        <v>0.28834471391570515</v>
      </c>
      <c r="I6" s="2">
        <v>5.3488524023750621</v>
      </c>
      <c r="J6">
        <f t="shared" si="82"/>
        <v>5.3488524023750621</v>
      </c>
      <c r="K6" s="2">
        <v>6.1230000000000002</v>
      </c>
      <c r="L6">
        <f t="shared" si="116"/>
        <v>15.112</v>
      </c>
      <c r="M6" s="25">
        <f t="shared" si="117"/>
        <v>12.034444728032147</v>
      </c>
      <c r="N6" s="25">
        <f t="shared" si="0"/>
        <v>42.491285888075588</v>
      </c>
      <c r="O6" s="25">
        <f t="shared" si="1"/>
        <v>14.087714918596875</v>
      </c>
      <c r="P6" s="25">
        <f t="shared" si="2"/>
        <v>2.4525171720634233</v>
      </c>
      <c r="Q6" s="25">
        <f t="shared" si="3"/>
        <v>0.45628226456993926</v>
      </c>
      <c r="R6" s="25">
        <f t="shared" si="4"/>
        <v>2.8517641535621203E-2</v>
      </c>
      <c r="S6" s="25">
        <f t="shared" si="5"/>
        <v>0</v>
      </c>
      <c r="T6" s="25">
        <f t="shared" si="6"/>
        <v>0</v>
      </c>
      <c r="U6" s="25">
        <f t="shared" si="7"/>
        <v>0</v>
      </c>
      <c r="V6">
        <f t="shared" si="8"/>
        <v>71.550762612873584</v>
      </c>
      <c r="W6">
        <f t="shared" si="118"/>
        <v>29.701866524583014</v>
      </c>
      <c r="X6">
        <f t="shared" si="9"/>
        <v>104.87151924556562</v>
      </c>
      <c r="Y6">
        <f t="shared" si="10"/>
        <v>34.769483561952626</v>
      </c>
      <c r="Z6">
        <f t="shared" si="11"/>
        <v>6.0529870168581503</v>
      </c>
      <c r="AA6">
        <f t="shared" si="12"/>
        <v>1.1261371194154697</v>
      </c>
      <c r="AB6">
        <f t="shared" si="13"/>
        <v>7.0383569963466855E-2</v>
      </c>
      <c r="AC6">
        <f t="shared" si="14"/>
        <v>0</v>
      </c>
      <c r="AD6">
        <f t="shared" si="15"/>
        <v>0</v>
      </c>
      <c r="AE6">
        <f t="shared" si="16"/>
        <v>0</v>
      </c>
      <c r="AF6">
        <f t="shared" si="17"/>
        <v>176.59237703833833</v>
      </c>
      <c r="AG6" s="2">
        <v>5.7799999999999997E-2</v>
      </c>
      <c r="AH6" s="2">
        <v>8.3099999999999993E-2</v>
      </c>
      <c r="AI6" s="2">
        <v>0.1077</v>
      </c>
      <c r="AJ6" s="2">
        <v>0.1249</v>
      </c>
      <c r="AK6" s="2">
        <v>0.15140000000000001</v>
      </c>
      <c r="AL6" s="2">
        <v>0.13100000000000001</v>
      </c>
      <c r="AM6" s="2">
        <v>0.18240000000000001</v>
      </c>
      <c r="AN6" s="2">
        <v>0.193</v>
      </c>
      <c r="AO6" s="2">
        <v>0.14879999999999999</v>
      </c>
      <c r="AP6">
        <f t="shared" si="119"/>
        <v>8.5575607811877244E-2</v>
      </c>
      <c r="AQ6" s="2">
        <v>422</v>
      </c>
      <c r="AR6" s="2">
        <v>1490</v>
      </c>
      <c r="AS6" s="2">
        <v>494</v>
      </c>
      <c r="AT6" s="2">
        <v>86</v>
      </c>
      <c r="AU6" s="2">
        <v>16</v>
      </c>
      <c r="AV6" s="2">
        <v>1</v>
      </c>
      <c r="AW6" s="2">
        <v>0</v>
      </c>
      <c r="AX6" s="2">
        <v>0</v>
      </c>
      <c r="AY6" s="2">
        <v>0</v>
      </c>
      <c r="AZ6">
        <f t="shared" si="83"/>
        <v>2509</v>
      </c>
      <c r="BA6">
        <f t="shared" si="18"/>
        <v>1955</v>
      </c>
      <c r="BB6">
        <f t="shared" si="122"/>
        <v>2.0050163876196843</v>
      </c>
      <c r="BC6">
        <f t="shared" si="123"/>
        <v>1.1580964723089433</v>
      </c>
      <c r="BD6">
        <f t="shared" si="84"/>
        <v>10.512897043080949</v>
      </c>
      <c r="BE6">
        <f t="shared" si="19"/>
        <v>37.118996668698138</v>
      </c>
      <c r="BF6">
        <f t="shared" si="20"/>
        <v>12.306566680763007</v>
      </c>
      <c r="BG6">
        <f t="shared" si="21"/>
        <v>2.1424387338980133</v>
      </c>
      <c r="BH6">
        <f t="shared" si="22"/>
        <v>0.39859325281823504</v>
      </c>
      <c r="BI6">
        <f t="shared" si="23"/>
        <v>2.491207830113969E-2</v>
      </c>
      <c r="BJ6">
        <f t="shared" si="24"/>
        <v>0</v>
      </c>
      <c r="BK6">
        <f t="shared" si="25"/>
        <v>0</v>
      </c>
      <c r="BL6">
        <f t="shared" si="26"/>
        <v>0</v>
      </c>
      <c r="BM6" s="23">
        <f t="shared" si="85"/>
        <v>385.01326069216952</v>
      </c>
      <c r="BN6" s="23">
        <f t="shared" si="27"/>
        <v>212.15449078913429</v>
      </c>
      <c r="BO6" s="23">
        <f t="shared" si="28"/>
        <v>131.00986704095283</v>
      </c>
      <c r="BP6" s="23">
        <f t="shared" si="29"/>
        <v>53.221325661254113</v>
      </c>
      <c r="BQ6" s="23">
        <f t="shared" si="30"/>
        <v>15.32085108676509</v>
      </c>
      <c r="BR6" s="23">
        <f t="shared" si="31"/>
        <v>0.26529574644381276</v>
      </c>
      <c r="BS6" s="23">
        <f t="shared" si="32"/>
        <v>0.26197016898715753</v>
      </c>
      <c r="BT6" s="23">
        <f t="shared" si="33"/>
        <v>4.2044577042037466E-4</v>
      </c>
      <c r="BU6" s="23">
        <f t="shared" si="34"/>
        <v>1E-4</v>
      </c>
      <c r="BV6">
        <f t="shared" si="86"/>
        <v>26.361135971771517</v>
      </c>
      <c r="BW6">
        <v>0.93598796316220867</v>
      </c>
      <c r="BX6" s="2">
        <v>15.112</v>
      </c>
      <c r="BZ6" t="s">
        <v>77</v>
      </c>
      <c r="CA6">
        <v>0.28849999999999998</v>
      </c>
      <c r="CJ6">
        <v>1955</v>
      </c>
      <c r="CK6">
        <f t="shared" si="88"/>
        <v>597</v>
      </c>
      <c r="CL6">
        <f t="shared" si="89"/>
        <v>200.07983015017345</v>
      </c>
      <c r="CM6" s="9">
        <f t="shared" si="120"/>
        <v>0.82747068676716917</v>
      </c>
      <c r="CN6" s="9">
        <f t="shared" si="90"/>
        <v>0.1440536013400335</v>
      </c>
      <c r="CO6" s="9">
        <f t="shared" si="36"/>
        <v>2.6800670016750419E-2</v>
      </c>
      <c r="CP6" s="9">
        <f t="shared" si="37"/>
        <v>1.6750418760469012E-3</v>
      </c>
      <c r="CQ6" s="27">
        <f t="shared" si="38"/>
        <v>0</v>
      </c>
      <c r="CR6" s="27">
        <f t="shared" si="39"/>
        <v>0</v>
      </c>
      <c r="CS6" s="27">
        <f t="shared" si="40"/>
        <v>0</v>
      </c>
      <c r="CT6" s="29">
        <f t="shared" si="91"/>
        <v>0.65478797609244799</v>
      </c>
      <c r="CU6" s="9">
        <f t="shared" si="41"/>
        <v>0.26600045402531536</v>
      </c>
      <c r="CV6" s="9">
        <f t="shared" si="42"/>
        <v>7.657369098757108E-2</v>
      </c>
      <c r="CW6" s="9">
        <f t="shared" si="43"/>
        <v>1.3259494784891128E-3</v>
      </c>
      <c r="CX6" s="9">
        <f t="shared" si="44"/>
        <v>1.3093282255914112E-3</v>
      </c>
      <c r="CY6" s="9">
        <f t="shared" si="45"/>
        <v>2.1013900806733077E-6</v>
      </c>
      <c r="CZ6" s="9">
        <f t="shared" si="46"/>
        <v>4.9980050425344347E-7</v>
      </c>
      <c r="DA6">
        <f t="shared" si="121"/>
        <v>-0.62111050835665993</v>
      </c>
      <c r="DB6">
        <f t="shared" si="47"/>
        <v>-0.61802152327313176</v>
      </c>
      <c r="DC6">
        <f t="shared" si="48"/>
        <v>100</v>
      </c>
      <c r="DD6">
        <f t="shared" si="92"/>
        <v>23.298680906719323</v>
      </c>
      <c r="DE6">
        <f t="shared" si="93"/>
        <v>86.115233743807792</v>
      </c>
      <c r="DF6">
        <f t="shared" si="49"/>
        <v>88.385145527117231</v>
      </c>
      <c r="DG6">
        <f t="shared" si="50"/>
        <v>48.626369755292679</v>
      </c>
      <c r="DH6">
        <f t="shared" si="51"/>
        <v>14.465975569376916</v>
      </c>
      <c r="DI6">
        <f t="shared" si="52"/>
        <v>0.21186602660705187</v>
      </c>
      <c r="DJ6">
        <f t="shared" si="53"/>
        <v>0.26197016898715753</v>
      </c>
      <c r="DK6">
        <f t="shared" si="54"/>
        <v>4.2044577042037466E-4</v>
      </c>
      <c r="DL6">
        <f t="shared" si="55"/>
        <v>1E-4</v>
      </c>
      <c r="DM6">
        <f t="shared" si="56"/>
        <v>1955</v>
      </c>
      <c r="DN6" s="9">
        <f t="shared" si="94"/>
        <v>3.2134667669664989E-2</v>
      </c>
      <c r="DO6" s="9">
        <f t="shared" si="57"/>
        <v>0.24275811087115129</v>
      </c>
      <c r="DP6" s="9">
        <f t="shared" si="58"/>
        <v>0.11868006092374454</v>
      </c>
      <c r="DQ6" s="9">
        <f t="shared" si="59"/>
        <v>4.8014303356910842E-2</v>
      </c>
      <c r="DR6" s="9">
        <f t="shared" si="60"/>
        <v>3.0577293975710317E-2</v>
      </c>
      <c r="DS6" s="9">
        <f t="shared" si="61"/>
        <v>0.11863385626803626</v>
      </c>
      <c r="DT6" s="9" t="str">
        <f t="shared" si="62"/>
        <v/>
      </c>
      <c r="DU6" s="9" t="str">
        <f t="shared" si="63"/>
        <v/>
      </c>
      <c r="DV6" s="9" t="str">
        <f t="shared" si="64"/>
        <v/>
      </c>
      <c r="DW6">
        <f t="shared" si="95"/>
        <v>9.1924185564137215E-2</v>
      </c>
      <c r="DX6">
        <f t="shared" si="96"/>
        <v>1955</v>
      </c>
      <c r="DY6" s="9">
        <f t="shared" si="97"/>
        <v>0.34957794265410197</v>
      </c>
      <c r="DZ6" s="9">
        <f t="shared" si="98"/>
        <v>2.6408513644298153</v>
      </c>
      <c r="EA6" s="9">
        <f t="shared" si="99"/>
        <v>1.2910645897530335</v>
      </c>
      <c r="EB6" s="9">
        <f t="shared" si="100"/>
        <v>0.52232503407289232</v>
      </c>
      <c r="EC6" s="9">
        <f t="shared" si="101"/>
        <v>0.33263600637914786</v>
      </c>
      <c r="ED6" s="9">
        <f t="shared" si="102"/>
        <v>1.2905619510249913</v>
      </c>
      <c r="EE6" s="9" t="str">
        <f t="shared" si="103"/>
        <v/>
      </c>
      <c r="EF6" s="9" t="str">
        <f t="shared" si="104"/>
        <v/>
      </c>
      <c r="EG6" s="9" t="str">
        <f t="shared" si="105"/>
        <v/>
      </c>
      <c r="EI6">
        <f t="shared" si="106"/>
        <v>597</v>
      </c>
      <c r="EJ6" s="8">
        <f t="shared" si="107"/>
        <v>2574.0729204735676</v>
      </c>
      <c r="EK6" s="8">
        <f t="shared" si="66"/>
        <v>300.2209486470141</v>
      </c>
      <c r="EL6" s="8">
        <f t="shared" si="67"/>
        <v>30.671860106080675</v>
      </c>
      <c r="EM6" s="8">
        <f t="shared" si="68"/>
        <v>0</v>
      </c>
      <c r="EN6" s="8">
        <f t="shared" si="69"/>
        <v>0</v>
      </c>
      <c r="EO6" s="8">
        <f t="shared" si="70"/>
        <v>0</v>
      </c>
      <c r="EP6" s="8">
        <f t="shared" si="71"/>
        <v>0</v>
      </c>
      <c r="EQ6">
        <f t="shared" si="108"/>
        <v>2904.9657292266625</v>
      </c>
      <c r="ES6" s="8">
        <f t="shared" si="109"/>
        <v>2643.4191964357979</v>
      </c>
      <c r="ET6" s="8">
        <f t="shared" si="72"/>
        <v>320.51557102822545</v>
      </c>
      <c r="EU6" s="8">
        <f t="shared" si="73"/>
        <v>33.517974808177975</v>
      </c>
      <c r="EV6" s="8">
        <f t="shared" si="74"/>
        <v>-3.360335190724892</v>
      </c>
      <c r="EW6" s="8">
        <f t="shared" si="75"/>
        <v>0</v>
      </c>
      <c r="EX6" s="8">
        <f t="shared" si="76"/>
        <v>0</v>
      </c>
      <c r="EY6" s="8">
        <f t="shared" si="77"/>
        <v>0</v>
      </c>
      <c r="EZ6">
        <f t="shared" si="110"/>
        <v>2994.0924070814763</v>
      </c>
      <c r="FB6">
        <f t="shared" si="111"/>
        <v>3223.0895533720941</v>
      </c>
      <c r="FC6">
        <f t="shared" si="112"/>
        <v>58.612330593224065</v>
      </c>
      <c r="FD6">
        <f t="shared" si="113"/>
        <v>3384.6321687432155</v>
      </c>
      <c r="FE6">
        <f t="shared" si="114"/>
        <v>-13.803606923083407</v>
      </c>
      <c r="FG6">
        <f t="shared" si="115"/>
        <v>26.045248927576601</v>
      </c>
      <c r="FJ6">
        <v>15.121193783526191</v>
      </c>
    </row>
    <row r="7" spans="1:166" x14ac:dyDescent="0.3">
      <c r="D7">
        <v>1956</v>
      </c>
      <c r="E7">
        <f t="shared" si="78"/>
        <v>49.629852402375064</v>
      </c>
      <c r="F7">
        <f t="shared" si="79"/>
        <v>0.10997966126349193</v>
      </c>
      <c r="G7">
        <f t="shared" si="80"/>
        <v>0.38710081891871911</v>
      </c>
      <c r="H7">
        <f t="shared" si="81"/>
        <v>0.38612497459406964</v>
      </c>
      <c r="I7" s="2">
        <v>5.3488524023750621</v>
      </c>
      <c r="J7">
        <f t="shared" si="82"/>
        <v>5.3488524023750621</v>
      </c>
      <c r="K7" s="2">
        <v>17.097999999999999</v>
      </c>
      <c r="L7">
        <f t="shared" si="116"/>
        <v>27.183</v>
      </c>
      <c r="M7" s="25">
        <f t="shared" si="117"/>
        <v>23.870454887029098</v>
      </c>
      <c r="N7" s="25">
        <f t="shared" si="0"/>
        <v>124.12636541255129</v>
      </c>
      <c r="O7" s="25">
        <f t="shared" si="1"/>
        <v>30.844779097500204</v>
      </c>
      <c r="P7" s="25">
        <f t="shared" si="2"/>
        <v>11.706901353290792</v>
      </c>
      <c r="Q7" s="25">
        <f t="shared" si="3"/>
        <v>2.1587193984791533</v>
      </c>
      <c r="R7" s="25">
        <f t="shared" si="4"/>
        <v>0.29059684210296294</v>
      </c>
      <c r="S7" s="25">
        <f t="shared" si="5"/>
        <v>8.3027669172275123E-2</v>
      </c>
      <c r="T7" s="25">
        <f t="shared" si="6"/>
        <v>8.3027669172275123E-2</v>
      </c>
      <c r="U7" s="25">
        <f t="shared" si="7"/>
        <v>0</v>
      </c>
      <c r="V7">
        <f t="shared" si="8"/>
        <v>193.16387232929807</v>
      </c>
      <c r="W7">
        <f t="shared" si="118"/>
        <v>37.9500862787526</v>
      </c>
      <c r="X7">
        <f t="shared" si="9"/>
        <v>197.34044864951352</v>
      </c>
      <c r="Y7">
        <f t="shared" si="10"/>
        <v>49.038111487153358</v>
      </c>
      <c r="Z7">
        <f t="shared" si="11"/>
        <v>18.612042314101277</v>
      </c>
      <c r="AA7">
        <f t="shared" si="12"/>
        <v>3.4320078026002352</v>
      </c>
      <c r="AB7">
        <f t="shared" si="13"/>
        <v>0.46200105035003169</v>
      </c>
      <c r="AC7">
        <f t="shared" si="14"/>
        <v>0.13200030010000904</v>
      </c>
      <c r="AD7">
        <f t="shared" si="15"/>
        <v>0.13200030010000904</v>
      </c>
      <c r="AE7">
        <f t="shared" si="16"/>
        <v>0</v>
      </c>
      <c r="AF7">
        <f t="shared" si="17"/>
        <v>307.09869818267106</v>
      </c>
      <c r="AG7" s="2">
        <v>5.7700000000000001E-2</v>
      </c>
      <c r="AH7" s="2">
        <v>8.5999999999999993E-2</v>
      </c>
      <c r="AI7" s="2">
        <v>0.10639999999999999</v>
      </c>
      <c r="AJ7" s="2">
        <v>0.1192</v>
      </c>
      <c r="AK7" s="2">
        <v>0.1389</v>
      </c>
      <c r="AL7" s="2">
        <v>0.14399999999999999</v>
      </c>
      <c r="AM7" s="2">
        <v>0.18240000000000001</v>
      </c>
      <c r="AN7" s="2">
        <v>0.14000000000000001</v>
      </c>
      <c r="AO7" s="2">
        <v>0.14879999999999999</v>
      </c>
      <c r="AP7">
        <f t="shared" si="119"/>
        <v>8.8515516870836017E-2</v>
      </c>
      <c r="AQ7" s="2">
        <v>575</v>
      </c>
      <c r="AR7" s="2">
        <v>2990</v>
      </c>
      <c r="AS7" s="2">
        <v>743</v>
      </c>
      <c r="AT7" s="2">
        <v>282</v>
      </c>
      <c r="AU7" s="2">
        <v>52</v>
      </c>
      <c r="AV7" s="2">
        <v>7</v>
      </c>
      <c r="AW7" s="2">
        <v>2</v>
      </c>
      <c r="AX7" s="2">
        <v>2</v>
      </c>
      <c r="AY7" s="2">
        <v>0</v>
      </c>
      <c r="AZ7">
        <f t="shared" si="83"/>
        <v>4653</v>
      </c>
      <c r="BA7">
        <f t="shared" si="18"/>
        <v>1956</v>
      </c>
      <c r="BB7">
        <f t="shared" si="122"/>
        <v>0.12471162234152852</v>
      </c>
      <c r="BC7">
        <f t="shared" si="123"/>
        <v>1.8085678967738161</v>
      </c>
      <c r="BD7">
        <f t="shared" si="84"/>
        <v>7.4675131575781455</v>
      </c>
      <c r="BE7">
        <f t="shared" si="19"/>
        <v>38.831068419406364</v>
      </c>
      <c r="BF7">
        <f t="shared" si="20"/>
        <v>9.6493256975314132</v>
      </c>
      <c r="BG7">
        <f t="shared" si="21"/>
        <v>3.6623281920644128</v>
      </c>
      <c r="BH7">
        <f t="shared" si="22"/>
        <v>0.67532292903315416</v>
      </c>
      <c r="BI7">
        <f t="shared" si="23"/>
        <v>9.0908855831386123E-2</v>
      </c>
      <c r="BJ7">
        <f t="shared" si="24"/>
        <v>2.5973958808967464E-2</v>
      </c>
      <c r="BK7">
        <f t="shared" si="25"/>
        <v>2.5973958808967464E-2</v>
      </c>
      <c r="BL7">
        <f t="shared" si="26"/>
        <v>0</v>
      </c>
      <c r="BM7" s="23">
        <f t="shared" si="85"/>
        <v>398.46654357724964</v>
      </c>
      <c r="BN7" s="23">
        <f t="shared" si="27"/>
        <v>275.25737367436989</v>
      </c>
      <c r="BO7" s="23">
        <f t="shared" si="28"/>
        <v>100.65429958789299</v>
      </c>
      <c r="BP7" s="23">
        <f t="shared" si="29"/>
        <v>79.445239427097107</v>
      </c>
      <c r="BQ7" s="23">
        <f t="shared" si="30"/>
        <v>33.6798192984567</v>
      </c>
      <c r="BR7" s="23">
        <f t="shared" si="31"/>
        <v>8.8614019615051074</v>
      </c>
      <c r="BS7" s="23">
        <f t="shared" si="32"/>
        <v>0.11011192524633205</v>
      </c>
      <c r="BT7" s="23">
        <f t="shared" si="33"/>
        <v>0.1094158520795994</v>
      </c>
      <c r="BU7" s="23">
        <f t="shared" si="34"/>
        <v>1E-4</v>
      </c>
      <c r="BV7">
        <f t="shared" si="86"/>
        <v>26.188071009146938</v>
      </c>
      <c r="BW7">
        <v>0.92022935250639104</v>
      </c>
      <c r="BX7" s="2">
        <v>27.183</v>
      </c>
      <c r="CJ7">
        <v>1956</v>
      </c>
      <c r="CK7">
        <f t="shared" si="88"/>
        <v>1088</v>
      </c>
      <c r="CL7">
        <f t="shared" si="89"/>
        <v>222.86038805227784</v>
      </c>
      <c r="CM7" s="9">
        <f t="shared" si="120"/>
        <v>0.68290441176470584</v>
      </c>
      <c r="CN7" s="9">
        <f t="shared" si="90"/>
        <v>0.25919117647058826</v>
      </c>
      <c r="CO7" s="9">
        <f t="shared" si="36"/>
        <v>4.779411764705882E-2</v>
      </c>
      <c r="CP7" s="9">
        <f t="shared" si="37"/>
        <v>6.4338235294117644E-3</v>
      </c>
      <c r="CQ7" s="27">
        <f t="shared" si="38"/>
        <v>1.838235294117647E-3</v>
      </c>
      <c r="CR7" s="27">
        <f t="shared" si="39"/>
        <v>1.838235294117647E-3</v>
      </c>
      <c r="CS7" s="27">
        <f t="shared" si="40"/>
        <v>0</v>
      </c>
      <c r="CT7" s="29">
        <f t="shared" si="91"/>
        <v>0.45164733162127424</v>
      </c>
      <c r="CU7" s="9">
        <f t="shared" si="41"/>
        <v>0.35647985773255098</v>
      </c>
      <c r="CV7" s="9">
        <f t="shared" si="42"/>
        <v>0.15112519363717611</v>
      </c>
      <c r="CW7" s="9">
        <f t="shared" si="43"/>
        <v>3.9762122102320087E-2</v>
      </c>
      <c r="CX7" s="9">
        <f t="shared" si="44"/>
        <v>4.940847775087889E-4</v>
      </c>
      <c r="CY7" s="9">
        <f t="shared" si="45"/>
        <v>4.9096141775510594E-4</v>
      </c>
      <c r="CZ7" s="9">
        <f t="shared" si="46"/>
        <v>4.4871141468416693E-7</v>
      </c>
      <c r="DA7">
        <f t="shared" si="121"/>
        <v>-0.94921071913707589</v>
      </c>
      <c r="DB7">
        <f t="shared" si="47"/>
        <v>-0.94243339434145623</v>
      </c>
      <c r="DC7">
        <f t="shared" si="48"/>
        <v>100</v>
      </c>
      <c r="DD7">
        <f t="shared" si="92"/>
        <v>23.598388390651369</v>
      </c>
      <c r="DE7">
        <f t="shared" si="93"/>
        <v>72.962339870719305</v>
      </c>
      <c r="DF7">
        <f t="shared" si="49"/>
        <v>50.82672480646216</v>
      </c>
      <c r="DG7">
        <f t="shared" si="50"/>
        <v>64.076009881741911</v>
      </c>
      <c r="DH7">
        <f t="shared" si="51"/>
        <v>30.845776970944389</v>
      </c>
      <c r="DI7">
        <f t="shared" si="52"/>
        <v>8.4798962635707582</v>
      </c>
      <c r="DJ7">
        <f t="shared" si="53"/>
        <v>1.1102972650894605E-3</v>
      </c>
      <c r="DK7">
        <f t="shared" si="54"/>
        <v>4.1422409835681351E-4</v>
      </c>
      <c r="DL7">
        <f t="shared" si="55"/>
        <v>1E-4</v>
      </c>
      <c r="DM7">
        <f t="shared" si="56"/>
        <v>1956</v>
      </c>
      <c r="DN7" s="9">
        <f t="shared" si="94"/>
        <v>6.1049908132529619E-2</v>
      </c>
      <c r="DO7" s="9">
        <f t="shared" si="57"/>
        <v>0.52501080740018624</v>
      </c>
      <c r="DP7" s="9">
        <f t="shared" si="58"/>
        <v>0.33893509089580653</v>
      </c>
      <c r="DQ7" s="9">
        <f t="shared" si="59"/>
        <v>0.15447943556804083</v>
      </c>
      <c r="DR7" s="9">
        <f t="shared" si="60"/>
        <v>6.5406827430915207E-2</v>
      </c>
      <c r="DS7" s="9">
        <f t="shared" si="61"/>
        <v>3.3133466796179671E-2</v>
      </c>
      <c r="DT7" s="9">
        <f t="shared" si="62"/>
        <v>0.98680384953306421</v>
      </c>
      <c r="DU7" s="9">
        <f t="shared" si="63"/>
        <v>0.99503577780751762</v>
      </c>
      <c r="DV7" s="9" t="str">
        <f t="shared" si="64"/>
        <v/>
      </c>
      <c r="DW7">
        <f t="shared" si="95"/>
        <v>0.21638926867475003</v>
      </c>
      <c r="DX7">
        <f t="shared" si="96"/>
        <v>1956</v>
      </c>
      <c r="DY7" s="9">
        <f t="shared" si="97"/>
        <v>0.28213001738220389</v>
      </c>
      <c r="DZ7" s="9">
        <f t="shared" si="98"/>
        <v>2.4262331058076567</v>
      </c>
      <c r="EA7" s="9">
        <f t="shared" si="99"/>
        <v>1.5663211626508726</v>
      </c>
      <c r="EB7" s="9">
        <f t="shared" si="100"/>
        <v>0.71389601025102356</v>
      </c>
      <c r="EC7" s="9">
        <f t="shared" si="101"/>
        <v>0.3022646540260126</v>
      </c>
      <c r="ED7" s="9">
        <f t="shared" si="102"/>
        <v>0.15311973185685959</v>
      </c>
      <c r="EE7" s="9">
        <f t="shared" si="103"/>
        <v>4.5603178733244274</v>
      </c>
      <c r="EF7" s="9">
        <f t="shared" si="104"/>
        <v>4.5983600938322597</v>
      </c>
      <c r="EG7" s="9" t="str">
        <f t="shared" si="105"/>
        <v/>
      </c>
      <c r="EI7">
        <f t="shared" si="106"/>
        <v>1088</v>
      </c>
      <c r="EJ7" s="8">
        <f t="shared" si="107"/>
        <v>4172.97155993877</v>
      </c>
      <c r="EK7" s="8">
        <f t="shared" si="66"/>
        <v>1312.7579815813722</v>
      </c>
      <c r="EL7" s="8">
        <f t="shared" si="67"/>
        <v>156.3608363030788</v>
      </c>
      <c r="EM7" s="8">
        <f t="shared" si="68"/>
        <v>8.5251613610654129</v>
      </c>
      <c r="EN7" s="8">
        <f t="shared" si="69"/>
        <v>0.6931471805599454</v>
      </c>
      <c r="EO7" s="8">
        <f t="shared" si="70"/>
        <v>0.6931471805599454</v>
      </c>
      <c r="EP7" s="8">
        <f t="shared" si="71"/>
        <v>0</v>
      </c>
      <c r="EQ7">
        <f t="shared" si="108"/>
        <v>5652.001833545407</v>
      </c>
      <c r="ES7" s="8">
        <f t="shared" si="109"/>
        <v>4265.1310555178661</v>
      </c>
      <c r="ET7" s="8">
        <f t="shared" si="72"/>
        <v>1372.8681514027803</v>
      </c>
      <c r="EU7" s="8">
        <f t="shared" si="73"/>
        <v>174.34082968754637</v>
      </c>
      <c r="EV7" s="8">
        <f t="shared" si="74"/>
        <v>10.425992116765094</v>
      </c>
      <c r="EW7" s="8">
        <f t="shared" si="75"/>
        <v>-3.7240260003194647</v>
      </c>
      <c r="EX7" s="8">
        <f t="shared" si="76"/>
        <v>-3.730513212548547</v>
      </c>
      <c r="EY7" s="8">
        <f t="shared" si="77"/>
        <v>0</v>
      </c>
      <c r="EZ7">
        <f t="shared" si="110"/>
        <v>5815.3114895120907</v>
      </c>
      <c r="FB7">
        <f t="shared" si="111"/>
        <v>6523.8159763685335</v>
      </c>
      <c r="FC7">
        <f t="shared" si="112"/>
        <v>135.74461871704887</v>
      </c>
      <c r="FD7">
        <f t="shared" si="113"/>
        <v>6851.5370791443011</v>
      </c>
      <c r="FE7">
        <f t="shared" si="114"/>
        <v>-28.666828092034848</v>
      </c>
      <c r="FG7">
        <f t="shared" si="115"/>
        <v>46.678163732006318</v>
      </c>
      <c r="FJ7">
        <v>18.279858634291852</v>
      </c>
    </row>
    <row r="8" spans="1:166" x14ac:dyDescent="0.3">
      <c r="A8" s="11"/>
      <c r="B8" s="12"/>
      <c r="D8">
        <v>1957</v>
      </c>
      <c r="E8">
        <f t="shared" si="78"/>
        <v>50.81936031667491</v>
      </c>
      <c r="F8">
        <f t="shared" si="79"/>
        <v>9.5546739866157082E-2</v>
      </c>
      <c r="G8">
        <f t="shared" si="80"/>
        <v>0.38142532023655029</v>
      </c>
      <c r="H8">
        <f t="shared" si="81"/>
        <v>5.5900355262594702E-2</v>
      </c>
      <c r="I8" s="2">
        <v>4.0933603166749135</v>
      </c>
      <c r="J8">
        <f t="shared" si="82"/>
        <v>4.0933603166749135</v>
      </c>
      <c r="K8" s="2">
        <v>2.6120000000000001</v>
      </c>
      <c r="L8">
        <f t="shared" si="116"/>
        <v>44.113999999999997</v>
      </c>
      <c r="M8" s="25">
        <f t="shared" si="117"/>
        <v>0.79279894526174011</v>
      </c>
      <c r="N8" s="25">
        <f t="shared" si="0"/>
        <v>20.959622115357252</v>
      </c>
      <c r="O8" s="25">
        <f t="shared" si="1"/>
        <v>7.2342903755133774</v>
      </c>
      <c r="P8" s="25">
        <f t="shared" si="2"/>
        <v>9.9099868157717513E-2</v>
      </c>
      <c r="Q8" s="25">
        <f t="shared" si="3"/>
        <v>4.9549934078858757E-2</v>
      </c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>
        <f t="shared" si="8"/>
        <v>29.135361238368947</v>
      </c>
      <c r="W8">
        <f t="shared" si="118"/>
        <v>13.389560747043031</v>
      </c>
      <c r="X8">
        <f t="shared" si="9"/>
        <v>353.98651224995012</v>
      </c>
      <c r="Y8">
        <f t="shared" si="10"/>
        <v>122.17974181676766</v>
      </c>
      <c r="Z8">
        <f t="shared" si="11"/>
        <v>1.6736950933803789</v>
      </c>
      <c r="AA8">
        <f t="shared" si="12"/>
        <v>0.83684754669018946</v>
      </c>
      <c r="AB8">
        <f t="shared" si="13"/>
        <v>0</v>
      </c>
      <c r="AC8">
        <f t="shared" si="14"/>
        <v>0</v>
      </c>
      <c r="AD8">
        <f t="shared" si="15"/>
        <v>0</v>
      </c>
      <c r="AE8">
        <f t="shared" si="16"/>
        <v>0</v>
      </c>
      <c r="AF8">
        <f t="shared" si="17"/>
        <v>492.06635745383142</v>
      </c>
      <c r="AG8" s="2">
        <v>5.3199999999999997E-2</v>
      </c>
      <c r="AH8" s="2">
        <v>8.48E-2</v>
      </c>
      <c r="AI8" s="2">
        <v>0.10680000000000001</v>
      </c>
      <c r="AJ8" s="2">
        <v>0.12590000000000001</v>
      </c>
      <c r="AK8" s="2">
        <v>0.14829999999999999</v>
      </c>
      <c r="AL8" s="2">
        <v>0.1512</v>
      </c>
      <c r="AM8" s="2">
        <v>0.1779</v>
      </c>
      <c r="AN8" s="2">
        <v>0.18179999999999999</v>
      </c>
      <c r="AO8" s="2">
        <v>0.14879999999999999</v>
      </c>
      <c r="AP8">
        <f t="shared" si="119"/>
        <v>8.9650510204081643E-2</v>
      </c>
      <c r="AQ8" s="2">
        <v>16</v>
      </c>
      <c r="AR8" s="2">
        <v>423</v>
      </c>
      <c r="AS8" s="2">
        <v>146</v>
      </c>
      <c r="AT8" s="2">
        <v>2</v>
      </c>
      <c r="AU8" s="2">
        <v>1</v>
      </c>
      <c r="AV8" s="2">
        <v>0</v>
      </c>
      <c r="AW8" s="2">
        <v>0</v>
      </c>
      <c r="AX8" s="2">
        <v>0</v>
      </c>
      <c r="AY8" s="2">
        <v>0</v>
      </c>
      <c r="AZ8">
        <f t="shared" si="83"/>
        <v>588</v>
      </c>
      <c r="BA8">
        <f t="shared" si="18"/>
        <v>1957</v>
      </c>
      <c r="BB8">
        <f t="shared" si="122"/>
        <v>3.295975680360236</v>
      </c>
      <c r="BC8">
        <f t="shared" si="123"/>
        <v>1.6394710167192101</v>
      </c>
      <c r="BD8">
        <f t="shared" si="84"/>
        <v>1.2424240971041858</v>
      </c>
      <c r="BE8">
        <f t="shared" si="19"/>
        <v>32.846587067191912</v>
      </c>
      <c r="BF8">
        <f t="shared" si="20"/>
        <v>11.337119886075696</v>
      </c>
      <c r="BG8">
        <f t="shared" si="21"/>
        <v>0.15530301213802322</v>
      </c>
      <c r="BH8">
        <f t="shared" si="22"/>
        <v>7.7651506069011611E-2</v>
      </c>
      <c r="BI8">
        <f t="shared" si="23"/>
        <v>0</v>
      </c>
      <c r="BJ8">
        <f t="shared" si="24"/>
        <v>0</v>
      </c>
      <c r="BK8">
        <f t="shared" si="25"/>
        <v>0</v>
      </c>
      <c r="BL8">
        <f t="shared" si="26"/>
        <v>0</v>
      </c>
      <c r="BM8" s="23">
        <f t="shared" si="85"/>
        <v>466.94971158523452</v>
      </c>
      <c r="BN8" s="23">
        <f t="shared" si="27"/>
        <v>280.09308698905647</v>
      </c>
      <c r="BO8" s="23">
        <f t="shared" si="28"/>
        <v>85.676843138366664</v>
      </c>
      <c r="BP8" s="23">
        <f t="shared" si="29"/>
        <v>45.897901653200933</v>
      </c>
      <c r="BQ8" s="23">
        <f t="shared" si="30"/>
        <v>44.655915353950917</v>
      </c>
      <c r="BR8" s="23">
        <f t="shared" si="31"/>
        <v>19.051777591656588</v>
      </c>
      <c r="BS8" s="23">
        <f t="shared" si="32"/>
        <v>4.4580545224862336</v>
      </c>
      <c r="BT8" s="23">
        <f t="shared" si="33"/>
        <v>4.2837534330529949E-4</v>
      </c>
      <c r="BU8" s="23">
        <f t="shared" si="34"/>
        <v>1E-4</v>
      </c>
      <c r="BV8">
        <f t="shared" si="86"/>
        <v>36.13608380176322</v>
      </c>
      <c r="BW8">
        <v>0.95563473596622306</v>
      </c>
      <c r="BX8" s="2">
        <v>44.113999999999997</v>
      </c>
      <c r="CJ8">
        <v>1957</v>
      </c>
      <c r="CK8">
        <f t="shared" si="88"/>
        <v>149</v>
      </c>
      <c r="CL8">
        <f t="shared" si="89"/>
        <v>199.74102063500465</v>
      </c>
      <c r="CM8" s="9">
        <f t="shared" si="120"/>
        <v>0.97986577181208057</v>
      </c>
      <c r="CN8" s="9">
        <f t="shared" si="90"/>
        <v>1.3422818791946308E-2</v>
      </c>
      <c r="CO8" s="9">
        <f t="shared" si="36"/>
        <v>6.7114093959731542E-3</v>
      </c>
      <c r="CP8" s="9">
        <f t="shared" si="37"/>
        <v>0</v>
      </c>
      <c r="CQ8" s="27">
        <f t="shared" si="38"/>
        <v>0</v>
      </c>
      <c r="CR8" s="27">
        <f t="shared" si="39"/>
        <v>0</v>
      </c>
      <c r="CS8" s="27">
        <f t="shared" si="40"/>
        <v>0</v>
      </c>
      <c r="CT8" s="29">
        <f t="shared" si="91"/>
        <v>0.42893964828049841</v>
      </c>
      <c r="CU8" s="9">
        <f t="shared" si="41"/>
        <v>0.22978705879886407</v>
      </c>
      <c r="CV8" s="9">
        <f t="shared" si="42"/>
        <v>0.22356907565598452</v>
      </c>
      <c r="CW8" s="9">
        <f t="shared" si="43"/>
        <v>9.5382398323030096E-2</v>
      </c>
      <c r="CX8" s="9">
        <f t="shared" si="44"/>
        <v>2.2319173639513079E-2</v>
      </c>
      <c r="CY8" s="9">
        <f t="shared" si="45"/>
        <v>2.1446538219512164E-6</v>
      </c>
      <c r="CZ8" s="9">
        <f t="shared" si="46"/>
        <v>5.0064828787840382E-7</v>
      </c>
      <c r="DA8">
        <f t="shared" si="121"/>
        <v>-0.85918783256356734</v>
      </c>
      <c r="DB8">
        <f t="shared" si="47"/>
        <v>-0.85682023343387193</v>
      </c>
      <c r="DC8">
        <f t="shared" si="48"/>
        <v>100</v>
      </c>
      <c r="DD8">
        <f t="shared" si="92"/>
        <v>29.883897359823379</v>
      </c>
      <c r="DE8">
        <f t="shared" si="93"/>
        <v>147.02073847921011</v>
      </c>
      <c r="DF8">
        <f t="shared" si="49"/>
        <v>56.694453560034233</v>
      </c>
      <c r="DG8">
        <f t="shared" si="50"/>
        <v>45.643498772905197</v>
      </c>
      <c r="DH8">
        <f t="shared" si="51"/>
        <v>44.528713913803045</v>
      </c>
      <c r="DI8">
        <f t="shared" si="52"/>
        <v>19.051777591656588</v>
      </c>
      <c r="DJ8">
        <f t="shared" si="53"/>
        <v>4.4580545224862336</v>
      </c>
      <c r="DK8">
        <f t="shared" si="54"/>
        <v>4.2837534330529949E-4</v>
      </c>
      <c r="DL8">
        <f t="shared" si="55"/>
        <v>1E-4</v>
      </c>
      <c r="DM8">
        <f t="shared" si="56"/>
        <v>1957</v>
      </c>
      <c r="DN8" s="9">
        <f t="shared" si="94"/>
        <v>1.7023546046226439E-3</v>
      </c>
      <c r="DO8" s="9">
        <f t="shared" si="57"/>
        <v>8.4772169159041538E-2</v>
      </c>
      <c r="DP8" s="9">
        <f t="shared" si="58"/>
        <v>9.7313926646753215E-2</v>
      </c>
      <c r="DQ8" s="9">
        <f t="shared" si="59"/>
        <v>2.1664678243434126E-3</v>
      </c>
      <c r="DR8" s="9">
        <f t="shared" si="60"/>
        <v>1.1115267801353164E-3</v>
      </c>
      <c r="DS8" s="9" t="str">
        <f t="shared" si="61"/>
        <v/>
      </c>
      <c r="DT8" s="9" t="str">
        <f t="shared" si="62"/>
        <v/>
      </c>
      <c r="DU8" s="9" t="str">
        <f t="shared" si="63"/>
        <v/>
      </c>
      <c r="DV8" s="9" t="str">
        <f t="shared" si="64"/>
        <v/>
      </c>
      <c r="DW8">
        <f t="shared" si="95"/>
        <v>3.9235282202904551E-2</v>
      </c>
      <c r="DX8">
        <f t="shared" si="96"/>
        <v>1957</v>
      </c>
      <c r="DY8" s="9">
        <f t="shared" si="97"/>
        <v>4.3388361419677016E-2</v>
      </c>
      <c r="DZ8" s="9">
        <f t="shared" si="98"/>
        <v>2.1606106646727761</v>
      </c>
      <c r="EA8" s="9">
        <f t="shared" si="99"/>
        <v>2.480265750186172</v>
      </c>
      <c r="EB8" s="9">
        <f t="shared" si="100"/>
        <v>5.5217337628401995E-2</v>
      </c>
      <c r="EC8" s="9">
        <f t="shared" si="101"/>
        <v>2.8329776612465173E-2</v>
      </c>
      <c r="ED8" s="9" t="str">
        <f t="shared" si="102"/>
        <v/>
      </c>
      <c r="EE8" s="9" t="str">
        <f t="shared" si="103"/>
        <v/>
      </c>
      <c r="EF8" s="9" t="str">
        <f t="shared" si="104"/>
        <v/>
      </c>
      <c r="EG8" s="9" t="str">
        <f t="shared" si="105"/>
        <v/>
      </c>
      <c r="EI8">
        <f t="shared" si="106"/>
        <v>149</v>
      </c>
      <c r="EJ8" s="8">
        <f t="shared" si="107"/>
        <v>585.01787938883911</v>
      </c>
      <c r="EK8" s="8">
        <f t="shared" si="66"/>
        <v>0.6931471805599454</v>
      </c>
      <c r="EL8" s="8">
        <f t="shared" si="67"/>
        <v>0</v>
      </c>
      <c r="EM8" s="8">
        <f t="shared" si="68"/>
        <v>0</v>
      </c>
      <c r="EN8" s="8">
        <f t="shared" si="69"/>
        <v>0</v>
      </c>
      <c r="EO8" s="8">
        <f t="shared" si="70"/>
        <v>0</v>
      </c>
      <c r="EP8" s="8">
        <f t="shared" si="71"/>
        <v>0</v>
      </c>
      <c r="EQ8">
        <f t="shared" si="108"/>
        <v>585.711026569399</v>
      </c>
      <c r="ES8" s="8">
        <f t="shared" si="109"/>
        <v>593.50354089698033</v>
      </c>
      <c r="ET8" s="8">
        <f t="shared" si="72"/>
        <v>1.3237610718314969</v>
      </c>
      <c r="EU8" s="8">
        <f t="shared" si="73"/>
        <v>0.37928564111821411</v>
      </c>
      <c r="EV8" s="8">
        <f t="shared" si="74"/>
        <v>0</v>
      </c>
      <c r="EW8" s="8">
        <f t="shared" si="75"/>
        <v>0</v>
      </c>
      <c r="EX8" s="8">
        <f t="shared" si="76"/>
        <v>0</v>
      </c>
      <c r="EY8" s="8">
        <f t="shared" si="77"/>
        <v>0</v>
      </c>
      <c r="EZ8">
        <f t="shared" si="110"/>
        <v>595.20658760993012</v>
      </c>
      <c r="FB8">
        <f t="shared" si="111"/>
        <v>600.00947055532743</v>
      </c>
      <c r="FC8">
        <f t="shared" si="112"/>
        <v>5.7271571816628954</v>
      </c>
      <c r="FD8">
        <f t="shared" si="113"/>
        <v>627.83096994084792</v>
      </c>
      <c r="FE8">
        <f t="shared" si="114"/>
        <v>-12.598781163326521</v>
      </c>
      <c r="FG8">
        <f t="shared" si="115"/>
        <v>7.2192900021498945</v>
      </c>
      <c r="FJ8">
        <v>25.772631211349459</v>
      </c>
    </row>
    <row r="9" spans="1:166" x14ac:dyDescent="0.3">
      <c r="A9" t="s">
        <v>169</v>
      </c>
      <c r="B9">
        <f>SUMPRODUCT($DA$2:$DA$73,$DC$2:$DC$73)</f>
        <v>-7387.4401704285829</v>
      </c>
      <c r="D9">
        <v>1958</v>
      </c>
      <c r="E9">
        <f t="shared" si="78"/>
        <v>22.465828797624937</v>
      </c>
      <c r="F9">
        <f t="shared" si="79"/>
        <v>6.1845408148175664E-2</v>
      </c>
      <c r="G9">
        <f t="shared" si="80"/>
        <v>0.24315692799916933</v>
      </c>
      <c r="H9">
        <f t="shared" si="81"/>
        <v>2.8451540272234167E-2</v>
      </c>
      <c r="I9" s="2">
        <v>2.923828797624938</v>
      </c>
      <c r="J9">
        <f t="shared" si="82"/>
        <v>2.923828797624938</v>
      </c>
      <c r="K9" s="2">
        <v>0.55600000000000005</v>
      </c>
      <c r="L9">
        <f t="shared" si="116"/>
        <v>18.986000000000001</v>
      </c>
      <c r="M9" s="25">
        <f t="shared" si="117"/>
        <v>0.90504739596986272</v>
      </c>
      <c r="N9" s="25">
        <f t="shared" si="0"/>
        <v>3.4027431316009773</v>
      </c>
      <c r="O9" s="25">
        <f t="shared" si="1"/>
        <v>1.8923718279369859</v>
      </c>
      <c r="P9" s="25">
        <f t="shared" si="2"/>
        <v>0.44076983569960854</v>
      </c>
      <c r="Q9" s="25">
        <f t="shared" si="3"/>
        <v>0.19981565885048919</v>
      </c>
      <c r="R9" s="25">
        <f t="shared" si="4"/>
        <v>0.11753862285322893</v>
      </c>
      <c r="S9" s="25">
        <f t="shared" si="5"/>
        <v>2.9384655713307232E-2</v>
      </c>
      <c r="T9" s="25">
        <f t="shared" si="6"/>
        <v>5.8769311426614471E-3</v>
      </c>
      <c r="U9" s="25">
        <f t="shared" si="7"/>
        <v>0</v>
      </c>
      <c r="V9">
        <f t="shared" si="8"/>
        <v>6.9935480597671216</v>
      </c>
      <c r="W9">
        <f t="shared" si="118"/>
        <v>30.905089676050025</v>
      </c>
      <c r="X9">
        <f t="shared" si="9"/>
        <v>116.19510988592835</v>
      </c>
      <c r="Y9">
        <f t="shared" si="10"/>
        <v>64.619732959013689</v>
      </c>
      <c r="Z9">
        <f t="shared" si="11"/>
        <v>15.051180037037351</v>
      </c>
      <c r="AA9">
        <f t="shared" si="12"/>
        <v>6.823201616790266</v>
      </c>
      <c r="AB9">
        <f t="shared" si="13"/>
        <v>4.0136480098766265</v>
      </c>
      <c r="AC9">
        <f t="shared" si="14"/>
        <v>1.0034120024691566</v>
      </c>
      <c r="AD9">
        <f t="shared" si="15"/>
        <v>0.20068240049383135</v>
      </c>
      <c r="AE9">
        <f t="shared" si="16"/>
        <v>0</v>
      </c>
      <c r="AF9">
        <f t="shared" si="17"/>
        <v>238.8120565876593</v>
      </c>
      <c r="AG9" s="2">
        <v>5.0700000000000002E-2</v>
      </c>
      <c r="AH9" s="2">
        <v>6.9000000000000006E-2</v>
      </c>
      <c r="AI9" s="2">
        <v>9.6600000000000005E-2</v>
      </c>
      <c r="AJ9" s="2">
        <v>0.1077</v>
      </c>
      <c r="AK9" s="2">
        <v>0.12479999999999999</v>
      </c>
      <c r="AL9" s="2">
        <v>0.12809999999999999</v>
      </c>
      <c r="AM9" s="2">
        <v>0.13830000000000001</v>
      </c>
      <c r="AN9" s="2">
        <v>0.16900000000000001</v>
      </c>
      <c r="AO9" s="2">
        <v>0.14879999999999999</v>
      </c>
      <c r="AP9">
        <f t="shared" si="119"/>
        <v>7.9501848739495798E-2</v>
      </c>
      <c r="AQ9" s="2">
        <v>154</v>
      </c>
      <c r="AR9" s="2">
        <v>579</v>
      </c>
      <c r="AS9" s="2">
        <v>322</v>
      </c>
      <c r="AT9" s="2">
        <v>75</v>
      </c>
      <c r="AU9" s="2">
        <v>34</v>
      </c>
      <c r="AV9" s="2">
        <v>20</v>
      </c>
      <c r="AW9" s="2">
        <v>5</v>
      </c>
      <c r="AX9" s="2">
        <v>1</v>
      </c>
      <c r="AY9" s="2">
        <v>0</v>
      </c>
      <c r="AZ9">
        <f t="shared" si="83"/>
        <v>1190</v>
      </c>
      <c r="BA9">
        <f t="shared" si="18"/>
        <v>1958</v>
      </c>
      <c r="BB9">
        <f t="shared" si="122"/>
        <v>1.4977257474558654</v>
      </c>
      <c r="BC9">
        <f t="shared" si="123"/>
        <v>1.3277701195025025</v>
      </c>
      <c r="BD9">
        <f t="shared" si="84"/>
        <v>4.759359063942707</v>
      </c>
      <c r="BE9">
        <f t="shared" si="19"/>
        <v>17.893953883265112</v>
      </c>
      <c r="BF9">
        <f t="shared" si="20"/>
        <v>9.9513871336983879</v>
      </c>
      <c r="BG9">
        <f t="shared" si="21"/>
        <v>2.3178696739980715</v>
      </c>
      <c r="BH9">
        <f t="shared" si="22"/>
        <v>1.0507675855457925</v>
      </c>
      <c r="BI9">
        <f t="shared" si="23"/>
        <v>0.61809857973281912</v>
      </c>
      <c r="BJ9">
        <f t="shared" si="24"/>
        <v>0.15452464493320478</v>
      </c>
      <c r="BK9">
        <f t="shared" si="25"/>
        <v>3.0904928986640955E-2</v>
      </c>
      <c r="BL9">
        <f t="shared" si="26"/>
        <v>0</v>
      </c>
      <c r="BM9" s="23">
        <f t="shared" si="85"/>
        <v>658.04188769147117</v>
      </c>
      <c r="BN9" s="23">
        <f t="shared" si="27"/>
        <v>351.02330175628441</v>
      </c>
      <c r="BO9" s="23">
        <f t="shared" si="28"/>
        <v>170.85281472656908</v>
      </c>
      <c r="BP9" s="23">
        <f t="shared" si="29"/>
        <v>50.66639384014033</v>
      </c>
      <c r="BQ9" s="23">
        <f t="shared" si="30"/>
        <v>31.371029987578101</v>
      </c>
      <c r="BR9" s="23">
        <f t="shared" si="31"/>
        <v>26.997853802138998</v>
      </c>
      <c r="BS9" s="23">
        <f t="shared" si="32"/>
        <v>9.7712371589217124</v>
      </c>
      <c r="BT9" s="23">
        <f t="shared" si="33"/>
        <v>1.8288343263265741</v>
      </c>
      <c r="BU9" s="23">
        <f t="shared" si="34"/>
        <v>1E-4</v>
      </c>
      <c r="BV9">
        <f t="shared" si="86"/>
        <v>43.796579996051783</v>
      </c>
      <c r="BW9">
        <v>0.60982408108071262</v>
      </c>
      <c r="BX9" s="2">
        <v>18.986000000000001</v>
      </c>
      <c r="CJ9">
        <v>1958</v>
      </c>
      <c r="CK9">
        <f t="shared" si="88"/>
        <v>457</v>
      </c>
      <c r="CL9">
        <f t="shared" si="89"/>
        <v>291.48826384167478</v>
      </c>
      <c r="CM9" s="9">
        <f t="shared" si="120"/>
        <v>0.70459518599562365</v>
      </c>
      <c r="CN9" s="9">
        <f t="shared" si="90"/>
        <v>0.16411378555798686</v>
      </c>
      <c r="CO9" s="9">
        <f t="shared" si="36"/>
        <v>7.4398249452954049E-2</v>
      </c>
      <c r="CP9" s="9">
        <f t="shared" si="37"/>
        <v>4.3763676148796497E-2</v>
      </c>
      <c r="CQ9" s="27">
        <f t="shared" si="38"/>
        <v>1.0940919037199124E-2</v>
      </c>
      <c r="CR9" s="27">
        <f t="shared" si="39"/>
        <v>2.1881838074398249E-3</v>
      </c>
      <c r="CS9" s="27">
        <f t="shared" si="40"/>
        <v>0</v>
      </c>
      <c r="CT9" s="29">
        <f t="shared" si="91"/>
        <v>0.58613960121348063</v>
      </c>
      <c r="CU9" s="9">
        <f t="shared" si="41"/>
        <v>0.17381967003536158</v>
      </c>
      <c r="CV9" s="9">
        <f t="shared" si="42"/>
        <v>0.10762364691505261</v>
      </c>
      <c r="CW9" s="9">
        <f t="shared" si="43"/>
        <v>9.2620723202781141E-2</v>
      </c>
      <c r="CX9" s="9">
        <f t="shared" si="44"/>
        <v>3.352188877226657E-2</v>
      </c>
      <c r="CY9" s="9">
        <f t="shared" si="45"/>
        <v>6.2741267940719788E-3</v>
      </c>
      <c r="CZ9" s="9">
        <f t="shared" si="46"/>
        <v>3.4306698555217361E-7</v>
      </c>
      <c r="DA9">
        <f t="shared" si="121"/>
        <v>-0.98175893082289278</v>
      </c>
      <c r="DB9">
        <f t="shared" si="47"/>
        <v>-0.97781711150400064</v>
      </c>
      <c r="DC9">
        <f t="shared" si="48"/>
        <v>100</v>
      </c>
      <c r="DD9">
        <f t="shared" si="92"/>
        <v>41.933693548865087</v>
      </c>
      <c r="DE9">
        <f t="shared" si="93"/>
        <v>214.22651368577019</v>
      </c>
      <c r="DF9">
        <f t="shared" si="49"/>
        <v>134.33981633414996</v>
      </c>
      <c r="DG9">
        <f t="shared" si="50"/>
        <v>47.90775433044265</v>
      </c>
      <c r="DH9">
        <f t="shared" si="51"/>
        <v>30.120446743181819</v>
      </c>
      <c r="DI9">
        <f t="shared" si="52"/>
        <v>26.26221659955295</v>
      </c>
      <c r="DJ9">
        <f t="shared" si="53"/>
        <v>9.5873278582752004</v>
      </c>
      <c r="DK9">
        <f t="shared" si="54"/>
        <v>1.7920524661972717</v>
      </c>
      <c r="DL9">
        <f t="shared" si="55"/>
        <v>1E-4</v>
      </c>
      <c r="DM9">
        <f t="shared" si="56"/>
        <v>1958</v>
      </c>
      <c r="DN9" s="9">
        <f t="shared" si="94"/>
        <v>1.3853843571651355E-3</v>
      </c>
      <c r="DO9" s="9">
        <f t="shared" si="57"/>
        <v>1.0214480211146149E-2</v>
      </c>
      <c r="DP9" s="9">
        <f t="shared" si="58"/>
        <v>1.1761063007627621E-2</v>
      </c>
      <c r="DQ9" s="9">
        <f t="shared" si="59"/>
        <v>9.1165106546990116E-3</v>
      </c>
      <c r="DR9" s="9">
        <f t="shared" si="60"/>
        <v>6.5901691812896689E-3</v>
      </c>
      <c r="DS9" s="9">
        <f t="shared" si="61"/>
        <v>4.4556373575974318E-3</v>
      </c>
      <c r="DT9" s="9">
        <f t="shared" si="62"/>
        <v>3.0555822138349457E-3</v>
      </c>
      <c r="DU9" s="9">
        <f t="shared" si="63"/>
        <v>3.2687218704785994E-3</v>
      </c>
      <c r="DV9" s="9" t="str">
        <f t="shared" si="64"/>
        <v/>
      </c>
      <c r="DW9">
        <f t="shared" si="95"/>
        <v>9.6831263056456045E-3</v>
      </c>
      <c r="DX9">
        <f t="shared" si="96"/>
        <v>1958</v>
      </c>
      <c r="DY9" s="9">
        <f t="shared" si="97"/>
        <v>0.14307201139753878</v>
      </c>
      <c r="DZ9" s="9">
        <f t="shared" si="98"/>
        <v>1.0548742099120143</v>
      </c>
      <c r="EA9" s="9">
        <f t="shared" si="99"/>
        <v>1.2145935761232927</v>
      </c>
      <c r="EB9" s="9">
        <f t="shared" si="100"/>
        <v>0.9414842238899398</v>
      </c>
      <c r="EC9" s="9">
        <f t="shared" si="101"/>
        <v>0.68058279663742149</v>
      </c>
      <c r="ED9" s="9">
        <f t="shared" si="102"/>
        <v>0.460144504673004</v>
      </c>
      <c r="EE9" s="9">
        <f t="shared" si="103"/>
        <v>0.31555740546866906</v>
      </c>
      <c r="EF9" s="9">
        <f t="shared" si="104"/>
        <v>0.3375688561010321</v>
      </c>
      <c r="EG9" s="9" t="str">
        <f t="shared" si="105"/>
        <v/>
      </c>
      <c r="EI9">
        <f t="shared" si="106"/>
        <v>457</v>
      </c>
      <c r="EJ9" s="8">
        <f t="shared" si="107"/>
        <v>1541.212070770365</v>
      </c>
      <c r="EK9" s="8">
        <f t="shared" si="66"/>
        <v>251.89040220972319</v>
      </c>
      <c r="EL9" s="8">
        <f t="shared" si="67"/>
        <v>88.580827542197667</v>
      </c>
      <c r="EM9" s="8">
        <f t="shared" si="68"/>
        <v>42.335616460753485</v>
      </c>
      <c r="EN9" s="8">
        <f t="shared" si="69"/>
        <v>4.7874917427820458</v>
      </c>
      <c r="EO9" s="8">
        <f t="shared" si="70"/>
        <v>0</v>
      </c>
      <c r="EP9" s="8">
        <f t="shared" si="71"/>
        <v>0</v>
      </c>
      <c r="EQ9">
        <f t="shared" si="108"/>
        <v>1928.8064087258215</v>
      </c>
      <c r="ES9" s="8">
        <f t="shared" si="109"/>
        <v>1586.5882945749213</v>
      </c>
      <c r="ET9" s="8">
        <f t="shared" si="72"/>
        <v>261.49020676745641</v>
      </c>
      <c r="EU9" s="8">
        <f t="shared" si="73"/>
        <v>92.62434533867156</v>
      </c>
      <c r="EV9" s="8">
        <f t="shared" si="74"/>
        <v>44.994781940165552</v>
      </c>
      <c r="EW9" s="8">
        <f t="shared" si="75"/>
        <v>3.9416703055557862</v>
      </c>
      <c r="EX9" s="8">
        <f t="shared" si="76"/>
        <v>-2.0732633845626496</v>
      </c>
      <c r="EY9" s="8">
        <f t="shared" si="77"/>
        <v>0</v>
      </c>
      <c r="EZ9">
        <f t="shared" si="110"/>
        <v>1987.5660355422081</v>
      </c>
      <c r="FB9">
        <f t="shared" si="111"/>
        <v>2345.9617722159251</v>
      </c>
      <c r="FC9">
        <f t="shared" si="112"/>
        <v>39.478247757284137</v>
      </c>
      <c r="FD9">
        <f t="shared" si="113"/>
        <v>2463.027835085556</v>
      </c>
      <c r="FE9">
        <f t="shared" si="114"/>
        <v>-18.828188295960217</v>
      </c>
      <c r="FG9">
        <f t="shared" si="115"/>
        <v>20.162136763380754</v>
      </c>
      <c r="FJ9">
        <v>27.93778895958668</v>
      </c>
    </row>
    <row r="10" spans="1:166" x14ac:dyDescent="0.3">
      <c r="A10" t="s">
        <v>80</v>
      </c>
      <c r="B10">
        <f>SUMPRODUCT(LN(BV2:BV73/L2:L73)^2)</f>
        <v>12.266086358938384</v>
      </c>
      <c r="D10">
        <v>1959</v>
      </c>
      <c r="E10">
        <f t="shared" si="78"/>
        <v>84.541063038099949</v>
      </c>
      <c r="F10">
        <f t="shared" si="79"/>
        <v>2.5045416149306898E-2</v>
      </c>
      <c r="G10">
        <f t="shared" si="80"/>
        <v>0.24198816244418161</v>
      </c>
      <c r="H10">
        <f t="shared" si="81"/>
        <v>0.84210846451424537</v>
      </c>
      <c r="I10" s="2">
        <v>2.3390630380999502</v>
      </c>
      <c r="J10">
        <f t="shared" si="82"/>
        <v>2.3390630380999502</v>
      </c>
      <c r="K10" s="2">
        <v>69.222999999999999</v>
      </c>
      <c r="L10">
        <f t="shared" si="116"/>
        <v>12.978999999999999</v>
      </c>
      <c r="M10" s="25">
        <f t="shared" si="117"/>
        <v>31.448491847388027</v>
      </c>
      <c r="N10" s="25">
        <f t="shared" si="0"/>
        <v>334.77426805284023</v>
      </c>
      <c r="O10" s="25">
        <f t="shared" si="1"/>
        <v>203.70506977275858</v>
      </c>
      <c r="P10" s="25">
        <f t="shared" si="2"/>
        <v>107.12776577690889</v>
      </c>
      <c r="Q10" s="25">
        <f t="shared" si="3"/>
        <v>28.607982906333625</v>
      </c>
      <c r="R10" s="25">
        <f t="shared" si="4"/>
        <v>17.854627629484813</v>
      </c>
      <c r="S10" s="25">
        <f t="shared" si="5"/>
        <v>15.014118688430413</v>
      </c>
      <c r="T10" s="25">
        <f t="shared" si="6"/>
        <v>4.2607634115816033</v>
      </c>
      <c r="U10" s="25">
        <f t="shared" si="7"/>
        <v>0.81157398315840068</v>
      </c>
      <c r="V10">
        <f t="shared" si="8"/>
        <v>743.60466206888452</v>
      </c>
      <c r="W10">
        <f t="shared" si="118"/>
        <v>5.8964502504550396</v>
      </c>
      <c r="X10">
        <f t="shared" si="9"/>
        <v>62.768663956456869</v>
      </c>
      <c r="Y10">
        <f t="shared" si="10"/>
        <v>38.193780977141031</v>
      </c>
      <c r="Z10">
        <f t="shared" si="11"/>
        <v>20.085972466066199</v>
      </c>
      <c r="AA10">
        <f t="shared" si="12"/>
        <v>5.3638676471881332</v>
      </c>
      <c r="AB10">
        <f t="shared" si="13"/>
        <v>3.3476620776776995</v>
      </c>
      <c r="AC10">
        <f t="shared" si="14"/>
        <v>2.8150794744107932</v>
      </c>
      <c r="AD10">
        <f t="shared" si="15"/>
        <v>0.79887390490036014</v>
      </c>
      <c r="AE10">
        <f t="shared" si="16"/>
        <v>0.15216645807625909</v>
      </c>
      <c r="AF10">
        <f t="shared" si="17"/>
        <v>139.42251721237238</v>
      </c>
      <c r="AG10" s="2">
        <v>5.1200000000000002E-2</v>
      </c>
      <c r="AH10" s="2">
        <v>8.0699999999999994E-2</v>
      </c>
      <c r="AI10" s="2">
        <v>9.69E-2</v>
      </c>
      <c r="AJ10" s="2">
        <v>0.113</v>
      </c>
      <c r="AK10" s="2">
        <v>0.12429999999999999</v>
      </c>
      <c r="AL10" s="2">
        <v>0.13320000000000001</v>
      </c>
      <c r="AM10" s="2">
        <v>0.1371</v>
      </c>
      <c r="AN10" s="2">
        <v>0.14990000000000001</v>
      </c>
      <c r="AO10" s="2">
        <v>0.14879999999999999</v>
      </c>
      <c r="AP10">
        <f t="shared" si="119"/>
        <v>9.3091132332878579E-2</v>
      </c>
      <c r="AQ10" s="2">
        <v>155</v>
      </c>
      <c r="AR10" s="2">
        <v>1650</v>
      </c>
      <c r="AS10" s="2">
        <v>1004</v>
      </c>
      <c r="AT10" s="2">
        <v>528</v>
      </c>
      <c r="AU10" s="2">
        <v>141</v>
      </c>
      <c r="AV10" s="2">
        <v>88</v>
      </c>
      <c r="AW10" s="2">
        <v>74</v>
      </c>
      <c r="AX10" s="2">
        <v>21</v>
      </c>
      <c r="AY10" s="2">
        <v>4</v>
      </c>
      <c r="AZ10">
        <f t="shared" si="83"/>
        <v>3665</v>
      </c>
      <c r="BA10">
        <f t="shared" si="18"/>
        <v>1959</v>
      </c>
      <c r="BB10">
        <f t="shared" si="122"/>
        <v>-0.81039106930859384</v>
      </c>
      <c r="BC10">
        <f t="shared" si="123"/>
        <v>0.17998714179727396</v>
      </c>
      <c r="BD10">
        <f t="shared" si="84"/>
        <v>1.0626526571257091</v>
      </c>
      <c r="BE10">
        <f t="shared" si="19"/>
        <v>11.312108930693032</v>
      </c>
      <c r="BF10">
        <f t="shared" si="20"/>
        <v>6.8832468887368519</v>
      </c>
      <c r="BG10">
        <f t="shared" si="21"/>
        <v>3.6198748578217703</v>
      </c>
      <c r="BH10">
        <f t="shared" si="22"/>
        <v>0.96667112680467726</v>
      </c>
      <c r="BI10">
        <f t="shared" si="23"/>
        <v>0.60331247630362839</v>
      </c>
      <c r="BJ10">
        <f t="shared" si="24"/>
        <v>0.50733094598259665</v>
      </c>
      <c r="BK10">
        <f t="shared" si="25"/>
        <v>0.14397229548154769</v>
      </c>
      <c r="BL10">
        <f t="shared" si="26"/>
        <v>2.7423294377437655E-2</v>
      </c>
      <c r="BM10" s="23">
        <f t="shared" si="85"/>
        <v>553.66504509464937</v>
      </c>
      <c r="BN10" s="23">
        <f t="shared" si="27"/>
        <v>545.28402490765268</v>
      </c>
      <c r="BO10" s="23">
        <f t="shared" si="28"/>
        <v>275.59906397232294</v>
      </c>
      <c r="BP10" s="23">
        <f t="shared" si="29"/>
        <v>132.90626850395105</v>
      </c>
      <c r="BQ10" s="23">
        <f t="shared" si="30"/>
        <v>37.712481980192138</v>
      </c>
      <c r="BR10" s="23">
        <f t="shared" si="31"/>
        <v>21.887031691166079</v>
      </c>
      <c r="BS10" s="23">
        <f t="shared" si="32"/>
        <v>17.150664976093964</v>
      </c>
      <c r="BT10" s="23">
        <f t="shared" si="33"/>
        <v>5.4294954780921074</v>
      </c>
      <c r="BU10" s="23">
        <f t="shared" si="34"/>
        <v>0.83909727753583829</v>
      </c>
      <c r="BV10">
        <f t="shared" si="86"/>
        <v>21.830796723373055</v>
      </c>
      <c r="BW10">
        <v>0.73670002949830604</v>
      </c>
      <c r="BX10" s="2">
        <v>12.978999999999999</v>
      </c>
      <c r="CJ10">
        <v>1959</v>
      </c>
      <c r="CK10">
        <f t="shared" si="88"/>
        <v>1860</v>
      </c>
      <c r="CL10">
        <f t="shared" si="89"/>
        <v>491.52410387935419</v>
      </c>
      <c r="CM10" s="9">
        <f t="shared" si="120"/>
        <v>0.53978494623655915</v>
      </c>
      <c r="CN10" s="9">
        <f t="shared" si="90"/>
        <v>0.28387096774193549</v>
      </c>
      <c r="CO10" s="9">
        <f t="shared" si="36"/>
        <v>7.5806451612903225E-2</v>
      </c>
      <c r="CP10" s="9">
        <f t="shared" si="37"/>
        <v>4.7311827956989246E-2</v>
      </c>
      <c r="CQ10" s="27">
        <f t="shared" si="38"/>
        <v>3.9784946236559142E-2</v>
      </c>
      <c r="CR10" s="27">
        <f t="shared" si="39"/>
        <v>1.1290322580645161E-2</v>
      </c>
      <c r="CS10" s="27">
        <f t="shared" si="40"/>
        <v>2.1505376344086021E-3</v>
      </c>
      <c r="CT10" s="29">
        <f t="shared" si="91"/>
        <v>0.56070304954967054</v>
      </c>
      <c r="CU10" s="9">
        <f t="shared" si="41"/>
        <v>0.27039623785484429</v>
      </c>
      <c r="CV10" s="9">
        <f t="shared" si="42"/>
        <v>7.6725600397918148E-2</v>
      </c>
      <c r="CW10" s="9">
        <f t="shared" si="43"/>
        <v>4.4528908182574718E-2</v>
      </c>
      <c r="CX10" s="9">
        <f t="shared" si="44"/>
        <v>3.4892825887341709E-2</v>
      </c>
      <c r="CY10" s="9">
        <f t="shared" si="45"/>
        <v>1.1046244599684557E-2</v>
      </c>
      <c r="CZ10" s="9">
        <f t="shared" si="46"/>
        <v>1.7071335279658978E-3</v>
      </c>
      <c r="DA10">
        <f t="shared" si="121"/>
        <v>-1.2234818445001052</v>
      </c>
      <c r="DB10">
        <f t="shared" si="47"/>
        <v>-1.2163530409858443</v>
      </c>
      <c r="DC10">
        <f t="shared" si="48"/>
        <v>100</v>
      </c>
      <c r="DD10">
        <f t="shared" si="92"/>
        <v>33.498869271034046</v>
      </c>
      <c r="DE10">
        <f t="shared" si="93"/>
        <v>129.42060796900327</v>
      </c>
      <c r="DF10">
        <f t="shared" si="49"/>
        <v>54.924745081144046</v>
      </c>
      <c r="DG10">
        <f t="shared" si="50"/>
        <v>22.158627869220396</v>
      </c>
      <c r="DH10">
        <f t="shared" si="51"/>
        <v>8.1378279470538359</v>
      </c>
      <c r="DI10">
        <f t="shared" si="52"/>
        <v>3.4290915853776376</v>
      </c>
      <c r="DJ10">
        <f t="shared" si="53"/>
        <v>1.6292153416809558</v>
      </c>
      <c r="DK10">
        <f t="shared" si="54"/>
        <v>1.0247597710289567</v>
      </c>
      <c r="DL10">
        <f t="shared" si="55"/>
        <v>9.9999999999988987E-5</v>
      </c>
      <c r="DM10">
        <f t="shared" si="56"/>
        <v>1959</v>
      </c>
      <c r="DN10" s="9">
        <f t="shared" si="94"/>
        <v>5.69098003877056E-2</v>
      </c>
      <c r="DO10" s="9">
        <f t="shared" si="57"/>
        <v>0.62695107745570167</v>
      </c>
      <c r="DP10" s="9">
        <f t="shared" si="58"/>
        <v>0.75806877311354759</v>
      </c>
      <c r="DQ10" s="9">
        <f t="shared" si="59"/>
        <v>0.82860819886529646</v>
      </c>
      <c r="DR10" s="9">
        <f t="shared" si="60"/>
        <v>0.7785372602193199</v>
      </c>
      <c r="DS10" s="9">
        <f t="shared" si="61"/>
        <v>0.83888663674048569</v>
      </c>
      <c r="DT10" s="9">
        <f t="shared" si="62"/>
        <v>0.9021100376442992</v>
      </c>
      <c r="DU10" s="9">
        <f t="shared" si="63"/>
        <v>0.80611952012613819</v>
      </c>
      <c r="DV10" s="9">
        <f t="shared" si="64"/>
        <v>0.99987679782514294</v>
      </c>
      <c r="DW10">
        <f t="shared" si="95"/>
        <v>0.78822840052338572</v>
      </c>
      <c r="DX10">
        <f t="shared" si="96"/>
        <v>1959</v>
      </c>
      <c r="DY10" s="9">
        <f t="shared" si="97"/>
        <v>7.2199631921302687E-2</v>
      </c>
      <c r="DZ10" s="9">
        <f t="shared" si="98"/>
        <v>0.79539265146930072</v>
      </c>
      <c r="EA10" s="9">
        <f t="shared" si="99"/>
        <v>0.9617374514927246</v>
      </c>
      <c r="EB10" s="9">
        <f t="shared" si="100"/>
        <v>1.0512285503987149</v>
      </c>
      <c r="EC10" s="9">
        <f t="shared" si="101"/>
        <v>0.98770516223770821</v>
      </c>
      <c r="ED10" s="9">
        <f t="shared" si="102"/>
        <v>1.0642684736853718</v>
      </c>
      <c r="EE10" s="9">
        <f t="shared" si="103"/>
        <v>1.1444779673572987</v>
      </c>
      <c r="EF10" s="9">
        <f t="shared" si="104"/>
        <v>1.0226978875550192</v>
      </c>
      <c r="EG10" s="9">
        <f t="shared" si="105"/>
        <v>1.2685115090514654</v>
      </c>
      <c r="EI10">
        <f t="shared" si="106"/>
        <v>1860</v>
      </c>
      <c r="EJ10" s="8">
        <f t="shared" si="107"/>
        <v>5939.7691846373364</v>
      </c>
      <c r="EK10" s="8">
        <f t="shared" si="66"/>
        <v>2786.1364823002277</v>
      </c>
      <c r="EL10" s="8">
        <f t="shared" si="67"/>
        <v>560.1690540372731</v>
      </c>
      <c r="EM10" s="8">
        <f t="shared" si="68"/>
        <v>309.1641935801469</v>
      </c>
      <c r="EN10" s="8">
        <f t="shared" si="69"/>
        <v>247.57291409618685</v>
      </c>
      <c r="EO10" s="8">
        <f t="shared" si="70"/>
        <v>45.380138898476908</v>
      </c>
      <c r="EP10" s="8">
        <f t="shared" si="71"/>
        <v>3.1780538303479458</v>
      </c>
      <c r="EQ10">
        <f t="shared" si="108"/>
        <v>9891.3700213799966</v>
      </c>
      <c r="ES10" s="8">
        <f t="shared" si="109"/>
        <v>6121.8971398924687</v>
      </c>
      <c r="ET10" s="8">
        <f t="shared" si="72"/>
        <v>2873.0386378562703</v>
      </c>
      <c r="EU10" s="8">
        <f t="shared" si="73"/>
        <v>581.07773969644836</v>
      </c>
      <c r="EV10" s="8">
        <f t="shared" si="74"/>
        <v>319.65653736349071</v>
      </c>
      <c r="EW10" s="8">
        <f t="shared" si="75"/>
        <v>255.00066832183361</v>
      </c>
      <c r="EX10" s="8">
        <f t="shared" si="76"/>
        <v>45.012000163265924</v>
      </c>
      <c r="EY10" s="8">
        <f t="shared" si="77"/>
        <v>6.3633803514989262E-2</v>
      </c>
      <c r="EZ10">
        <f t="shared" si="110"/>
        <v>10195.746357097292</v>
      </c>
      <c r="FB10">
        <f t="shared" si="111"/>
        <v>12147.380235294904</v>
      </c>
      <c r="FC10">
        <f t="shared" si="112"/>
        <v>276.26408615040134</v>
      </c>
      <c r="FD10">
        <f t="shared" si="113"/>
        <v>12755.83044946253</v>
      </c>
      <c r="FE10">
        <f t="shared" si="114"/>
        <v>-27.809792299927722</v>
      </c>
      <c r="FG10">
        <f t="shared" si="115"/>
        <v>79.119325094571991</v>
      </c>
      <c r="FJ10">
        <v>11.144696700823623</v>
      </c>
    </row>
    <row r="11" spans="1:166" x14ac:dyDescent="0.3">
      <c r="A11" t="s">
        <v>81</v>
      </c>
      <c r="B11">
        <f>SUMPRODUCT((Relm-1)^2)</f>
        <v>3.3120202331565118</v>
      </c>
      <c r="D11">
        <v>1960</v>
      </c>
      <c r="E11">
        <f t="shared" si="78"/>
        <v>62.422365027412177</v>
      </c>
      <c r="F11">
        <f t="shared" si="79"/>
        <v>3.8306509527790647E-2</v>
      </c>
      <c r="G11">
        <f t="shared" si="80"/>
        <v>0.29562338658738413</v>
      </c>
      <c r="H11">
        <f t="shared" si="81"/>
        <v>0.89962620565363949</v>
      </c>
      <c r="I11" s="2">
        <v>2.496365027412172</v>
      </c>
      <c r="J11">
        <f t="shared" si="82"/>
        <v>2.496365027412172</v>
      </c>
      <c r="K11" s="2">
        <v>53.911000000000001</v>
      </c>
      <c r="L11">
        <f t="shared" si="116"/>
        <v>6.0149999999999997</v>
      </c>
      <c r="M11" s="25">
        <f t="shared" si="117"/>
        <v>49.917719471327636</v>
      </c>
      <c r="N11" s="25">
        <f t="shared" si="0"/>
        <v>308.31532614643544</v>
      </c>
      <c r="O11" s="25">
        <f t="shared" si="1"/>
        <v>131.35211672651312</v>
      </c>
      <c r="P11" s="25">
        <f t="shared" si="2"/>
        <v>49.330452183429664</v>
      </c>
      <c r="Q11" s="25">
        <f t="shared" si="3"/>
        <v>15.856216773245251</v>
      </c>
      <c r="R11" s="25">
        <f t="shared" si="4"/>
        <v>5.2854055910817506</v>
      </c>
      <c r="S11" s="25">
        <f t="shared" si="5"/>
        <v>1.9575576263265739</v>
      </c>
      <c r="T11" s="25">
        <f t="shared" si="6"/>
        <v>0.78302305053062959</v>
      </c>
      <c r="U11" s="25">
        <f t="shared" si="7"/>
        <v>0.3915115252653148</v>
      </c>
      <c r="V11">
        <f t="shared" si="8"/>
        <v>563.18932909415526</v>
      </c>
      <c r="W11">
        <f t="shared" si="118"/>
        <v>5.5694586006573008</v>
      </c>
      <c r="X11">
        <f t="shared" si="9"/>
        <v>34.399597239353916</v>
      </c>
      <c r="Y11">
        <f t="shared" si="10"/>
        <v>14.655320474670779</v>
      </c>
      <c r="Z11">
        <f t="shared" si="11"/>
        <v>5.5039355582966261</v>
      </c>
      <c r="AA11">
        <f t="shared" si="12"/>
        <v>1.7691221437382014</v>
      </c>
      <c r="AB11">
        <f t="shared" si="13"/>
        <v>0.58970738124606714</v>
      </c>
      <c r="AC11">
        <f t="shared" si="14"/>
        <v>0.21841014120224708</v>
      </c>
      <c r="AD11">
        <f t="shared" si="15"/>
        <v>8.736405648089883E-2</v>
      </c>
      <c r="AE11">
        <f t="shared" si="16"/>
        <v>4.3682028240449415E-2</v>
      </c>
      <c r="AF11">
        <f t="shared" si="17"/>
        <v>62.836597623886483</v>
      </c>
      <c r="AG11" s="2">
        <v>5.9400000000000001E-2</v>
      </c>
      <c r="AH11" s="2">
        <v>8.9700000000000002E-2</v>
      </c>
      <c r="AI11" s="2">
        <v>0.106</v>
      </c>
      <c r="AJ11" s="2">
        <v>0.121</v>
      </c>
      <c r="AK11" s="2">
        <v>0.1336</v>
      </c>
      <c r="AL11" s="2">
        <v>0.14460000000000001</v>
      </c>
      <c r="AM11" s="2">
        <v>0.16039999999999999</v>
      </c>
      <c r="AN11" s="2">
        <v>0.17449999999999999</v>
      </c>
      <c r="AO11" s="2">
        <v>0.16450000000000001</v>
      </c>
      <c r="AP11">
        <f t="shared" si="119"/>
        <v>9.5724469933958972E-2</v>
      </c>
      <c r="AQ11" s="2">
        <v>255</v>
      </c>
      <c r="AR11" s="2">
        <v>1575</v>
      </c>
      <c r="AS11" s="2">
        <v>671</v>
      </c>
      <c r="AT11" s="2">
        <v>252</v>
      </c>
      <c r="AU11" s="2">
        <v>81</v>
      </c>
      <c r="AV11" s="2">
        <v>27</v>
      </c>
      <c r="AW11" s="2">
        <v>10</v>
      </c>
      <c r="AX11" s="2">
        <v>4</v>
      </c>
      <c r="AY11" s="2">
        <v>2</v>
      </c>
      <c r="AZ11">
        <f t="shared" si="83"/>
        <v>2877</v>
      </c>
      <c r="BA11">
        <f t="shared" si="18"/>
        <v>1960</v>
      </c>
      <c r="BB11">
        <f t="shared" si="122"/>
        <v>-0.14737325275544963</v>
      </c>
      <c r="BC11">
        <f t="shared" si="123"/>
        <v>-0.23662519413960939</v>
      </c>
      <c r="BD11">
        <f t="shared" si="84"/>
        <v>2.3114549746136026</v>
      </c>
      <c r="BE11">
        <f t="shared" si="19"/>
        <v>14.276633666731074</v>
      </c>
      <c r="BF11">
        <f t="shared" si="20"/>
        <v>6.0822991684930479</v>
      </c>
      <c r="BG11">
        <f t="shared" si="21"/>
        <v>2.2842613866769721</v>
      </c>
      <c r="BH11">
        <f t="shared" si="22"/>
        <v>0.73422687428902667</v>
      </c>
      <c r="BI11">
        <f t="shared" si="23"/>
        <v>0.24474229142967557</v>
      </c>
      <c r="BJ11">
        <f t="shared" si="24"/>
        <v>9.0645293122102066E-2</v>
      </c>
      <c r="BK11">
        <f t="shared" si="25"/>
        <v>3.6258117248840822E-2</v>
      </c>
      <c r="BL11">
        <f t="shared" si="26"/>
        <v>1.8129058624420411E-2</v>
      </c>
      <c r="BM11" s="23">
        <f t="shared" si="85"/>
        <v>302.97556632836847</v>
      </c>
      <c r="BN11" s="23">
        <f t="shared" si="27"/>
        <v>419.65016686125756</v>
      </c>
      <c r="BO11" s="23">
        <f t="shared" si="28"/>
        <v>160.40041179792237</v>
      </c>
      <c r="BP11" s="23">
        <f t="shared" si="29"/>
        <v>52.348709653185473</v>
      </c>
      <c r="BQ11" s="23">
        <f t="shared" si="30"/>
        <v>16.595878655784816</v>
      </c>
      <c r="BR11" s="23">
        <f t="shared" si="31"/>
        <v>5.5332292254680793</v>
      </c>
      <c r="BS11" s="23">
        <f t="shared" si="32"/>
        <v>2.0493571021511494</v>
      </c>
      <c r="BT11" s="23">
        <f t="shared" si="33"/>
        <v>0.81967728604128853</v>
      </c>
      <c r="BU11" s="23">
        <f t="shared" si="34"/>
        <v>0.40974058388973522</v>
      </c>
      <c r="BV11">
        <f t="shared" si="86"/>
        <v>8.7608024246786087</v>
      </c>
      <c r="BW11">
        <v>0.87252947059887009</v>
      </c>
      <c r="BX11" s="2">
        <v>6.0149999999999997</v>
      </c>
      <c r="CJ11">
        <v>1960</v>
      </c>
      <c r="CK11">
        <f t="shared" si="88"/>
        <v>1047</v>
      </c>
      <c r="CL11">
        <f t="shared" si="89"/>
        <v>238.15700430444295</v>
      </c>
      <c r="CM11" s="9">
        <f t="shared" si="120"/>
        <v>0.64087870105062084</v>
      </c>
      <c r="CN11" s="9">
        <f t="shared" si="90"/>
        <v>0.24068767908309455</v>
      </c>
      <c r="CO11" s="9">
        <f t="shared" si="36"/>
        <v>7.7363896848137534E-2</v>
      </c>
      <c r="CP11" s="9">
        <f t="shared" si="37"/>
        <v>2.5787965616045846E-2</v>
      </c>
      <c r="CQ11" s="27">
        <f t="shared" si="38"/>
        <v>9.5510983763132766E-3</v>
      </c>
      <c r="CR11" s="27">
        <f t="shared" si="39"/>
        <v>3.8204393505253103E-3</v>
      </c>
      <c r="CS11" s="27">
        <f t="shared" si="40"/>
        <v>1.9102196752626551E-3</v>
      </c>
      <c r="CT11" s="29">
        <f t="shared" si="91"/>
        <v>0.6735070096568645</v>
      </c>
      <c r="CU11" s="9">
        <f t="shared" si="41"/>
        <v>0.21980755848888078</v>
      </c>
      <c r="CV11" s="9">
        <f t="shared" si="42"/>
        <v>6.9684612905903984E-2</v>
      </c>
      <c r="CW11" s="9">
        <f t="shared" si="43"/>
        <v>2.3233535547813631E-2</v>
      </c>
      <c r="CX11" s="9">
        <f t="shared" si="44"/>
        <v>8.6050675189523178E-3</v>
      </c>
      <c r="CY11" s="9">
        <f t="shared" si="45"/>
        <v>3.4417517487475256E-3</v>
      </c>
      <c r="CZ11" s="9">
        <f t="shared" si="46"/>
        <v>1.7204641328371433E-3</v>
      </c>
      <c r="DA11">
        <f t="shared" si="121"/>
        <v>-1.0002919824049872</v>
      </c>
      <c r="DB11">
        <f t="shared" si="47"/>
        <v>-0.99316739222799277</v>
      </c>
      <c r="DC11">
        <f t="shared" si="48"/>
        <v>100</v>
      </c>
      <c r="DD11">
        <f t="shared" si="92"/>
        <v>16.117543382753858</v>
      </c>
      <c r="DE11">
        <f t="shared" si="93"/>
        <v>63.059640991997782</v>
      </c>
      <c r="DF11">
        <f t="shared" si="49"/>
        <v>19.402968319550219</v>
      </c>
      <c r="DG11">
        <f t="shared" si="50"/>
        <v>0.73399608307883568</v>
      </c>
      <c r="DH11">
        <f t="shared" si="51"/>
        <v>5.4350082505383313E-3</v>
      </c>
      <c r="DI11">
        <f t="shared" si="52"/>
        <v>3.081342956653188E-3</v>
      </c>
      <c r="DJ11">
        <f t="shared" si="53"/>
        <v>1.1541827024734719E-3</v>
      </c>
      <c r="DK11">
        <f t="shared" si="54"/>
        <v>3.9611826181806808E-4</v>
      </c>
      <c r="DL11">
        <f t="shared" si="55"/>
        <v>9.9999999999988987E-5</v>
      </c>
      <c r="DM11">
        <f t="shared" si="56"/>
        <v>1960</v>
      </c>
      <c r="DN11" s="9">
        <f t="shared" si="94"/>
        <v>0.16602486823775095</v>
      </c>
      <c r="DO11" s="9">
        <f t="shared" si="57"/>
        <v>0.76057093248484042</v>
      </c>
      <c r="DP11" s="9">
        <f t="shared" si="58"/>
        <v>0.85117757396330118</v>
      </c>
      <c r="DQ11" s="9">
        <f t="shared" si="59"/>
        <v>0.98533897589020558</v>
      </c>
      <c r="DR11" s="9">
        <f t="shared" si="60"/>
        <v>0.99965734916354176</v>
      </c>
      <c r="DS11" s="9">
        <f t="shared" si="61"/>
        <v>0.9994173488570387</v>
      </c>
      <c r="DT11" s="9">
        <f t="shared" si="62"/>
        <v>0.99941074399145757</v>
      </c>
      <c r="DU11" s="9">
        <f t="shared" si="63"/>
        <v>0.99949437251780726</v>
      </c>
      <c r="DV11" s="9">
        <f t="shared" si="64"/>
        <v>0.99974464490049864</v>
      </c>
      <c r="DW11">
        <f t="shared" si="95"/>
        <v>0.89631115777675807</v>
      </c>
      <c r="DX11">
        <f t="shared" si="96"/>
        <v>1960</v>
      </c>
      <c r="DY11" s="9">
        <f t="shared" si="97"/>
        <v>0.18523128580655507</v>
      </c>
      <c r="DZ11" s="9">
        <f t="shared" si="98"/>
        <v>0.84855680517398391</v>
      </c>
      <c r="EA11" s="9">
        <f t="shared" si="99"/>
        <v>0.94964518357061645</v>
      </c>
      <c r="EB11" s="9">
        <f t="shared" si="100"/>
        <v>1.0993269104607324</v>
      </c>
      <c r="EC11" s="9">
        <f t="shared" si="101"/>
        <v>1.115301690144221</v>
      </c>
      <c r="ED11" s="9">
        <f t="shared" si="102"/>
        <v>1.1150339256470141</v>
      </c>
      <c r="EE11" s="9">
        <f t="shared" si="103"/>
        <v>1.1150265567042938</v>
      </c>
      <c r="EF11" s="9">
        <f t="shared" si="104"/>
        <v>1.1151198597114294</v>
      </c>
      <c r="EG11" s="9">
        <f t="shared" si="105"/>
        <v>1.115399084599483</v>
      </c>
      <c r="EI11">
        <f t="shared" si="106"/>
        <v>1047</v>
      </c>
      <c r="EJ11" s="8">
        <f t="shared" si="107"/>
        <v>3700.5575382024272</v>
      </c>
      <c r="EK11" s="8">
        <f t="shared" si="66"/>
        <v>1145.1001138174961</v>
      </c>
      <c r="EL11" s="8">
        <f t="shared" si="67"/>
        <v>278.06757344036617</v>
      </c>
      <c r="EM11" s="8">
        <f t="shared" si="68"/>
        <v>64.557538627006323</v>
      </c>
      <c r="EN11" s="8">
        <f t="shared" si="69"/>
        <v>15.104412573075518</v>
      </c>
      <c r="EO11" s="8">
        <f t="shared" si="70"/>
        <v>3.1780538303479458</v>
      </c>
      <c r="EP11" s="8">
        <f t="shared" si="71"/>
        <v>0.6931471805599454</v>
      </c>
      <c r="EQ11">
        <f t="shared" si="108"/>
        <v>5207.25837767128</v>
      </c>
      <c r="ES11" s="8">
        <f t="shared" si="109"/>
        <v>3821.6328177339146</v>
      </c>
      <c r="ET11" s="8">
        <f t="shared" si="72"/>
        <v>1182.5544662226155</v>
      </c>
      <c r="EU11" s="8">
        <f t="shared" si="73"/>
        <v>286.89438476478728</v>
      </c>
      <c r="EV11" s="8">
        <f t="shared" si="74"/>
        <v>64.814968635301597</v>
      </c>
      <c r="EW11" s="8">
        <f t="shared" si="75"/>
        <v>12.890798666343313</v>
      </c>
      <c r="EX11" s="8">
        <f t="shared" si="76"/>
        <v>0.22121415722134841</v>
      </c>
      <c r="EY11" s="8">
        <f t="shared" si="77"/>
        <v>-2.4620531137467756</v>
      </c>
      <c r="EZ11">
        <f t="shared" si="110"/>
        <v>5366.5465970664372</v>
      </c>
      <c r="FB11">
        <f t="shared" si="111"/>
        <v>6237.903229012576</v>
      </c>
      <c r="FC11">
        <f t="shared" si="112"/>
        <v>128.84621192990068</v>
      </c>
      <c r="FD11">
        <f t="shared" si="113"/>
        <v>6551.2844946581654</v>
      </c>
      <c r="FE11">
        <f t="shared" si="114"/>
        <v>-25.246834320530979</v>
      </c>
      <c r="FG11">
        <f t="shared" si="115"/>
        <v>44.955252312491822</v>
      </c>
      <c r="FJ11">
        <v>4.4815798320128266</v>
      </c>
    </row>
    <row r="12" spans="1:166" x14ac:dyDescent="0.3">
      <c r="A12" t="s">
        <v>82</v>
      </c>
      <c r="B12">
        <f>2*(0.1^2)</f>
        <v>2.0000000000000004E-2</v>
      </c>
      <c r="D12">
        <v>1961</v>
      </c>
      <c r="E12">
        <f t="shared" si="78"/>
        <v>39.423157747016326</v>
      </c>
      <c r="F12">
        <f t="shared" si="79"/>
        <v>6.5668028778203588E-2</v>
      </c>
      <c r="G12">
        <f t="shared" si="80"/>
        <v>0.37540605410137168</v>
      </c>
      <c r="H12">
        <f t="shared" si="81"/>
        <v>0.71463328917844882</v>
      </c>
      <c r="I12" s="2">
        <v>2.432157747016328</v>
      </c>
      <c r="J12">
        <f t="shared" si="82"/>
        <v>2.432157747016328</v>
      </c>
      <c r="K12" s="2">
        <v>26.434999999999999</v>
      </c>
      <c r="L12">
        <f t="shared" si="116"/>
        <v>10.555999999999999</v>
      </c>
      <c r="M12" s="25">
        <f t="shared" si="117"/>
        <v>129.18212364632529</v>
      </c>
      <c r="N12" s="25">
        <f t="shared" si="0"/>
        <v>116.92396592806084</v>
      </c>
      <c r="O12" s="25">
        <f t="shared" si="1"/>
        <v>55.633177336738619</v>
      </c>
      <c r="P12" s="25">
        <f t="shared" si="2"/>
        <v>12.258157718264442</v>
      </c>
      <c r="Q12" s="25">
        <f t="shared" si="3"/>
        <v>0.4714676045486324</v>
      </c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>
        <f t="shared" si="8"/>
        <v>314.46889223393788</v>
      </c>
      <c r="W12">
        <f t="shared" si="118"/>
        <v>51.584887354288234</v>
      </c>
      <c r="X12">
        <f t="shared" si="9"/>
        <v>46.689971035998113</v>
      </c>
      <c r="Y12">
        <f t="shared" si="10"/>
        <v>22.215389444547487</v>
      </c>
      <c r="Z12">
        <f t="shared" si="11"/>
        <v>4.8949163182901243</v>
      </c>
      <c r="AA12">
        <f t="shared" si="12"/>
        <v>0.18826601224192788</v>
      </c>
      <c r="AB12">
        <f t="shared" si="13"/>
        <v>0</v>
      </c>
      <c r="AC12">
        <f t="shared" si="14"/>
        <v>0</v>
      </c>
      <c r="AD12">
        <f t="shared" si="15"/>
        <v>0</v>
      </c>
      <c r="AE12">
        <f t="shared" si="16"/>
        <v>0</v>
      </c>
      <c r="AF12">
        <f t="shared" si="17"/>
        <v>125.57343016536588</v>
      </c>
      <c r="AG12" s="2">
        <v>5.8500000000000003E-2</v>
      </c>
      <c r="AH12" s="2">
        <v>9.0399999999999994E-2</v>
      </c>
      <c r="AI12" s="2">
        <v>0.1168</v>
      </c>
      <c r="AJ12" s="2">
        <v>0.14099999999999999</v>
      </c>
      <c r="AK12" s="2">
        <v>0.17299999999999999</v>
      </c>
      <c r="AL12" s="2">
        <v>0.14019999999999999</v>
      </c>
      <c r="AM12" s="2">
        <v>0.15920000000000001</v>
      </c>
      <c r="AN12" s="2">
        <v>0.16300000000000001</v>
      </c>
      <c r="AO12" s="2">
        <v>0.15659999999999999</v>
      </c>
      <c r="AP12">
        <f t="shared" si="119"/>
        <v>8.4062368815592203E-2</v>
      </c>
      <c r="AQ12" s="2">
        <v>274</v>
      </c>
      <c r="AR12" s="2">
        <v>248</v>
      </c>
      <c r="AS12" s="2">
        <v>118</v>
      </c>
      <c r="AT12" s="2">
        <v>26</v>
      </c>
      <c r="AU12" s="2">
        <v>1</v>
      </c>
      <c r="AV12" s="2">
        <v>0</v>
      </c>
      <c r="AW12" s="2">
        <v>0</v>
      </c>
      <c r="AX12" s="2">
        <v>0</v>
      </c>
      <c r="AY12" s="2">
        <v>0</v>
      </c>
      <c r="AZ12">
        <f t="shared" si="83"/>
        <v>667</v>
      </c>
      <c r="BA12">
        <f t="shared" si="18"/>
        <v>1961</v>
      </c>
      <c r="BB12">
        <f t="shared" si="122"/>
        <v>0.24788873964521532</v>
      </c>
      <c r="BC12">
        <f t="shared" si="123"/>
        <v>0.13216269413466986</v>
      </c>
      <c r="BD12">
        <f t="shared" si="84"/>
        <v>11.885428515317997</v>
      </c>
      <c r="BE12">
        <f t="shared" si="19"/>
        <v>10.757614130652785</v>
      </c>
      <c r="BF12">
        <f t="shared" si="20"/>
        <v>5.1185422073267279</v>
      </c>
      <c r="BG12">
        <f t="shared" si="21"/>
        <v>1.1278143846652113</v>
      </c>
      <c r="BH12">
        <f t="shared" si="22"/>
        <v>4.3377476333277355E-2</v>
      </c>
      <c r="BI12">
        <f t="shared" si="23"/>
        <v>0</v>
      </c>
      <c r="BJ12">
        <f t="shared" si="24"/>
        <v>0</v>
      </c>
      <c r="BK12">
        <f t="shared" si="25"/>
        <v>0</v>
      </c>
      <c r="BL12">
        <f t="shared" si="26"/>
        <v>0</v>
      </c>
      <c r="BM12" s="23">
        <f t="shared" si="85"/>
        <v>736.61843950201876</v>
      </c>
      <c r="BN12" s="23">
        <f t="shared" si="27"/>
        <v>194.00380030989032</v>
      </c>
      <c r="BO12" s="23">
        <f t="shared" si="28"/>
        <v>75.094397116918771</v>
      </c>
      <c r="BP12" s="23">
        <f t="shared" si="29"/>
        <v>17.768841362472529</v>
      </c>
      <c r="BQ12" s="23">
        <f t="shared" si="30"/>
        <v>0.52113146380024555</v>
      </c>
      <c r="BR12" s="23">
        <f t="shared" si="31"/>
        <v>3.3784941812978297E-3</v>
      </c>
      <c r="BS12" s="23">
        <f t="shared" si="32"/>
        <v>1.6204895704441807E-3</v>
      </c>
      <c r="BT12" s="23">
        <f t="shared" si="33"/>
        <v>4.6731109500631492E-4</v>
      </c>
      <c r="BU12" s="23">
        <f t="shared" si="34"/>
        <v>1E-4</v>
      </c>
      <c r="BV12">
        <f t="shared" si="86"/>
        <v>8.1700092316216146</v>
      </c>
      <c r="BW12">
        <v>1.0456951365731755</v>
      </c>
      <c r="BX12" s="2">
        <v>10.555999999999999</v>
      </c>
      <c r="CJ12">
        <v>1961</v>
      </c>
      <c r="CK12">
        <f t="shared" si="88"/>
        <v>145</v>
      </c>
      <c r="CL12">
        <f t="shared" si="89"/>
        <v>93.389936238038288</v>
      </c>
      <c r="CM12" s="9">
        <f t="shared" si="120"/>
        <v>0.81379310344827582</v>
      </c>
      <c r="CN12" s="9">
        <f t="shared" si="90"/>
        <v>0.1793103448275862</v>
      </c>
      <c r="CO12" s="9">
        <f t="shared" si="36"/>
        <v>6.8965517241379309E-3</v>
      </c>
      <c r="CP12" s="9">
        <f t="shared" si="37"/>
        <v>0</v>
      </c>
      <c r="CQ12" s="27">
        <f t="shared" si="38"/>
        <v>0</v>
      </c>
      <c r="CR12" s="27">
        <f t="shared" si="39"/>
        <v>0</v>
      </c>
      <c r="CS12" s="27">
        <f t="shared" si="40"/>
        <v>0</v>
      </c>
      <c r="CT12" s="29">
        <f t="shared" si="91"/>
        <v>0.80409517493954952</v>
      </c>
      <c r="CU12" s="9">
        <f t="shared" si="41"/>
        <v>0.19026505508240374</v>
      </c>
      <c r="CV12" s="9">
        <f t="shared" si="42"/>
        <v>5.5801672513401453E-3</v>
      </c>
      <c r="CW12" s="9">
        <f t="shared" si="43"/>
        <v>3.617621252772361E-5</v>
      </c>
      <c r="CX12" s="9">
        <f t="shared" si="44"/>
        <v>1.735186504800445E-5</v>
      </c>
      <c r="CY12" s="9">
        <f t="shared" si="45"/>
        <v>5.003869943922033E-6</v>
      </c>
      <c r="CZ12" s="9">
        <f t="shared" si="46"/>
        <v>1.0707791870112596E-6</v>
      </c>
      <c r="DA12">
        <f t="shared" si="121"/>
        <v>-0.51075366496335672</v>
      </c>
      <c r="DB12">
        <f t="shared" si="47"/>
        <v>-0.50766863003819052</v>
      </c>
      <c r="DC12">
        <f t="shared" si="48"/>
        <v>100</v>
      </c>
      <c r="DD12">
        <f t="shared" si="92"/>
        <v>38.28097860665072</v>
      </c>
      <c r="DE12">
        <f t="shared" si="93"/>
        <v>43.090177801854047</v>
      </c>
      <c r="DF12">
        <f t="shared" si="49"/>
        <v>12.117502752330516</v>
      </c>
      <c r="DG12">
        <f t="shared" si="50"/>
        <v>4.3828692595428755</v>
      </c>
      <c r="DH12">
        <f t="shared" si="51"/>
        <v>6.2863829183357756E-3</v>
      </c>
      <c r="DI12">
        <f t="shared" si="52"/>
        <v>3.3784941812978297E-3</v>
      </c>
      <c r="DJ12">
        <f t="shared" si="53"/>
        <v>1.6204895704441807E-3</v>
      </c>
      <c r="DK12">
        <f t="shared" si="54"/>
        <v>4.6731109500631492E-4</v>
      </c>
      <c r="DL12">
        <f t="shared" si="55"/>
        <v>1E-4</v>
      </c>
      <c r="DM12">
        <f t="shared" si="56"/>
        <v>1961</v>
      </c>
      <c r="DN12" s="9">
        <f t="shared" si="94"/>
        <v>0.178247881203104</v>
      </c>
      <c r="DO12" s="9">
        <f t="shared" si="57"/>
        <v>0.63807039243749764</v>
      </c>
      <c r="DP12" s="9">
        <f t="shared" si="58"/>
        <v>0.79503390717578237</v>
      </c>
      <c r="DQ12" s="9">
        <f t="shared" si="59"/>
        <v>0.73662266965927492</v>
      </c>
      <c r="DR12" s="9">
        <f t="shared" si="60"/>
        <v>0.98684179916181147</v>
      </c>
      <c r="DS12" s="9" t="str">
        <f t="shared" si="61"/>
        <v/>
      </c>
      <c r="DT12" s="9" t="str">
        <f t="shared" si="62"/>
        <v/>
      </c>
      <c r="DU12" s="9" t="str">
        <f t="shared" si="63"/>
        <v/>
      </c>
      <c r="DV12" s="9" t="str">
        <f t="shared" si="64"/>
        <v/>
      </c>
      <c r="DW12">
        <f t="shared" si="95"/>
        <v>0.78487536144116044</v>
      </c>
      <c r="DX12">
        <f t="shared" si="96"/>
        <v>1961</v>
      </c>
      <c r="DY12" s="9">
        <f t="shared" si="97"/>
        <v>0.22710342298911196</v>
      </c>
      <c r="DZ12" s="9">
        <f t="shared" si="98"/>
        <v>0.81295760293187869</v>
      </c>
      <c r="EA12" s="9">
        <f t="shared" si="99"/>
        <v>1.0129428776002971</v>
      </c>
      <c r="EB12" s="9">
        <f t="shared" si="100"/>
        <v>0.93852184161662866</v>
      </c>
      <c r="EC12" s="9">
        <f t="shared" si="101"/>
        <v>1.2573229427788475</v>
      </c>
      <c r="ED12" s="9" t="str">
        <f t="shared" si="102"/>
        <v/>
      </c>
      <c r="EE12" s="9" t="str">
        <f t="shared" si="103"/>
        <v/>
      </c>
      <c r="EF12" s="9" t="str">
        <f t="shared" si="104"/>
        <v/>
      </c>
      <c r="EG12" s="9" t="str">
        <f t="shared" si="105"/>
        <v/>
      </c>
      <c r="EI12">
        <f t="shared" si="106"/>
        <v>145</v>
      </c>
      <c r="EJ12" s="8">
        <f t="shared" si="107"/>
        <v>448.24577274538461</v>
      </c>
      <c r="EK12" s="8">
        <f t="shared" si="66"/>
        <v>61.261701761002001</v>
      </c>
      <c r="EL12" s="8">
        <f t="shared" si="67"/>
        <v>0</v>
      </c>
      <c r="EM12" s="8">
        <f t="shared" si="68"/>
        <v>0</v>
      </c>
      <c r="EN12" s="8">
        <f t="shared" si="69"/>
        <v>0</v>
      </c>
      <c r="EO12" s="8">
        <f t="shared" si="70"/>
        <v>0</v>
      </c>
      <c r="EP12" s="8">
        <f t="shared" si="71"/>
        <v>0</v>
      </c>
      <c r="EQ12">
        <f t="shared" si="108"/>
        <v>509.50747450638664</v>
      </c>
      <c r="ES12" s="8">
        <f t="shared" si="109"/>
        <v>464.61068219777178</v>
      </c>
      <c r="ET12" s="8">
        <f t="shared" si="72"/>
        <v>62.039594001451015</v>
      </c>
      <c r="EU12" s="8">
        <f t="shared" si="73"/>
        <v>-3.3384286027453212</v>
      </c>
      <c r="EV12" s="8">
        <f t="shared" si="74"/>
        <v>0</v>
      </c>
      <c r="EW12" s="8">
        <f t="shared" si="75"/>
        <v>0</v>
      </c>
      <c r="EX12" s="8">
        <f t="shared" si="76"/>
        <v>0</v>
      </c>
      <c r="EY12" s="8">
        <f t="shared" si="77"/>
        <v>0</v>
      </c>
      <c r="EZ12">
        <f t="shared" si="110"/>
        <v>523.31184759647749</v>
      </c>
      <c r="FB12">
        <f t="shared" si="111"/>
        <v>580.0342727671308</v>
      </c>
      <c r="FC12">
        <f t="shared" si="112"/>
        <v>5.4140920647603492</v>
      </c>
      <c r="FD12">
        <f t="shared" si="113"/>
        <v>606.82810149490206</v>
      </c>
      <c r="FE12">
        <f t="shared" si="114"/>
        <v>-7.5753635729200823</v>
      </c>
      <c r="FG12">
        <f t="shared" si="115"/>
        <v>7.0512010831728702</v>
      </c>
      <c r="FJ12">
        <v>7.2385078798679841</v>
      </c>
    </row>
    <row r="13" spans="1:166" x14ac:dyDescent="0.3">
      <c r="A13" t="s">
        <v>83</v>
      </c>
      <c r="B13">
        <f>2*(0.1^2)</f>
        <v>2.0000000000000004E-2</v>
      </c>
      <c r="D13">
        <v>1962</v>
      </c>
      <c r="E13">
        <f t="shared" si="78"/>
        <v>60.521950466620481</v>
      </c>
      <c r="F13">
        <f t="shared" si="79"/>
        <v>5.6345192663327749E-2</v>
      </c>
      <c r="G13">
        <f t="shared" si="80"/>
        <v>0.425507107328499</v>
      </c>
      <c r="H13">
        <f t="shared" si="81"/>
        <v>0.4072634728479555</v>
      </c>
      <c r="I13" s="2">
        <v>2.3679504666204849</v>
      </c>
      <c r="J13">
        <f t="shared" si="82"/>
        <v>2.3679504666204849</v>
      </c>
      <c r="K13" s="2">
        <v>23.684000000000001</v>
      </c>
      <c r="L13">
        <f t="shared" si="116"/>
        <v>34.47</v>
      </c>
      <c r="M13" s="25">
        <f t="shared" si="117"/>
        <v>11.899926421495826</v>
      </c>
      <c r="N13" s="25">
        <f t="shared" si="0"/>
        <v>207.9461718739355</v>
      </c>
      <c r="O13" s="25">
        <f t="shared" si="1"/>
        <v>26.220176860923004</v>
      </c>
      <c r="P13" s="25">
        <f t="shared" si="2"/>
        <v>6.2525037129893315</v>
      </c>
      <c r="Q13" s="25">
        <f t="shared" si="3"/>
        <v>2.016936681609462</v>
      </c>
      <c r="R13" s="25">
        <f t="shared" si="4"/>
        <v>0</v>
      </c>
      <c r="S13" s="25">
        <f t="shared" si="5"/>
        <v>0</v>
      </c>
      <c r="T13" s="25">
        <f t="shared" si="6"/>
        <v>0</v>
      </c>
      <c r="U13" s="25">
        <f t="shared" si="7"/>
        <v>0</v>
      </c>
      <c r="V13">
        <f t="shared" si="8"/>
        <v>254.3357155509531</v>
      </c>
      <c r="W13">
        <f t="shared" si="118"/>
        <v>17.319306863239362</v>
      </c>
      <c r="X13">
        <f t="shared" si="9"/>
        <v>302.64754874575902</v>
      </c>
      <c r="Y13">
        <f t="shared" si="10"/>
        <v>38.161184613917236</v>
      </c>
      <c r="Z13">
        <f t="shared" si="11"/>
        <v>9.099974792549494</v>
      </c>
      <c r="AA13">
        <f t="shared" si="12"/>
        <v>2.935475739532095</v>
      </c>
      <c r="AB13">
        <f t="shared" si="13"/>
        <v>0</v>
      </c>
      <c r="AC13">
        <f t="shared" si="14"/>
        <v>0</v>
      </c>
      <c r="AD13">
        <f t="shared" si="15"/>
        <v>0</v>
      </c>
      <c r="AE13">
        <f t="shared" si="16"/>
        <v>0</v>
      </c>
      <c r="AF13">
        <f t="shared" si="17"/>
        <v>370.16349075499721</v>
      </c>
      <c r="AG13" s="2">
        <v>5.67E-2</v>
      </c>
      <c r="AH13" s="2">
        <v>9.2100000000000001E-2</v>
      </c>
      <c r="AI13" s="2">
        <v>0.1074</v>
      </c>
      <c r="AJ13" s="2">
        <v>0.12520000000000001</v>
      </c>
      <c r="AK13" s="2">
        <v>0.12820000000000001</v>
      </c>
      <c r="AL13" s="2">
        <v>0.13950000000000001</v>
      </c>
      <c r="AM13" s="2">
        <v>0.15459999999999999</v>
      </c>
      <c r="AN13" s="2">
        <v>0.1676</v>
      </c>
      <c r="AO13" s="2">
        <v>0.15659999999999999</v>
      </c>
      <c r="AP13">
        <f t="shared" si="119"/>
        <v>9.3121015067406818E-2</v>
      </c>
      <c r="AQ13" s="2">
        <v>59</v>
      </c>
      <c r="AR13" s="2">
        <v>1031</v>
      </c>
      <c r="AS13" s="2">
        <v>130</v>
      </c>
      <c r="AT13" s="2">
        <v>31</v>
      </c>
      <c r="AU13" s="2">
        <v>10</v>
      </c>
      <c r="AV13" s="2">
        <v>0</v>
      </c>
      <c r="AW13" s="2">
        <v>0</v>
      </c>
      <c r="AX13" s="2">
        <v>0</v>
      </c>
      <c r="AY13" s="2">
        <v>0</v>
      </c>
      <c r="AZ13">
        <f t="shared" si="83"/>
        <v>1261</v>
      </c>
      <c r="BA13">
        <f t="shared" si="18"/>
        <v>1962</v>
      </c>
      <c r="BB13">
        <f t="shared" si="122"/>
        <v>0.29597259551424387</v>
      </c>
      <c r="BC13">
        <f t="shared" si="123"/>
        <v>0.56648219609873751</v>
      </c>
      <c r="BD13">
        <f t="shared" si="84"/>
        <v>1.1897667759892954</v>
      </c>
      <c r="BE13">
        <f t="shared" si="19"/>
        <v>20.790670271948535</v>
      </c>
      <c r="BF13">
        <f t="shared" si="20"/>
        <v>2.6215200148916682</v>
      </c>
      <c r="BG13">
        <f t="shared" si="21"/>
        <v>0.62513169585878237</v>
      </c>
      <c r="BH13">
        <f t="shared" si="22"/>
        <v>0.20165538576089753</v>
      </c>
      <c r="BI13">
        <f t="shared" si="23"/>
        <v>0</v>
      </c>
      <c r="BJ13">
        <f t="shared" si="24"/>
        <v>0</v>
      </c>
      <c r="BK13">
        <f t="shared" si="25"/>
        <v>0</v>
      </c>
      <c r="BL13">
        <f t="shared" si="26"/>
        <v>0</v>
      </c>
      <c r="BM13" s="23">
        <f t="shared" si="85"/>
        <v>315.21360884887554</v>
      </c>
      <c r="BN13" s="23">
        <f t="shared" si="27"/>
        <v>437.90591904066184</v>
      </c>
      <c r="BO13" s="23">
        <f t="shared" si="28"/>
        <v>48.766368274009089</v>
      </c>
      <c r="BP13" s="23">
        <f t="shared" si="29"/>
        <v>10.546035278537468</v>
      </c>
      <c r="BQ13" s="23">
        <f t="shared" si="30"/>
        <v>2.9077178634358436</v>
      </c>
      <c r="BR13" s="23">
        <f t="shared" si="31"/>
        <v>3.578057041258948E-3</v>
      </c>
      <c r="BS13" s="23">
        <f t="shared" si="32"/>
        <v>1.5789277853793964E-3</v>
      </c>
      <c r="BT13" s="23">
        <f t="shared" si="33"/>
        <v>5.735276844576763E-4</v>
      </c>
      <c r="BU13" s="23">
        <f t="shared" si="34"/>
        <v>1E-4</v>
      </c>
      <c r="BV13">
        <f t="shared" si="86"/>
        <v>15.973825907406626</v>
      </c>
      <c r="BW13">
        <v>1.2498457002174657</v>
      </c>
      <c r="BX13" s="2">
        <v>34.47</v>
      </c>
      <c r="CJ13">
        <v>1962</v>
      </c>
      <c r="CK13">
        <f t="shared" si="88"/>
        <v>171</v>
      </c>
      <c r="CL13">
        <f t="shared" si="89"/>
        <v>62.225951928493501</v>
      </c>
      <c r="CM13" s="9">
        <f t="shared" si="120"/>
        <v>0.76023391812865493</v>
      </c>
      <c r="CN13" s="9">
        <f t="shared" si="90"/>
        <v>0.18128654970760233</v>
      </c>
      <c r="CO13" s="9">
        <f t="shared" si="36"/>
        <v>5.8479532163742687E-2</v>
      </c>
      <c r="CP13" s="9">
        <f t="shared" si="37"/>
        <v>0</v>
      </c>
      <c r="CQ13" s="27">
        <f t="shared" si="38"/>
        <v>0</v>
      </c>
      <c r="CR13" s="27">
        <f t="shared" si="39"/>
        <v>0</v>
      </c>
      <c r="CS13" s="27">
        <f t="shared" si="40"/>
        <v>0</v>
      </c>
      <c r="CT13" s="29">
        <f t="shared" si="91"/>
        <v>0.78369822819341683</v>
      </c>
      <c r="CU13" s="9">
        <f t="shared" si="41"/>
        <v>0.16947969378847538</v>
      </c>
      <c r="CV13" s="9">
        <f t="shared" si="42"/>
        <v>4.6728378969231786E-2</v>
      </c>
      <c r="CW13" s="9">
        <f t="shared" si="43"/>
        <v>5.7501041452457749E-5</v>
      </c>
      <c r="CX13" s="9">
        <f t="shared" si="44"/>
        <v>2.5374104155028594E-5</v>
      </c>
      <c r="CY13" s="9">
        <f t="shared" si="45"/>
        <v>9.216856740363594E-6</v>
      </c>
      <c r="CZ13" s="9">
        <f t="shared" si="46"/>
        <v>1.6070465280292422E-6</v>
      </c>
      <c r="DA13">
        <f t="shared" si="121"/>
        <v>-0.68622352184861934</v>
      </c>
      <c r="DB13">
        <f t="shared" si="47"/>
        <v>-0.6829525750405544</v>
      </c>
      <c r="DC13">
        <f t="shared" si="48"/>
        <v>100</v>
      </c>
      <c r="DD13">
        <f t="shared" si="92"/>
        <v>19.420001543878705</v>
      </c>
      <c r="DE13">
        <f t="shared" si="93"/>
        <v>135.89914028678413</v>
      </c>
      <c r="DF13">
        <f t="shared" si="49"/>
        <v>16.833485887173079</v>
      </c>
      <c r="DG13">
        <f t="shared" si="50"/>
        <v>3.6683998696893552</v>
      </c>
      <c r="DH13">
        <f t="shared" si="51"/>
        <v>0.68912579606548396</v>
      </c>
      <c r="DI13">
        <f t="shared" si="52"/>
        <v>3.578057041258948E-3</v>
      </c>
      <c r="DJ13">
        <f t="shared" si="53"/>
        <v>1.5789277853793964E-3</v>
      </c>
      <c r="DK13">
        <f t="shared" si="54"/>
        <v>5.735276844576763E-4</v>
      </c>
      <c r="DL13">
        <f t="shared" si="55"/>
        <v>1E-4</v>
      </c>
      <c r="DM13">
        <f t="shared" si="56"/>
        <v>1962</v>
      </c>
      <c r="DN13" s="9">
        <f t="shared" si="94"/>
        <v>3.7894977473505988E-2</v>
      </c>
      <c r="DO13" s="9">
        <f t="shared" si="57"/>
        <v>0.49853409216703032</v>
      </c>
      <c r="DP13" s="9">
        <f t="shared" si="58"/>
        <v>0.56821460791654788</v>
      </c>
      <c r="DQ13" s="9">
        <f t="shared" si="59"/>
        <v>0.63023530678252282</v>
      </c>
      <c r="DR13" s="9">
        <f t="shared" si="60"/>
        <v>0.745340027530487</v>
      </c>
      <c r="DS13" s="9" t="str">
        <f t="shared" si="61"/>
        <v/>
      </c>
      <c r="DT13" s="9" t="str">
        <f t="shared" si="62"/>
        <v/>
      </c>
      <c r="DU13" s="9" t="str">
        <f t="shared" si="63"/>
        <v/>
      </c>
      <c r="DV13" s="9" t="str">
        <f t="shared" si="64"/>
        <v/>
      </c>
      <c r="DW13">
        <f t="shared" si="95"/>
        <v>0.58678120489705765</v>
      </c>
      <c r="DX13">
        <f t="shared" si="96"/>
        <v>1962</v>
      </c>
      <c r="DY13" s="9">
        <f t="shared" si="97"/>
        <v>6.4581103070869686E-2</v>
      </c>
      <c r="DZ13" s="9">
        <f t="shared" si="98"/>
        <v>0.84960814696593934</v>
      </c>
      <c r="EA13" s="9">
        <f t="shared" si="99"/>
        <v>0.96835856904488438</v>
      </c>
      <c r="EB13" s="9">
        <f t="shared" si="100"/>
        <v>1.0740550336698131</v>
      </c>
      <c r="EC13" s="9">
        <f t="shared" si="101"/>
        <v>1.2702179642261142</v>
      </c>
      <c r="ED13" s="9" t="str">
        <f t="shared" si="102"/>
        <v/>
      </c>
      <c r="EE13" s="9" t="str">
        <f t="shared" si="103"/>
        <v/>
      </c>
      <c r="EF13" s="9" t="str">
        <f t="shared" si="104"/>
        <v/>
      </c>
      <c r="EG13" s="9" t="str">
        <f t="shared" si="105"/>
        <v/>
      </c>
      <c r="EI13">
        <f t="shared" si="106"/>
        <v>171</v>
      </c>
      <c r="EJ13" s="8">
        <f t="shared" si="107"/>
        <v>506.13282534203483</v>
      </c>
      <c r="EK13" s="8">
        <f t="shared" si="66"/>
        <v>78.092223553315307</v>
      </c>
      <c r="EL13" s="8">
        <f t="shared" si="67"/>
        <v>15.104412573075518</v>
      </c>
      <c r="EM13" s="8">
        <f t="shared" si="68"/>
        <v>0</v>
      </c>
      <c r="EN13" s="8">
        <f t="shared" si="69"/>
        <v>0</v>
      </c>
      <c r="EO13" s="8">
        <f t="shared" si="70"/>
        <v>0</v>
      </c>
      <c r="EP13" s="8">
        <f t="shared" si="71"/>
        <v>0</v>
      </c>
      <c r="EQ13">
        <f t="shared" si="108"/>
        <v>599.32946146842562</v>
      </c>
      <c r="ES13" s="8">
        <f t="shared" si="109"/>
        <v>525.40644799489883</v>
      </c>
      <c r="ET13" s="8">
        <f t="shared" si="72"/>
        <v>79.132114902634427</v>
      </c>
      <c r="EU13" s="8">
        <f t="shared" si="73"/>
        <v>12.664404759085706</v>
      </c>
      <c r="EV13" s="8">
        <f t="shared" si="74"/>
        <v>0</v>
      </c>
      <c r="EW13" s="8">
        <f t="shared" si="75"/>
        <v>0</v>
      </c>
      <c r="EX13" s="8">
        <f t="shared" si="76"/>
        <v>0</v>
      </c>
      <c r="EY13" s="8">
        <f t="shared" si="77"/>
        <v>0</v>
      </c>
      <c r="EZ13">
        <f t="shared" si="110"/>
        <v>617.20296765661897</v>
      </c>
      <c r="FB13">
        <f t="shared" si="111"/>
        <v>711.71472580228999</v>
      </c>
      <c r="FC13">
        <f t="shared" si="112"/>
        <v>7.5363314527538297</v>
      </c>
      <c r="FD13">
        <f t="shared" si="113"/>
        <v>745.28141245264669</v>
      </c>
      <c r="FE13">
        <f t="shared" si="114"/>
        <v>-8.1568490094094841</v>
      </c>
      <c r="FG13">
        <f t="shared" si="115"/>
        <v>8.1437790565235275</v>
      </c>
      <c r="FJ13">
        <v>17.141983647303487</v>
      </c>
    </row>
    <row r="14" spans="1:166" x14ac:dyDescent="0.3">
      <c r="A14" t="s">
        <v>102</v>
      </c>
      <c r="B14">
        <v>100</v>
      </c>
      <c r="D14">
        <v>1963</v>
      </c>
      <c r="E14">
        <f t="shared" si="78"/>
        <v>31.754743186224637</v>
      </c>
      <c r="F14">
        <f t="shared" si="79"/>
        <v>6.749936935720606E-2</v>
      </c>
      <c r="G14">
        <f t="shared" si="80"/>
        <v>0.37337706059556253</v>
      </c>
      <c r="H14">
        <f t="shared" si="81"/>
        <v>0.61817934874876923</v>
      </c>
      <c r="I14" s="2">
        <v>2.3037431862246414</v>
      </c>
      <c r="J14">
        <f t="shared" si="82"/>
        <v>2.3037431862246414</v>
      </c>
      <c r="K14" s="2">
        <v>18.206</v>
      </c>
      <c r="L14">
        <f t="shared" si="116"/>
        <v>11.244999999999999</v>
      </c>
      <c r="M14" s="25">
        <f t="shared" si="117"/>
        <v>3.0730365210737451</v>
      </c>
      <c r="N14" s="25">
        <f t="shared" si="0"/>
        <v>77.613871109170233</v>
      </c>
      <c r="O14" s="25">
        <f t="shared" si="1"/>
        <v>87.463347138252757</v>
      </c>
      <c r="P14" s="25">
        <f t="shared" si="2"/>
        <v>8.3523556726619752</v>
      </c>
      <c r="Q14" s="25">
        <f t="shared" si="3"/>
        <v>1.103141315257242</v>
      </c>
      <c r="R14" s="25">
        <f t="shared" si="4"/>
        <v>0.31518323293064054</v>
      </c>
      <c r="S14" s="25">
        <f t="shared" si="5"/>
        <v>0</v>
      </c>
      <c r="T14" s="25">
        <f t="shared" si="6"/>
        <v>0</v>
      </c>
      <c r="U14" s="25">
        <f t="shared" si="7"/>
        <v>0</v>
      </c>
      <c r="V14">
        <f t="shared" si="8"/>
        <v>177.92093498934659</v>
      </c>
      <c r="W14">
        <f t="shared" si="118"/>
        <v>1.8980718268413854</v>
      </c>
      <c r="X14">
        <f t="shared" si="9"/>
        <v>47.938480754840121</v>
      </c>
      <c r="Y14">
        <f t="shared" si="10"/>
        <v>54.022044302408666</v>
      </c>
      <c r="Z14">
        <f t="shared" si="11"/>
        <v>5.1588618883381248</v>
      </c>
      <c r="AA14">
        <f t="shared" si="12"/>
        <v>0.68135911732767684</v>
      </c>
      <c r="AB14">
        <f t="shared" si="13"/>
        <v>0.19467403352219337</v>
      </c>
      <c r="AC14">
        <f t="shared" si="14"/>
        <v>0</v>
      </c>
      <c r="AD14">
        <f t="shared" si="15"/>
        <v>0</v>
      </c>
      <c r="AE14">
        <f t="shared" si="16"/>
        <v>0</v>
      </c>
      <c r="AF14">
        <f t="shared" si="17"/>
        <v>109.89349192327816</v>
      </c>
      <c r="AG14" s="2">
        <v>5.6300000000000003E-2</v>
      </c>
      <c r="AH14" s="2">
        <v>8.9800000000000005E-2</v>
      </c>
      <c r="AI14" s="2">
        <v>0.1125</v>
      </c>
      <c r="AJ14" s="2">
        <v>0.123</v>
      </c>
      <c r="AK14" s="2">
        <v>0.1366</v>
      </c>
      <c r="AL14" s="2">
        <v>0.1447</v>
      </c>
      <c r="AM14" s="2">
        <v>0.14990000000000001</v>
      </c>
      <c r="AN14" s="2">
        <v>0.1648</v>
      </c>
      <c r="AO14" s="2">
        <v>0.15659999999999999</v>
      </c>
      <c r="AP14">
        <f t="shared" si="119"/>
        <v>0.10232635075287866</v>
      </c>
      <c r="AQ14" s="2">
        <v>39</v>
      </c>
      <c r="AR14" s="2">
        <v>985</v>
      </c>
      <c r="AS14" s="2">
        <v>1110</v>
      </c>
      <c r="AT14" s="2">
        <v>106</v>
      </c>
      <c r="AU14" s="2">
        <v>14</v>
      </c>
      <c r="AV14" s="2">
        <v>4</v>
      </c>
      <c r="AW14" s="2">
        <v>0</v>
      </c>
      <c r="AX14" s="2">
        <v>0</v>
      </c>
      <c r="AY14" s="2">
        <v>0</v>
      </c>
      <c r="AZ14">
        <f t="shared" si="83"/>
        <v>2258</v>
      </c>
      <c r="BA14">
        <f t="shared" si="18"/>
        <v>1963</v>
      </c>
      <c r="BB14">
        <f t="shared" si="122"/>
        <v>1.1555852531367534</v>
      </c>
      <c r="BC14">
        <f t="shared" si="123"/>
        <v>0.54865198551453964</v>
      </c>
      <c r="BD14">
        <f t="shared" si="84"/>
        <v>0.38885460542915068</v>
      </c>
      <c r="BE14">
        <f t="shared" si="19"/>
        <v>9.821071444813164</v>
      </c>
      <c r="BF14">
        <f t="shared" si="20"/>
        <v>11.067400308368134</v>
      </c>
      <c r="BG14">
        <f t="shared" si="21"/>
        <v>1.0568868762946146</v>
      </c>
      <c r="BH14">
        <f t="shared" si="22"/>
        <v>0.13958883271815664</v>
      </c>
      <c r="BI14">
        <f t="shared" si="23"/>
        <v>3.9882523633759041E-2</v>
      </c>
      <c r="BJ14">
        <f t="shared" si="24"/>
        <v>0</v>
      </c>
      <c r="BK14">
        <f t="shared" si="25"/>
        <v>0</v>
      </c>
      <c r="BL14">
        <f t="shared" si="26"/>
        <v>0</v>
      </c>
      <c r="BM14" s="23">
        <f t="shared" si="85"/>
        <v>400.37741407652311</v>
      </c>
      <c r="BN14" s="23">
        <f t="shared" si="27"/>
        <v>209.20709813825891</v>
      </c>
      <c r="BO14" s="23">
        <f t="shared" si="28"/>
        <v>144.84007022868275</v>
      </c>
      <c r="BP14" s="23">
        <f t="shared" si="29"/>
        <v>13.796865880558473</v>
      </c>
      <c r="BQ14" s="23">
        <f t="shared" si="30"/>
        <v>2.2463597090719274</v>
      </c>
      <c r="BR14" s="23">
        <f t="shared" si="31"/>
        <v>0.35811491155105701</v>
      </c>
      <c r="BS14" s="23">
        <f t="shared" si="32"/>
        <v>1.4523652542592044E-3</v>
      </c>
      <c r="BT14" s="23">
        <f t="shared" si="33"/>
        <v>4.6116045132256906E-4</v>
      </c>
      <c r="BU14" s="23">
        <f t="shared" si="34"/>
        <v>1E-4</v>
      </c>
      <c r="BV14">
        <f t="shared" si="86"/>
        <v>13.620104368842913</v>
      </c>
      <c r="BW14">
        <v>1.0321225358550921</v>
      </c>
      <c r="BX14" s="2">
        <v>11.244999999999999</v>
      </c>
      <c r="CJ14">
        <v>1963</v>
      </c>
      <c r="CK14">
        <f t="shared" si="88"/>
        <v>1234</v>
      </c>
      <c r="CL14">
        <f t="shared" si="89"/>
        <v>161.24342425556981</v>
      </c>
      <c r="CM14" s="9">
        <f t="shared" si="120"/>
        <v>0.89951377633711505</v>
      </c>
      <c r="CN14" s="9">
        <f t="shared" si="90"/>
        <v>8.5899513776337116E-2</v>
      </c>
      <c r="CO14" s="9">
        <f t="shared" si="36"/>
        <v>1.1345218800648298E-2</v>
      </c>
      <c r="CP14" s="9">
        <f t="shared" si="37"/>
        <v>3.2414910858995136E-3</v>
      </c>
      <c r="CQ14" s="27">
        <f t="shared" si="38"/>
        <v>0</v>
      </c>
      <c r="CR14" s="27">
        <f t="shared" si="39"/>
        <v>0</v>
      </c>
      <c r="CS14" s="27">
        <f t="shared" si="40"/>
        <v>0</v>
      </c>
      <c r="CT14" s="29">
        <f t="shared" si="91"/>
        <v>0.89826962493126017</v>
      </c>
      <c r="CU14" s="9">
        <f t="shared" si="41"/>
        <v>8.5565448291959667E-2</v>
      </c>
      <c r="CV14" s="9">
        <f t="shared" si="42"/>
        <v>1.3931481047633058E-2</v>
      </c>
      <c r="CW14" s="9">
        <f t="shared" si="43"/>
        <v>2.2209582387896151E-3</v>
      </c>
      <c r="CX14" s="9">
        <f t="shared" si="44"/>
        <v>9.0072836208018916E-6</v>
      </c>
      <c r="CY14" s="9">
        <f t="shared" si="45"/>
        <v>2.8600264069785115E-6</v>
      </c>
      <c r="CZ14" s="9">
        <f t="shared" si="46"/>
        <v>6.2018032959595694E-7</v>
      </c>
      <c r="DA14">
        <f t="shared" si="121"/>
        <v>-0.37597164880753048</v>
      </c>
      <c r="DB14">
        <f t="shared" si="47"/>
        <v>-0.3719855653269028</v>
      </c>
      <c r="DC14">
        <f t="shared" si="48"/>
        <v>100</v>
      </c>
      <c r="DD14">
        <f t="shared" si="92"/>
        <v>25.513041732760101</v>
      </c>
      <c r="DE14">
        <f t="shared" si="93"/>
        <v>79.116528601865852</v>
      </c>
      <c r="DF14">
        <f t="shared" si="49"/>
        <v>39.124727124334107</v>
      </c>
      <c r="DG14">
        <f t="shared" si="50"/>
        <v>4.3876233316018833</v>
      </c>
      <c r="DH14">
        <f t="shared" si="51"/>
        <v>1.0036295610965289</v>
      </c>
      <c r="DI14">
        <f t="shared" si="52"/>
        <v>3.0491549866574208E-3</v>
      </c>
      <c r="DJ14">
        <f t="shared" si="53"/>
        <v>1.4523652542592044E-3</v>
      </c>
      <c r="DK14">
        <f t="shared" si="54"/>
        <v>4.6116045132256906E-4</v>
      </c>
      <c r="DL14">
        <f t="shared" si="55"/>
        <v>1E-4</v>
      </c>
      <c r="DM14">
        <f t="shared" si="56"/>
        <v>1963</v>
      </c>
      <c r="DN14" s="9">
        <f t="shared" si="94"/>
        <v>7.6828110412388555E-3</v>
      </c>
      <c r="DO14" s="9">
        <f t="shared" si="57"/>
        <v>0.38926434513137109</v>
      </c>
      <c r="DP14" s="9">
        <f t="shared" si="58"/>
        <v>0.6538207482167524</v>
      </c>
      <c r="DQ14" s="9">
        <f t="shared" si="59"/>
        <v>0.6556019966647183</v>
      </c>
      <c r="DR14" s="9">
        <f t="shared" si="60"/>
        <v>0.52361712782287462</v>
      </c>
      <c r="DS14" s="9">
        <f t="shared" si="61"/>
        <v>0.99041846429707259</v>
      </c>
      <c r="DT14" s="9" t="str">
        <f t="shared" si="62"/>
        <v/>
      </c>
      <c r="DU14" s="9" t="str">
        <f t="shared" si="63"/>
        <v/>
      </c>
      <c r="DV14" s="9" t="str">
        <f t="shared" si="64"/>
        <v/>
      </c>
      <c r="DW14">
        <f t="shared" si="95"/>
        <v>0.65284171877660135</v>
      </c>
      <c r="DX14">
        <f t="shared" si="96"/>
        <v>1963</v>
      </c>
      <c r="DY14" s="9">
        <f t="shared" si="97"/>
        <v>1.1768259932340305E-2</v>
      </c>
      <c r="DZ14" s="9">
        <f t="shared" si="98"/>
        <v>0.59626144275956583</v>
      </c>
      <c r="EA14" s="9">
        <f t="shared" si="99"/>
        <v>1.0014996428873844</v>
      </c>
      <c r="EB14" s="9">
        <f t="shared" si="100"/>
        <v>1.0042280966560924</v>
      </c>
      <c r="EC14" s="9">
        <f t="shared" si="101"/>
        <v>0.80205831331384836</v>
      </c>
      <c r="ED14" s="9">
        <f t="shared" si="102"/>
        <v>1.5170881942916825</v>
      </c>
      <c r="EE14" s="9" t="str">
        <f t="shared" si="103"/>
        <v/>
      </c>
      <c r="EF14" s="9" t="str">
        <f t="shared" si="104"/>
        <v/>
      </c>
      <c r="EG14" s="9" t="str">
        <f t="shared" si="105"/>
        <v/>
      </c>
      <c r="EI14">
        <f t="shared" si="106"/>
        <v>1234</v>
      </c>
      <c r="EJ14" s="8">
        <f t="shared" si="107"/>
        <v>6677.8730479355127</v>
      </c>
      <c r="EK14" s="8">
        <f t="shared" si="66"/>
        <v>391.57598821732955</v>
      </c>
      <c r="EL14" s="8">
        <f t="shared" si="67"/>
        <v>25.191221182738683</v>
      </c>
      <c r="EM14" s="8">
        <f t="shared" si="68"/>
        <v>3.1780538303479458</v>
      </c>
      <c r="EN14" s="8">
        <f t="shared" si="69"/>
        <v>0</v>
      </c>
      <c r="EO14" s="8">
        <f t="shared" si="70"/>
        <v>0</v>
      </c>
      <c r="EP14" s="8">
        <f t="shared" si="71"/>
        <v>0</v>
      </c>
      <c r="EQ14">
        <f t="shared" si="108"/>
        <v>7097.8183111659291</v>
      </c>
      <c r="ES14" s="8">
        <f t="shared" si="109"/>
        <v>6873.6286217479201</v>
      </c>
      <c r="ET14" s="8">
        <f t="shared" si="72"/>
        <v>405.95163670918214</v>
      </c>
      <c r="EU14" s="8">
        <f t="shared" si="73"/>
        <v>24.336891687651498</v>
      </c>
      <c r="EV14" s="8">
        <f t="shared" si="74"/>
        <v>-0.11547652326254387</v>
      </c>
      <c r="EW14" s="8">
        <f t="shared" si="75"/>
        <v>0</v>
      </c>
      <c r="EX14" s="8">
        <f t="shared" si="76"/>
        <v>0</v>
      </c>
      <c r="EY14" s="8">
        <f t="shared" si="77"/>
        <v>0</v>
      </c>
      <c r="EZ14">
        <f t="shared" si="110"/>
        <v>7303.8016736214913</v>
      </c>
      <c r="FB14">
        <f t="shared" si="111"/>
        <v>7554.1100104767211</v>
      </c>
      <c r="FC14">
        <f t="shared" si="112"/>
        <v>160.8490406023252</v>
      </c>
      <c r="FD14">
        <f t="shared" si="113"/>
        <v>7933.4396827229884</v>
      </c>
      <c r="FE14">
        <f t="shared" si="114"/>
        <v>-12.497269188380415</v>
      </c>
      <c r="FG14">
        <f t="shared" si="115"/>
        <v>52.813409274667698</v>
      </c>
      <c r="FJ14">
        <v>11.592823404521894</v>
      </c>
    </row>
    <row r="15" spans="1:166" x14ac:dyDescent="0.3">
      <c r="A15" s="16" t="s">
        <v>143</v>
      </c>
      <c r="B15" s="17">
        <v>4.3865558313568899E-2</v>
      </c>
      <c r="D15">
        <v>1964</v>
      </c>
      <c r="E15">
        <f t="shared" si="78"/>
        <v>46.266535905828796</v>
      </c>
      <c r="F15">
        <f t="shared" si="79"/>
        <v>5.8725721940003729E-2</v>
      </c>
      <c r="G15">
        <f t="shared" si="80"/>
        <v>0.39776646287287654</v>
      </c>
      <c r="H15">
        <f t="shared" si="81"/>
        <v>0.48302178208826396</v>
      </c>
      <c r="I15" s="2">
        <v>2.2395359058287978</v>
      </c>
      <c r="J15">
        <f t="shared" si="82"/>
        <v>2.2395359058287978</v>
      </c>
      <c r="K15" s="2">
        <v>21.265999999999998</v>
      </c>
      <c r="L15">
        <f t="shared" si="116"/>
        <v>22.760999999999999</v>
      </c>
      <c r="M15" s="25">
        <f t="shared" si="117"/>
        <v>5.2684908768843899</v>
      </c>
      <c r="N15" s="25">
        <f t="shared" si="0"/>
        <v>125.21446650728568</v>
      </c>
      <c r="O15" s="25">
        <f t="shared" si="1"/>
        <v>53.562990581657971</v>
      </c>
      <c r="P15" s="25">
        <f t="shared" si="2"/>
        <v>21.600812595226</v>
      </c>
      <c r="Q15" s="25">
        <f t="shared" si="3"/>
        <v>1.7561636256281301</v>
      </c>
      <c r="R15" s="25">
        <f t="shared" si="4"/>
        <v>0.52684908768843897</v>
      </c>
      <c r="S15" s="25">
        <f t="shared" si="5"/>
        <v>0</v>
      </c>
      <c r="T15" s="25">
        <f t="shared" si="6"/>
        <v>0</v>
      </c>
      <c r="U15" s="25">
        <f t="shared" si="7"/>
        <v>0</v>
      </c>
      <c r="V15">
        <f t="shared" si="8"/>
        <v>207.9297732743706</v>
      </c>
      <c r="W15">
        <f t="shared" si="118"/>
        <v>5.6388658350778522</v>
      </c>
      <c r="X15">
        <f t="shared" si="9"/>
        <v>134.0170446803503</v>
      </c>
      <c r="Y15">
        <f t="shared" si="10"/>
        <v>57.3284693232915</v>
      </c>
      <c r="Z15">
        <f t="shared" si="11"/>
        <v>23.119349923819197</v>
      </c>
      <c r="AA15">
        <f t="shared" si="12"/>
        <v>1.8796219450259506</v>
      </c>
      <c r="AB15">
        <f t="shared" si="13"/>
        <v>0.56388658350778531</v>
      </c>
      <c r="AC15">
        <f t="shared" si="14"/>
        <v>0</v>
      </c>
      <c r="AD15">
        <f t="shared" si="15"/>
        <v>0</v>
      </c>
      <c r="AE15">
        <f t="shared" si="16"/>
        <v>0</v>
      </c>
      <c r="AF15">
        <f t="shared" si="17"/>
        <v>222.54723829107257</v>
      </c>
      <c r="AG15" s="2">
        <v>6.13E-2</v>
      </c>
      <c r="AH15" s="2">
        <v>9.2700000000000005E-2</v>
      </c>
      <c r="AI15" s="2">
        <v>0.1137</v>
      </c>
      <c r="AJ15" s="2">
        <v>0.1353</v>
      </c>
      <c r="AK15" s="2">
        <v>0.1449</v>
      </c>
      <c r="AL15" s="2">
        <v>0.13</v>
      </c>
      <c r="AM15" s="2">
        <v>0.1522</v>
      </c>
      <c r="AN15" s="2">
        <v>0.16400000000000001</v>
      </c>
      <c r="AO15" s="2">
        <v>0.15659999999999999</v>
      </c>
      <c r="AP15">
        <f t="shared" si="119"/>
        <v>0.10227491554054055</v>
      </c>
      <c r="AQ15" s="2">
        <v>30</v>
      </c>
      <c r="AR15" s="2">
        <v>713</v>
      </c>
      <c r="AS15" s="2">
        <v>305</v>
      </c>
      <c r="AT15" s="2">
        <v>123</v>
      </c>
      <c r="AU15" s="2">
        <v>10</v>
      </c>
      <c r="AV15" s="2">
        <v>3</v>
      </c>
      <c r="AW15" s="2">
        <v>0</v>
      </c>
      <c r="AX15" s="2">
        <v>0</v>
      </c>
      <c r="AY15" s="2">
        <v>0</v>
      </c>
      <c r="AZ15">
        <f t="shared" si="83"/>
        <v>1184</v>
      </c>
      <c r="BA15">
        <f t="shared" si="18"/>
        <v>1964</v>
      </c>
      <c r="BB15">
        <f t="shared" si="122"/>
        <v>0.1943981078926216</v>
      </c>
      <c r="BC15">
        <f t="shared" si="123"/>
        <v>0.77984252935532561</v>
      </c>
      <c r="BD15">
        <f t="shared" si="84"/>
        <v>0.55482810534722282</v>
      </c>
      <c r="BE15">
        <f t="shared" si="19"/>
        <v>13.186414637085663</v>
      </c>
      <c r="BF15">
        <f t="shared" si="20"/>
        <v>5.6407524043634316</v>
      </c>
      <c r="BG15">
        <f t="shared" si="21"/>
        <v>2.2747952319236133</v>
      </c>
      <c r="BH15">
        <f t="shared" si="22"/>
        <v>0.1849427017824076</v>
      </c>
      <c r="BI15">
        <f t="shared" si="23"/>
        <v>5.5482810534722281E-2</v>
      </c>
      <c r="BJ15">
        <f t="shared" si="24"/>
        <v>0</v>
      </c>
      <c r="BK15">
        <f t="shared" si="25"/>
        <v>0</v>
      </c>
      <c r="BL15">
        <f t="shared" si="26"/>
        <v>0</v>
      </c>
      <c r="BM15" s="23">
        <f t="shared" si="85"/>
        <v>216.68566964443926</v>
      </c>
      <c r="BN15" s="23">
        <f t="shared" si="27"/>
        <v>293.01728725268362</v>
      </c>
      <c r="BO15" s="23">
        <f t="shared" si="28"/>
        <v>89.896525373821092</v>
      </c>
      <c r="BP15" s="23">
        <f t="shared" si="29"/>
        <v>34.18713924877796</v>
      </c>
      <c r="BQ15" s="23">
        <f t="shared" si="30"/>
        <v>2.9264155520327457</v>
      </c>
      <c r="BR15" s="23">
        <f t="shared" si="31"/>
        <v>0.58455720974308822</v>
      </c>
      <c r="BS15" s="23">
        <f t="shared" si="32"/>
        <v>1.4338509222146512E-3</v>
      </c>
      <c r="BT15" s="23">
        <f t="shared" si="33"/>
        <v>5.1660766153846874E-4</v>
      </c>
      <c r="BU15" s="23">
        <f t="shared" si="34"/>
        <v>1E-4</v>
      </c>
      <c r="BV15">
        <f t="shared" si="86"/>
        <v>14.629983451715868</v>
      </c>
      <c r="BW15">
        <v>1.1469145577004811</v>
      </c>
      <c r="BX15" s="2">
        <v>22.760999999999999</v>
      </c>
      <c r="CJ15">
        <v>1964</v>
      </c>
      <c r="CK15">
        <f t="shared" si="88"/>
        <v>441</v>
      </c>
      <c r="CL15">
        <f t="shared" si="89"/>
        <v>127.59668784295864</v>
      </c>
      <c r="CM15" s="9">
        <f t="shared" si="120"/>
        <v>0.69160997732426299</v>
      </c>
      <c r="CN15" s="9">
        <f t="shared" si="90"/>
        <v>0.27891156462585032</v>
      </c>
      <c r="CO15" s="9">
        <f t="shared" si="36"/>
        <v>2.2675736961451247E-2</v>
      </c>
      <c r="CP15" s="9">
        <f t="shared" si="37"/>
        <v>6.8027210884353739E-3</v>
      </c>
      <c r="CQ15" s="27">
        <f t="shared" si="38"/>
        <v>0</v>
      </c>
      <c r="CR15" s="27">
        <f t="shared" si="39"/>
        <v>0</v>
      </c>
      <c r="CS15" s="27">
        <f t="shared" si="40"/>
        <v>0</v>
      </c>
      <c r="CT15" s="29">
        <f t="shared" si="91"/>
        <v>0.7045365118290724</v>
      </c>
      <c r="CU15" s="9">
        <f t="shared" si="41"/>
        <v>0.26793124356687259</v>
      </c>
      <c r="CV15" s="9">
        <f t="shared" si="42"/>
        <v>2.2934886488859895E-2</v>
      </c>
      <c r="CW15" s="9">
        <f t="shared" si="43"/>
        <v>4.5812882734271284E-3</v>
      </c>
      <c r="CX15" s="9">
        <f t="shared" si="44"/>
        <v>1.1237367885123966E-5</v>
      </c>
      <c r="CY15" s="9">
        <f t="shared" si="45"/>
        <v>4.0487544800088432E-6</v>
      </c>
      <c r="CZ15" s="9">
        <f t="shared" si="46"/>
        <v>7.8371940283494164E-7</v>
      </c>
      <c r="DA15">
        <f t="shared" si="121"/>
        <v>-0.73178225981623413</v>
      </c>
      <c r="DB15">
        <f t="shared" si="47"/>
        <v>-0.72745587746513507</v>
      </c>
      <c r="DC15">
        <f t="shared" si="48"/>
        <v>100</v>
      </c>
      <c r="DD15">
        <f t="shared" si="92"/>
        <v>13.553866355058675</v>
      </c>
      <c r="DE15">
        <f t="shared" si="93"/>
        <v>100.45575080355732</v>
      </c>
      <c r="DF15">
        <f t="shared" si="49"/>
        <v>25.930993231332344</v>
      </c>
      <c r="DG15">
        <f t="shared" si="50"/>
        <v>10.311531421628349</v>
      </c>
      <c r="DH15">
        <f t="shared" si="51"/>
        <v>0.98530922462220794</v>
      </c>
      <c r="DI15">
        <f t="shared" si="52"/>
        <v>2.2253115199269979E-3</v>
      </c>
      <c r="DJ15">
        <f t="shared" si="53"/>
        <v>1.4338509222146512E-3</v>
      </c>
      <c r="DK15">
        <f t="shared" si="54"/>
        <v>5.1660766153846874E-4</v>
      </c>
      <c r="DL15">
        <f t="shared" si="55"/>
        <v>1E-4</v>
      </c>
      <c r="DM15">
        <f t="shared" si="56"/>
        <v>1964</v>
      </c>
      <c r="DN15" s="9">
        <f t="shared" si="94"/>
        <v>2.4376395517487801E-2</v>
      </c>
      <c r="DO15" s="9">
        <f t="shared" si="57"/>
        <v>0.44746480378271936</v>
      </c>
      <c r="DP15" s="9">
        <f t="shared" si="58"/>
        <v>0.63571893882065877</v>
      </c>
      <c r="DQ15" s="9">
        <f t="shared" si="59"/>
        <v>0.67687953551195224</v>
      </c>
      <c r="DR15" s="9">
        <f t="shared" si="60"/>
        <v>0.64059128853592906</v>
      </c>
      <c r="DS15" s="9">
        <f t="shared" si="61"/>
        <v>0.99579395350964506</v>
      </c>
      <c r="DT15" s="9" t="str">
        <f t="shared" si="62"/>
        <v/>
      </c>
      <c r="DU15" s="9" t="str">
        <f t="shared" si="63"/>
        <v/>
      </c>
      <c r="DV15" s="9" t="str">
        <f t="shared" si="64"/>
        <v/>
      </c>
      <c r="DW15">
        <f t="shared" si="95"/>
        <v>0.64841219418675478</v>
      </c>
      <c r="DX15">
        <f t="shared" si="96"/>
        <v>1964</v>
      </c>
      <c r="DY15" s="9">
        <f t="shared" si="97"/>
        <v>3.7593980705530883E-2</v>
      </c>
      <c r="DZ15" s="9">
        <f t="shared" si="98"/>
        <v>0.69009313488302648</v>
      </c>
      <c r="EA15" s="9">
        <f t="shared" si="99"/>
        <v>0.98042409522847418</v>
      </c>
      <c r="EB15" s="9">
        <f t="shared" si="100"/>
        <v>1.0439031554008658</v>
      </c>
      <c r="EC15" s="9">
        <f t="shared" si="101"/>
        <v>0.9879383735825098</v>
      </c>
      <c r="ED15" s="9">
        <f t="shared" si="102"/>
        <v>1.5357421751738953</v>
      </c>
      <c r="EE15" s="9" t="str">
        <f t="shared" si="103"/>
        <v/>
      </c>
      <c r="EF15" s="9" t="str">
        <f t="shared" si="104"/>
        <v/>
      </c>
      <c r="EG15" s="9" t="str">
        <f t="shared" si="105"/>
        <v/>
      </c>
      <c r="EI15">
        <f t="shared" si="106"/>
        <v>441</v>
      </c>
      <c r="EJ15" s="8">
        <f t="shared" si="107"/>
        <v>1443.4744595107147</v>
      </c>
      <c r="EK15" s="8">
        <f t="shared" si="66"/>
        <v>472.22438392698052</v>
      </c>
      <c r="EL15" s="8">
        <f t="shared" si="67"/>
        <v>15.104412573075518</v>
      </c>
      <c r="EM15" s="8">
        <f t="shared" si="68"/>
        <v>1.791759469228055</v>
      </c>
      <c r="EN15" s="8">
        <f t="shared" si="69"/>
        <v>0</v>
      </c>
      <c r="EO15" s="8">
        <f t="shared" si="70"/>
        <v>0</v>
      </c>
      <c r="EP15" s="8">
        <f t="shared" si="71"/>
        <v>0</v>
      </c>
      <c r="EQ15">
        <f t="shared" si="108"/>
        <v>1932.5950154799989</v>
      </c>
      <c r="ES15" s="8">
        <f t="shared" si="109"/>
        <v>1494.4030305203501</v>
      </c>
      <c r="ET15" s="8">
        <f t="shared" si="72"/>
        <v>488.98362835703523</v>
      </c>
      <c r="EU15" s="8">
        <f t="shared" si="73"/>
        <v>13.119705394857434</v>
      </c>
      <c r="EV15" s="8">
        <f t="shared" si="74"/>
        <v>-1.6019364097534785</v>
      </c>
      <c r="EW15" s="8">
        <f t="shared" si="75"/>
        <v>0</v>
      </c>
      <c r="EX15" s="8">
        <f t="shared" si="76"/>
        <v>0</v>
      </c>
      <c r="EY15" s="8">
        <f t="shared" si="77"/>
        <v>0</v>
      </c>
      <c r="EZ15">
        <f t="shared" si="110"/>
        <v>1994.9044278624892</v>
      </c>
      <c r="FB15">
        <f t="shared" si="111"/>
        <v>2248.2324400074294</v>
      </c>
      <c r="FC15">
        <f t="shared" si="112"/>
        <v>37.404466429702744</v>
      </c>
      <c r="FD15">
        <f t="shared" si="113"/>
        <v>2360.3309485954146</v>
      </c>
      <c r="FE15">
        <f t="shared" si="114"/>
        <v>-12.384629775792064</v>
      </c>
      <c r="FG15">
        <f t="shared" si="115"/>
        <v>19.489781087472657</v>
      </c>
      <c r="FJ15">
        <v>14.161669935604294</v>
      </c>
    </row>
    <row r="16" spans="1:166" x14ac:dyDescent="0.3">
      <c r="A16" s="14" t="s">
        <v>163</v>
      </c>
      <c r="B16" s="8">
        <f>FF2</f>
        <v>1892.7472654943087</v>
      </c>
      <c r="D16">
        <v>1965</v>
      </c>
      <c r="E16">
        <f t="shared" si="78"/>
        <v>30.112328625432951</v>
      </c>
      <c r="F16">
        <f t="shared" si="79"/>
        <v>6.9851104691270649E-2</v>
      </c>
      <c r="G16">
        <f t="shared" si="80"/>
        <v>0.37370410159670803</v>
      </c>
      <c r="H16">
        <f t="shared" si="81"/>
        <v>0.57436374700218351</v>
      </c>
      <c r="I16" s="2">
        <v>2.1753286254329538</v>
      </c>
      <c r="J16">
        <f t="shared" si="82"/>
        <v>2.1753286254329538</v>
      </c>
      <c r="K16" s="2">
        <v>16.045999999999999</v>
      </c>
      <c r="L16">
        <f t="shared" si="116"/>
        <v>11.891</v>
      </c>
      <c r="M16" s="25">
        <f t="shared" si="117"/>
        <v>2.84444146809374</v>
      </c>
      <c r="N16" s="25">
        <f t="shared" si="0"/>
        <v>44.720940859473799</v>
      </c>
      <c r="O16" s="25">
        <f t="shared" si="1"/>
        <v>64.948080188140395</v>
      </c>
      <c r="P16" s="25">
        <f t="shared" si="2"/>
        <v>12.958011132427037</v>
      </c>
      <c r="Q16" s="25">
        <f t="shared" si="3"/>
        <v>4.2666622021406093</v>
      </c>
      <c r="R16" s="25">
        <f t="shared" si="4"/>
        <v>0.47407357801562333</v>
      </c>
      <c r="S16" s="25">
        <f t="shared" si="5"/>
        <v>0</v>
      </c>
      <c r="T16" s="25">
        <f t="shared" si="6"/>
        <v>0</v>
      </c>
      <c r="U16" s="25">
        <f t="shared" si="7"/>
        <v>0</v>
      </c>
      <c r="V16">
        <f t="shared" si="8"/>
        <v>130.21220942829123</v>
      </c>
      <c r="W16">
        <f t="shared" si="118"/>
        <v>2.1078931507604799</v>
      </c>
      <c r="X16">
        <f t="shared" si="9"/>
        <v>33.140764536956432</v>
      </c>
      <c r="Y16">
        <f t="shared" si="10"/>
        <v>48.130226942364288</v>
      </c>
      <c r="Z16">
        <f t="shared" si="11"/>
        <v>9.6026243534644085</v>
      </c>
      <c r="AA16">
        <f t="shared" si="12"/>
        <v>3.1618397261407196</v>
      </c>
      <c r="AB16">
        <f t="shared" si="13"/>
        <v>0.35131552512674663</v>
      </c>
      <c r="AC16">
        <f t="shared" si="14"/>
        <v>0</v>
      </c>
      <c r="AD16">
        <f t="shared" si="15"/>
        <v>0</v>
      </c>
      <c r="AE16">
        <f t="shared" si="16"/>
        <v>0</v>
      </c>
      <c r="AF16">
        <f t="shared" si="17"/>
        <v>96.494664234813087</v>
      </c>
      <c r="AG16" s="2">
        <v>6.8699999999999997E-2</v>
      </c>
      <c r="AH16" s="2">
        <v>0.1067</v>
      </c>
      <c r="AI16" s="2">
        <v>0.12889999999999999</v>
      </c>
      <c r="AJ16" s="2">
        <v>0.1467</v>
      </c>
      <c r="AK16" s="2">
        <v>0.17130000000000001</v>
      </c>
      <c r="AL16" s="2">
        <v>0.15870000000000001</v>
      </c>
      <c r="AM16" s="2">
        <v>0.15529999999999999</v>
      </c>
      <c r="AN16" s="2">
        <v>0.1668</v>
      </c>
      <c r="AO16" s="2">
        <v>0.15820000000000001</v>
      </c>
      <c r="AP16">
        <f t="shared" si="119"/>
        <v>0.12322961165048542</v>
      </c>
      <c r="AQ16" s="2">
        <v>18</v>
      </c>
      <c r="AR16" s="2">
        <v>283</v>
      </c>
      <c r="AS16" s="2">
        <v>411</v>
      </c>
      <c r="AT16" s="2">
        <v>82</v>
      </c>
      <c r="AU16" s="2">
        <v>27</v>
      </c>
      <c r="AV16" s="2">
        <v>3</v>
      </c>
      <c r="AW16" s="2">
        <v>0</v>
      </c>
      <c r="AX16" s="2">
        <v>0</v>
      </c>
      <c r="AY16" s="2">
        <v>0</v>
      </c>
      <c r="AZ16">
        <f t="shared" si="83"/>
        <v>824</v>
      </c>
      <c r="BA16">
        <f t="shared" si="18"/>
        <v>1965</v>
      </c>
      <c r="BB16">
        <f t="shared" si="122"/>
        <v>0.98954422703660161</v>
      </c>
      <c r="BC16">
        <f t="shared" si="123"/>
        <v>0.65134715198986115</v>
      </c>
      <c r="BD16">
        <f t="shared" si="84"/>
        <v>0.38561603819723589</v>
      </c>
      <c r="BE16">
        <f t="shared" si="19"/>
        <v>6.0627410449898758</v>
      </c>
      <c r="BF16">
        <f t="shared" si="20"/>
        <v>8.8048995388368869</v>
      </c>
      <c r="BG16">
        <f t="shared" si="21"/>
        <v>1.7566952851207416</v>
      </c>
      <c r="BH16">
        <f t="shared" si="22"/>
        <v>0.57842405729585389</v>
      </c>
      <c r="BI16">
        <f t="shared" si="23"/>
        <v>6.426933969953931E-2</v>
      </c>
      <c r="BJ16">
        <f t="shared" si="24"/>
        <v>0</v>
      </c>
      <c r="BK16">
        <f t="shared" si="25"/>
        <v>0</v>
      </c>
      <c r="BL16">
        <f t="shared" si="26"/>
        <v>0</v>
      </c>
      <c r="BM16" s="23">
        <f t="shared" si="85"/>
        <v>155.05852282605952</v>
      </c>
      <c r="BN16" s="23">
        <f t="shared" si="27"/>
        <v>150.49943405103713</v>
      </c>
      <c r="BO16" s="23">
        <f t="shared" si="28"/>
        <v>110.35482402035031</v>
      </c>
      <c r="BP16" s="23">
        <f t="shared" si="29"/>
        <v>21.906392985778663</v>
      </c>
      <c r="BQ16" s="23">
        <f t="shared" si="30"/>
        <v>6.5746686270333932</v>
      </c>
      <c r="BR16" s="23">
        <f t="shared" si="31"/>
        <v>0.54040801752493284</v>
      </c>
      <c r="BS16" s="23">
        <f t="shared" si="32"/>
        <v>9.5366491206363231E-4</v>
      </c>
      <c r="BT16" s="23">
        <f t="shared" si="33"/>
        <v>4.5781694982419005E-4</v>
      </c>
      <c r="BU16" s="23">
        <f t="shared" si="34"/>
        <v>1E-4</v>
      </c>
      <c r="BV16">
        <f t="shared" si="86"/>
        <v>12.921036768035282</v>
      </c>
      <c r="BW16">
        <v>1.0246471400841737</v>
      </c>
      <c r="BX16" s="2">
        <v>11.891</v>
      </c>
      <c r="CJ16">
        <v>1965</v>
      </c>
      <c r="CK16">
        <f t="shared" si="88"/>
        <v>523</v>
      </c>
      <c r="CL16">
        <f t="shared" si="89"/>
        <v>139.37780513254916</v>
      </c>
      <c r="CM16" s="9">
        <f t="shared" si="120"/>
        <v>0.78585086042065011</v>
      </c>
      <c r="CN16" s="9">
        <f t="shared" si="90"/>
        <v>0.15678776290630975</v>
      </c>
      <c r="CO16" s="9">
        <f t="shared" si="36"/>
        <v>5.1625239005736137E-2</v>
      </c>
      <c r="CP16" s="9">
        <f t="shared" si="37"/>
        <v>5.7361376673040155E-3</v>
      </c>
      <c r="CQ16" s="27">
        <f t="shared" si="38"/>
        <v>0</v>
      </c>
      <c r="CR16" s="27">
        <f t="shared" si="39"/>
        <v>0</v>
      </c>
      <c r="CS16" s="27">
        <f t="shared" si="40"/>
        <v>0</v>
      </c>
      <c r="CT16" s="29">
        <f t="shared" si="91"/>
        <v>0.79176755521011533</v>
      </c>
      <c r="CU16" s="9">
        <f t="shared" si="41"/>
        <v>0.15717275046012918</v>
      </c>
      <c r="CV16" s="9">
        <f t="shared" si="42"/>
        <v>4.7171560929524202E-2</v>
      </c>
      <c r="CW16" s="9">
        <f t="shared" si="43"/>
        <v>3.8772889055829333E-3</v>
      </c>
      <c r="CX16" s="9">
        <f t="shared" si="44"/>
        <v>6.8423011192972298E-6</v>
      </c>
      <c r="CY16" s="9">
        <f t="shared" si="45"/>
        <v>3.2847191802798396E-6</v>
      </c>
      <c r="CZ16" s="9">
        <f t="shared" si="46"/>
        <v>7.1747434898188697E-7</v>
      </c>
      <c r="DA16">
        <f t="shared" si="121"/>
        <v>-0.66311554707448306</v>
      </c>
      <c r="DB16">
        <f t="shared" si="47"/>
        <v>-0.65873466784209245</v>
      </c>
      <c r="DC16">
        <f t="shared" si="48"/>
        <v>100</v>
      </c>
      <c r="DD16">
        <f t="shared" si="92"/>
        <v>9.7592705448608523</v>
      </c>
      <c r="DE16">
        <f t="shared" si="93"/>
        <v>64.786273338990426</v>
      </c>
      <c r="DF16">
        <f t="shared" si="49"/>
        <v>30.923301922702514</v>
      </c>
      <c r="DG16">
        <f t="shared" si="50"/>
        <v>7.1916865682308835</v>
      </c>
      <c r="DH16">
        <f t="shared" si="51"/>
        <v>1.7295823675969304</v>
      </c>
      <c r="DI16">
        <f t="shared" si="52"/>
        <v>2.06509980977021E-3</v>
      </c>
      <c r="DJ16">
        <f t="shared" si="53"/>
        <v>9.5366491206363231E-4</v>
      </c>
      <c r="DK16">
        <f t="shared" si="54"/>
        <v>4.5781694982419005E-4</v>
      </c>
      <c r="DL16">
        <f t="shared" si="55"/>
        <v>1E-4</v>
      </c>
      <c r="DM16">
        <f t="shared" si="56"/>
        <v>1965</v>
      </c>
      <c r="DN16" s="9">
        <f t="shared" si="94"/>
        <v>1.8390043396513921E-2</v>
      </c>
      <c r="DO16" s="9">
        <f t="shared" si="57"/>
        <v>0.30962312919751928</v>
      </c>
      <c r="DP16" s="9">
        <f t="shared" si="58"/>
        <v>0.63956798116540026</v>
      </c>
      <c r="DQ16" s="9">
        <f t="shared" si="59"/>
        <v>0.64308712343629537</v>
      </c>
      <c r="DR16" s="9">
        <f t="shared" si="60"/>
        <v>0.71155573334584055</v>
      </c>
      <c r="DS16" s="9">
        <f t="shared" si="61"/>
        <v>0.99566281861578254</v>
      </c>
      <c r="DT16" s="9" t="str">
        <f t="shared" si="62"/>
        <v/>
      </c>
      <c r="DU16" s="9" t="str">
        <f t="shared" si="63"/>
        <v/>
      </c>
      <c r="DV16" s="9" t="str">
        <f t="shared" si="64"/>
        <v/>
      </c>
      <c r="DW16">
        <f t="shared" si="95"/>
        <v>0.64480423953512056</v>
      </c>
      <c r="DX16">
        <f t="shared" si="96"/>
        <v>1965</v>
      </c>
      <c r="DY16" s="9">
        <f t="shared" si="97"/>
        <v>2.8520351246096715E-2</v>
      </c>
      <c r="DZ16" s="9">
        <f t="shared" si="98"/>
        <v>0.48018159654276749</v>
      </c>
      <c r="EA16" s="9">
        <f t="shared" si="99"/>
        <v>0.99187930530125634</v>
      </c>
      <c r="EB16" s="9">
        <f t="shared" si="100"/>
        <v>0.99733699626407057</v>
      </c>
      <c r="EC16" s="9">
        <f t="shared" si="101"/>
        <v>1.1035221075141275</v>
      </c>
      <c r="ED16" s="9">
        <f t="shared" si="102"/>
        <v>1.5441319358160823</v>
      </c>
      <c r="EE16" s="9" t="str">
        <f t="shared" si="103"/>
        <v/>
      </c>
      <c r="EF16" s="9" t="str">
        <f t="shared" si="104"/>
        <v/>
      </c>
      <c r="EG16" s="9" t="str">
        <f t="shared" si="105"/>
        <v/>
      </c>
      <c r="EI16">
        <f t="shared" si="106"/>
        <v>523</v>
      </c>
      <c r="EJ16" s="8">
        <f t="shared" si="107"/>
        <v>2066.5702490558674</v>
      </c>
      <c r="EK16" s="8">
        <f t="shared" si="66"/>
        <v>282.47429268763045</v>
      </c>
      <c r="EL16" s="8">
        <f t="shared" si="67"/>
        <v>64.557538627006323</v>
      </c>
      <c r="EM16" s="8">
        <f t="shared" si="68"/>
        <v>1.791759469228055</v>
      </c>
      <c r="EN16" s="8">
        <f t="shared" si="69"/>
        <v>0</v>
      </c>
      <c r="EO16" s="8">
        <f t="shared" si="70"/>
        <v>0</v>
      </c>
      <c r="EP16" s="8">
        <f t="shared" si="71"/>
        <v>0</v>
      </c>
      <c r="EQ16">
        <f t="shared" si="108"/>
        <v>2415.3938398397322</v>
      </c>
      <c r="ES16" s="8">
        <f t="shared" si="109"/>
        <v>2136.2736207337362</v>
      </c>
      <c r="ET16" s="8">
        <f t="shared" si="72"/>
        <v>292.69441514470162</v>
      </c>
      <c r="EU16" s="8">
        <f t="shared" si="73"/>
        <v>64.872174598497651</v>
      </c>
      <c r="EV16" s="8">
        <f t="shared" si="74"/>
        <v>-1.5977858168128352</v>
      </c>
      <c r="EW16" s="8">
        <f t="shared" si="75"/>
        <v>0</v>
      </c>
      <c r="EX16" s="8">
        <f t="shared" si="76"/>
        <v>0</v>
      </c>
      <c r="EY16" s="8">
        <f t="shared" si="77"/>
        <v>0</v>
      </c>
      <c r="EZ16">
        <f t="shared" si="110"/>
        <v>2492.2424246601222</v>
      </c>
      <c r="FB16">
        <f t="shared" si="111"/>
        <v>2754.8099943083294</v>
      </c>
      <c r="FC16">
        <f t="shared" si="112"/>
        <v>48.28969374708938</v>
      </c>
      <c r="FD16">
        <f t="shared" si="113"/>
        <v>2892.630274327601</v>
      </c>
      <c r="FE16">
        <f t="shared" si="114"/>
        <v>-12.68200145179253</v>
      </c>
      <c r="FG16">
        <f t="shared" si="115"/>
        <v>22.935603926501653</v>
      </c>
      <c r="FJ16">
        <v>9.1326954675907519</v>
      </c>
    </row>
    <row r="17" spans="1:166" x14ac:dyDescent="0.3">
      <c r="D17">
        <v>1966</v>
      </c>
      <c r="E17">
        <f t="shared" si="78"/>
        <v>16.67612134503711</v>
      </c>
      <c r="F17">
        <f t="shared" si="79"/>
        <v>8.7658040575257501E-2</v>
      </c>
      <c r="G17">
        <f t="shared" si="80"/>
        <v>0.2869200067671831</v>
      </c>
      <c r="H17">
        <f t="shared" si="81"/>
        <v>0.74445588740130442</v>
      </c>
      <c r="I17" s="2">
        <v>2.1111213450371098</v>
      </c>
      <c r="J17">
        <f t="shared" si="82"/>
        <v>2.1111213450371098</v>
      </c>
      <c r="K17" s="2">
        <v>10.843</v>
      </c>
      <c r="L17">
        <f t="shared" si="116"/>
        <v>3.722</v>
      </c>
      <c r="M17" s="25">
        <f t="shared" si="117"/>
        <v>0.2814528709854095</v>
      </c>
      <c r="N17" s="25">
        <f t="shared" si="0"/>
        <v>34.900156002190776</v>
      </c>
      <c r="O17" s="25">
        <f t="shared" si="1"/>
        <v>28.145287098540951</v>
      </c>
      <c r="P17" s="25">
        <f t="shared" si="2"/>
        <v>18.012983743066208</v>
      </c>
      <c r="Q17" s="25">
        <f t="shared" si="3"/>
        <v>2.251622967883276</v>
      </c>
      <c r="R17" s="25">
        <f t="shared" si="4"/>
        <v>0.8443586129562286</v>
      </c>
      <c r="S17" s="25">
        <f t="shared" si="5"/>
        <v>0</v>
      </c>
      <c r="T17" s="25">
        <f t="shared" si="6"/>
        <v>0</v>
      </c>
      <c r="U17" s="25">
        <f t="shared" si="7"/>
        <v>0</v>
      </c>
      <c r="V17">
        <f t="shared" si="8"/>
        <v>84.435861295622843</v>
      </c>
      <c r="W17">
        <f t="shared" si="118"/>
        <v>9.6612338449478377E-2</v>
      </c>
      <c r="X17">
        <f t="shared" si="9"/>
        <v>11.97992996773532</v>
      </c>
      <c r="Y17">
        <f t="shared" si="10"/>
        <v>9.661233844947839</v>
      </c>
      <c r="Z17">
        <f t="shared" si="11"/>
        <v>6.1831896607666161</v>
      </c>
      <c r="AA17">
        <f t="shared" si="12"/>
        <v>0.77289870759582702</v>
      </c>
      <c r="AB17">
        <f t="shared" si="13"/>
        <v>0.28983701534843515</v>
      </c>
      <c r="AC17">
        <f t="shared" si="14"/>
        <v>0</v>
      </c>
      <c r="AD17">
        <f t="shared" si="15"/>
        <v>0</v>
      </c>
      <c r="AE17">
        <f t="shared" si="16"/>
        <v>0</v>
      </c>
      <c r="AF17">
        <f t="shared" si="17"/>
        <v>28.983701534843515</v>
      </c>
      <c r="AG17" s="2">
        <v>4.2000000000000003E-2</v>
      </c>
      <c r="AH17" s="2">
        <v>0.1111</v>
      </c>
      <c r="AI17" s="2">
        <v>0.13339999999999999</v>
      </c>
      <c r="AJ17" s="2">
        <v>0.1489</v>
      </c>
      <c r="AK17" s="2">
        <v>0.16239999999999999</v>
      </c>
      <c r="AL17" s="2">
        <v>0.17929999999999999</v>
      </c>
      <c r="AM17" s="2">
        <v>0.15429999999999999</v>
      </c>
      <c r="AN17" s="2">
        <v>0.1653</v>
      </c>
      <c r="AO17" s="2">
        <v>0.15690000000000001</v>
      </c>
      <c r="AP17">
        <f t="shared" si="119"/>
        <v>0.128417</v>
      </c>
      <c r="AQ17" s="2">
        <v>1</v>
      </c>
      <c r="AR17" s="2">
        <v>124</v>
      </c>
      <c r="AS17" s="2">
        <v>100</v>
      </c>
      <c r="AT17" s="2">
        <v>64</v>
      </c>
      <c r="AU17" s="2">
        <v>8</v>
      </c>
      <c r="AV17" s="2">
        <v>3</v>
      </c>
      <c r="AW17" s="2">
        <v>0</v>
      </c>
      <c r="AX17" s="2">
        <v>0</v>
      </c>
      <c r="AY17" s="2">
        <v>0</v>
      </c>
      <c r="AZ17">
        <f t="shared" si="83"/>
        <v>300</v>
      </c>
      <c r="BA17">
        <f t="shared" si="18"/>
        <v>1966</v>
      </c>
      <c r="BB17">
        <f t="shared" si="122"/>
        <v>0.77009912104036016</v>
      </c>
      <c r="BC17">
        <f t="shared" si="123"/>
        <v>0.27262936429423362</v>
      </c>
      <c r="BD17">
        <f t="shared" si="84"/>
        <v>5.4798594813176595E-2</v>
      </c>
      <c r="BE17">
        <f t="shared" si="19"/>
        <v>6.7950257568338976</v>
      </c>
      <c r="BF17">
        <f t="shared" si="20"/>
        <v>5.4798594813176598</v>
      </c>
      <c r="BG17">
        <f t="shared" si="21"/>
        <v>3.5071100680433021</v>
      </c>
      <c r="BH17">
        <f t="shared" si="22"/>
        <v>0.43838875850541276</v>
      </c>
      <c r="BI17">
        <f t="shared" si="23"/>
        <v>0.16439578443952976</v>
      </c>
      <c r="BJ17">
        <f t="shared" si="24"/>
        <v>0</v>
      </c>
      <c r="BK17">
        <f t="shared" si="25"/>
        <v>0</v>
      </c>
      <c r="BL17">
        <f t="shared" si="26"/>
        <v>0</v>
      </c>
      <c r="BM17" s="23">
        <f t="shared" si="85"/>
        <v>123.54196093433893</v>
      </c>
      <c r="BN17" s="23">
        <f t="shared" si="27"/>
        <v>112.33182439292361</v>
      </c>
      <c r="BO17" s="23">
        <f t="shared" si="28"/>
        <v>73.775681524092036</v>
      </c>
      <c r="BP17" s="23">
        <f t="shared" si="29"/>
        <v>27.080188236094624</v>
      </c>
      <c r="BQ17" s="23">
        <f t="shared" si="30"/>
        <v>4.8107761358664431</v>
      </c>
      <c r="BR17" s="23">
        <f t="shared" si="31"/>
        <v>1.0113765596966158</v>
      </c>
      <c r="BS17" s="23">
        <f t="shared" si="32"/>
        <v>9.6041602306273723E-4</v>
      </c>
      <c r="BT17" s="23">
        <f t="shared" si="33"/>
        <v>3.2838344237038909E-4</v>
      </c>
      <c r="BU17" s="23">
        <f t="shared" si="34"/>
        <v>1E-4</v>
      </c>
      <c r="BV17">
        <f t="shared" si="86"/>
        <v>11.129480469272647</v>
      </c>
      <c r="BW17">
        <v>0.66377211307984463</v>
      </c>
      <c r="BX17" s="2">
        <v>3.722</v>
      </c>
      <c r="CJ17">
        <v>1966</v>
      </c>
      <c r="CK17">
        <f t="shared" si="88"/>
        <v>175</v>
      </c>
      <c r="CL17">
        <f t="shared" si="89"/>
        <v>106.67941125521516</v>
      </c>
      <c r="CM17" s="9">
        <f t="shared" si="120"/>
        <v>0.5714285714285714</v>
      </c>
      <c r="CN17" s="9">
        <f t="shared" si="90"/>
        <v>0.36571428571428571</v>
      </c>
      <c r="CO17" s="9">
        <f t="shared" si="36"/>
        <v>4.5714285714285714E-2</v>
      </c>
      <c r="CP17" s="9">
        <f t="shared" si="37"/>
        <v>1.7142857142857144E-2</v>
      </c>
      <c r="CQ17" s="27">
        <f t="shared" si="38"/>
        <v>0</v>
      </c>
      <c r="CR17" s="27">
        <f t="shared" si="39"/>
        <v>0</v>
      </c>
      <c r="CS17" s="27">
        <f t="shared" si="40"/>
        <v>0</v>
      </c>
      <c r="CT17" s="29">
        <f t="shared" si="91"/>
        <v>0.69156438581756252</v>
      </c>
      <c r="CU17" s="9">
        <f t="shared" si="41"/>
        <v>0.25384643500993054</v>
      </c>
      <c r="CV17" s="9">
        <f t="shared" si="42"/>
        <v>4.5095638223549554E-2</v>
      </c>
      <c r="CW17" s="9">
        <f t="shared" si="43"/>
        <v>9.4805225094188299E-3</v>
      </c>
      <c r="CX17" s="9">
        <f t="shared" si="44"/>
        <v>9.0028245540751999E-6</v>
      </c>
      <c r="CY17" s="9">
        <f t="shared" si="45"/>
        <v>3.0782269840689215E-6</v>
      </c>
      <c r="CZ17" s="9">
        <f t="shared" si="46"/>
        <v>9.373880003964812E-7</v>
      </c>
      <c r="DA17">
        <f t="shared" si="121"/>
        <v>-0.9336683839924006</v>
      </c>
      <c r="DB17">
        <f t="shared" si="47"/>
        <v>-0.92868821218281072</v>
      </c>
      <c r="DC17">
        <f t="shared" si="48"/>
        <v>100</v>
      </c>
      <c r="DD17">
        <f t="shared" si="92"/>
        <v>7.919449418411884</v>
      </c>
      <c r="DE17">
        <f t="shared" si="93"/>
        <v>45.893299091818733</v>
      </c>
      <c r="DF17">
        <f t="shared" si="49"/>
        <v>33.921435884129608</v>
      </c>
      <c r="DG17">
        <f t="shared" si="50"/>
        <v>5.5600944249851132</v>
      </c>
      <c r="DH17">
        <f t="shared" si="51"/>
        <v>2.1207644094777542</v>
      </c>
      <c r="DI17">
        <f t="shared" si="52"/>
        <v>2.6221623008574335E-3</v>
      </c>
      <c r="DJ17">
        <f t="shared" si="53"/>
        <v>9.6041602306273723E-4</v>
      </c>
      <c r="DK17">
        <f t="shared" si="54"/>
        <v>3.2838344237038909E-4</v>
      </c>
      <c r="DL17">
        <f t="shared" si="55"/>
        <v>1E-4</v>
      </c>
      <c r="DM17">
        <f t="shared" si="56"/>
        <v>1966</v>
      </c>
      <c r="DN17" s="9">
        <f t="shared" si="94"/>
        <v>2.2792075358534828E-3</v>
      </c>
      <c r="DO17" s="9">
        <f t="shared" si="57"/>
        <v>0.33069181985075113</v>
      </c>
      <c r="DP17" s="9">
        <f t="shared" si="58"/>
        <v>0.41210847540444373</v>
      </c>
      <c r="DQ17" s="9">
        <f t="shared" si="59"/>
        <v>0.7641337128164819</v>
      </c>
      <c r="DR17" s="9">
        <f t="shared" si="60"/>
        <v>0.51496420000239118</v>
      </c>
      <c r="DS17" s="9">
        <f t="shared" si="61"/>
        <v>0.99690410647152938</v>
      </c>
      <c r="DT17" s="9" t="str">
        <f t="shared" si="62"/>
        <v/>
      </c>
      <c r="DU17" s="9" t="str">
        <f t="shared" si="63"/>
        <v/>
      </c>
      <c r="DV17" s="9" t="str">
        <f t="shared" si="64"/>
        <v/>
      </c>
      <c r="DW17">
        <f t="shared" si="95"/>
        <v>0.50730689407834328</v>
      </c>
      <c r="DX17">
        <f t="shared" si="96"/>
        <v>1966</v>
      </c>
      <c r="DY17" s="9">
        <f t="shared" si="97"/>
        <v>4.4927588456968714E-3</v>
      </c>
      <c r="DZ17" s="9">
        <f t="shared" si="98"/>
        <v>0.65185753182309891</v>
      </c>
      <c r="EA17" s="9">
        <f t="shared" si="99"/>
        <v>0.81234550567886021</v>
      </c>
      <c r="EB17" s="9">
        <f t="shared" si="100"/>
        <v>1.5062553293401073</v>
      </c>
      <c r="EC17" s="9">
        <f t="shared" si="101"/>
        <v>1.0150940308784082</v>
      </c>
      <c r="ED17" s="9">
        <f t="shared" si="102"/>
        <v>1.9650907923943524</v>
      </c>
      <c r="EE17" s="9" t="str">
        <f t="shared" si="103"/>
        <v/>
      </c>
      <c r="EF17" s="9" t="str">
        <f t="shared" si="104"/>
        <v/>
      </c>
      <c r="EG17" s="9" t="str">
        <f t="shared" si="105"/>
        <v/>
      </c>
      <c r="EI17">
        <f t="shared" si="106"/>
        <v>175</v>
      </c>
      <c r="EJ17" s="8">
        <f t="shared" si="107"/>
        <v>363.73937555556347</v>
      </c>
      <c r="EK17" s="8">
        <f t="shared" si="66"/>
        <v>205.1681994826412</v>
      </c>
      <c r="EL17" s="8">
        <f t="shared" si="67"/>
        <v>10.604602902745253</v>
      </c>
      <c r="EM17" s="8">
        <f t="shared" si="68"/>
        <v>1.791759469228055</v>
      </c>
      <c r="EN17" s="8">
        <f t="shared" si="69"/>
        <v>0</v>
      </c>
      <c r="EO17" s="8">
        <f t="shared" si="70"/>
        <v>0</v>
      </c>
      <c r="EP17" s="8">
        <f t="shared" si="71"/>
        <v>0</v>
      </c>
      <c r="EQ17">
        <f t="shared" si="108"/>
        <v>581.30393741017792</v>
      </c>
      <c r="ES17" s="8">
        <f t="shared" si="109"/>
        <v>380.04117441106564</v>
      </c>
      <c r="ET17" s="8">
        <f t="shared" si="72"/>
        <v>209.14869044408951</v>
      </c>
      <c r="EU17" s="8">
        <f t="shared" si="73"/>
        <v>8.2847723788974168</v>
      </c>
      <c r="EV17" s="8">
        <f t="shared" si="74"/>
        <v>-1.8212158603610178</v>
      </c>
      <c r="EW17" s="8">
        <f t="shared" si="75"/>
        <v>0</v>
      </c>
      <c r="EX17" s="8">
        <f t="shared" si="76"/>
        <v>0</v>
      </c>
      <c r="EY17" s="8">
        <f t="shared" si="77"/>
        <v>0</v>
      </c>
      <c r="EZ17">
        <f t="shared" si="110"/>
        <v>595.65342137369157</v>
      </c>
      <c r="FB17">
        <f t="shared" si="111"/>
        <v>732.3393531467392</v>
      </c>
      <c r="FC17">
        <f t="shared" si="112"/>
        <v>7.8801161425749306</v>
      </c>
      <c r="FD17">
        <f t="shared" si="113"/>
        <v>766.96637753087487</v>
      </c>
      <c r="FE17">
        <f t="shared" si="114"/>
        <v>-12.397424278047083</v>
      </c>
      <c r="FG17">
        <f t="shared" si="115"/>
        <v>8.3118679755005509</v>
      </c>
      <c r="FJ17">
        <v>3.6421347891137912</v>
      </c>
    </row>
    <row r="18" spans="1:166" x14ac:dyDescent="0.3">
      <c r="D18">
        <v>1967</v>
      </c>
      <c r="E18">
        <f t="shared" si="78"/>
        <v>22.004914064641266</v>
      </c>
      <c r="F18">
        <f t="shared" si="79"/>
        <v>9.7527079987464155E-2</v>
      </c>
      <c r="G18">
        <f t="shared" si="80"/>
        <v>0.40755110414824375</v>
      </c>
      <c r="H18">
        <f t="shared" si="81"/>
        <v>0.75884357150015036</v>
      </c>
      <c r="I18" s="2">
        <v>2.0469140646412667</v>
      </c>
      <c r="J18">
        <f t="shared" si="82"/>
        <v>2.0469140646412667</v>
      </c>
      <c r="K18" s="2">
        <v>15.145</v>
      </c>
      <c r="L18">
        <f t="shared" si="116"/>
        <v>4.8129999999999997</v>
      </c>
      <c r="M18" s="25">
        <f t="shared" si="117"/>
        <v>0.43869304521623265</v>
      </c>
      <c r="N18" s="25">
        <f t="shared" si="0"/>
        <v>54.397937606812846</v>
      </c>
      <c r="O18" s="25">
        <f t="shared" si="1"/>
        <v>43.869304521623263</v>
      </c>
      <c r="P18" s="25">
        <f t="shared" si="2"/>
        <v>28.076354893838889</v>
      </c>
      <c r="Q18" s="25">
        <f t="shared" si="3"/>
        <v>3.5095443617298612</v>
      </c>
      <c r="R18" s="25">
        <f t="shared" si="4"/>
        <v>1.3160791356486978</v>
      </c>
      <c r="S18" s="25">
        <f t="shared" si="5"/>
        <v>0</v>
      </c>
      <c r="T18" s="25">
        <f t="shared" si="6"/>
        <v>0</v>
      </c>
      <c r="U18" s="25">
        <f t="shared" si="7"/>
        <v>0</v>
      </c>
      <c r="V18">
        <f t="shared" si="8"/>
        <v>131.60791356486979</v>
      </c>
      <c r="W18">
        <f t="shared" si="118"/>
        <v>0.13941430350780637</v>
      </c>
      <c r="X18">
        <f t="shared" si="9"/>
        <v>17.287373634967988</v>
      </c>
      <c r="Y18">
        <f t="shared" si="10"/>
        <v>13.941430350780639</v>
      </c>
      <c r="Z18">
        <f t="shared" si="11"/>
        <v>8.9225154244996077</v>
      </c>
      <c r="AA18">
        <f t="shared" si="12"/>
        <v>1.115314428062451</v>
      </c>
      <c r="AB18">
        <f t="shared" si="13"/>
        <v>0.41824291052341911</v>
      </c>
      <c r="AC18">
        <f t="shared" si="14"/>
        <v>0</v>
      </c>
      <c r="AD18">
        <f t="shared" si="15"/>
        <v>0</v>
      </c>
      <c r="AE18">
        <f t="shared" si="16"/>
        <v>0</v>
      </c>
      <c r="AF18">
        <f t="shared" si="17"/>
        <v>41.824291052341906</v>
      </c>
      <c r="AG18" s="2">
        <v>5.7000000000000002E-2</v>
      </c>
      <c r="AH18" s="2">
        <v>9.8500000000000004E-2</v>
      </c>
      <c r="AI18" s="2">
        <v>0.1192</v>
      </c>
      <c r="AJ18" s="2">
        <v>0.1358</v>
      </c>
      <c r="AK18" s="2">
        <v>0.1487</v>
      </c>
      <c r="AL18" s="2">
        <v>0.15040000000000001</v>
      </c>
      <c r="AM18" s="2">
        <v>0.15329999999999999</v>
      </c>
      <c r="AN18" s="2">
        <v>0.16569999999999999</v>
      </c>
      <c r="AO18" s="2">
        <v>0.157</v>
      </c>
      <c r="AP18">
        <f t="shared" si="119"/>
        <v>0.11507666666666667</v>
      </c>
      <c r="AQ18" s="3">
        <v>1</v>
      </c>
      <c r="AR18" s="3">
        <v>124</v>
      </c>
      <c r="AS18" s="3">
        <v>100</v>
      </c>
      <c r="AT18" s="3">
        <v>64</v>
      </c>
      <c r="AU18" s="3">
        <v>8</v>
      </c>
      <c r="AV18" s="3">
        <v>3</v>
      </c>
      <c r="AW18" s="3">
        <v>0</v>
      </c>
      <c r="AX18" s="3">
        <v>0</v>
      </c>
      <c r="AY18" s="3">
        <v>0</v>
      </c>
      <c r="AZ18">
        <f t="shared" si="83"/>
        <v>300</v>
      </c>
      <c r="BA18">
        <f t="shared" si="18"/>
        <v>1967</v>
      </c>
      <c r="BB18">
        <f t="shared" si="122"/>
        <v>-0.94175525519426095</v>
      </c>
      <c r="BC18">
        <f t="shared" si="123"/>
        <v>-4.5716681922152246E-2</v>
      </c>
      <c r="BD18">
        <f t="shared" si="84"/>
        <v>5.9291314910096642E-2</v>
      </c>
      <c r="BE18">
        <f t="shared" si="19"/>
        <v>7.3521230488519844</v>
      </c>
      <c r="BF18">
        <f t="shared" si="20"/>
        <v>5.929131491009664</v>
      </c>
      <c r="BG18">
        <f t="shared" si="21"/>
        <v>3.7946441542461851</v>
      </c>
      <c r="BH18">
        <f t="shared" si="22"/>
        <v>0.47433051928077313</v>
      </c>
      <c r="BI18">
        <f t="shared" si="23"/>
        <v>0.17787394473028992</v>
      </c>
      <c r="BJ18">
        <f t="shared" si="24"/>
        <v>0</v>
      </c>
      <c r="BK18">
        <f t="shared" si="25"/>
        <v>0</v>
      </c>
      <c r="BL18">
        <f t="shared" si="26"/>
        <v>0</v>
      </c>
      <c r="BM18" s="23">
        <f t="shared" si="85"/>
        <v>60.778966350761515</v>
      </c>
      <c r="BN18" s="23">
        <f t="shared" si="27"/>
        <v>101.35963939822972</v>
      </c>
      <c r="BO18" s="23">
        <f t="shared" si="28"/>
        <v>58.111757415865469</v>
      </c>
      <c r="BP18" s="23">
        <f t="shared" si="29"/>
        <v>33.031236363217154</v>
      </c>
      <c r="BQ18" s="23">
        <f t="shared" si="30"/>
        <v>4.2851034352233608</v>
      </c>
      <c r="BR18" s="23">
        <f t="shared" si="31"/>
        <v>1.4980666787507282</v>
      </c>
      <c r="BS18" s="23">
        <f t="shared" si="32"/>
        <v>1.5861853932386614E-3</v>
      </c>
      <c r="BT18" s="23">
        <f t="shared" si="33"/>
        <v>4.6337218394146805E-4</v>
      </c>
      <c r="BU18" s="23">
        <f t="shared" si="34"/>
        <v>1E-4</v>
      </c>
      <c r="BV18">
        <f t="shared" si="86"/>
        <v>3.7962470174332821</v>
      </c>
      <c r="BW18">
        <v>1.0370295894040495</v>
      </c>
      <c r="BX18" s="2">
        <v>4.8129999999999997</v>
      </c>
      <c r="CJ18">
        <v>1967</v>
      </c>
      <c r="CK18">
        <f t="shared" si="88"/>
        <v>175</v>
      </c>
      <c r="CL18">
        <f t="shared" si="89"/>
        <v>96.928313450633894</v>
      </c>
      <c r="CM18" s="9">
        <f t="shared" si="120"/>
        <v>0.5714285714285714</v>
      </c>
      <c r="CN18" s="9">
        <f t="shared" si="90"/>
        <v>0.36571428571428571</v>
      </c>
      <c r="CO18" s="9">
        <f t="shared" si="36"/>
        <v>4.5714285714285714E-2</v>
      </c>
      <c r="CP18" s="9">
        <f t="shared" si="37"/>
        <v>1.7142857142857144E-2</v>
      </c>
      <c r="CQ18" s="27">
        <f t="shared" si="38"/>
        <v>0</v>
      </c>
      <c r="CR18" s="27">
        <f t="shared" si="39"/>
        <v>0</v>
      </c>
      <c r="CS18" s="27">
        <f t="shared" si="40"/>
        <v>0</v>
      </c>
      <c r="CT18" s="29">
        <f t="shared" si="91"/>
        <v>0.5995333597283945</v>
      </c>
      <c r="CU18" s="9">
        <f t="shared" si="41"/>
        <v>0.34078005886319418</v>
      </c>
      <c r="CV18" s="9">
        <f t="shared" si="42"/>
        <v>4.4208996140284507E-2</v>
      </c>
      <c r="CW18" s="9">
        <f t="shared" si="43"/>
        <v>1.5455408491283629E-2</v>
      </c>
      <c r="CX18" s="9">
        <f t="shared" si="44"/>
        <v>1.636452071402763E-5</v>
      </c>
      <c r="CY18" s="9">
        <f t="shared" si="45"/>
        <v>4.7805658372201634E-6</v>
      </c>
      <c r="CZ18" s="9">
        <f t="shared" si="46"/>
        <v>1.0316902919282768E-6</v>
      </c>
      <c r="DA18">
        <f t="shared" si="121"/>
        <v>-0.90009595943410858</v>
      </c>
      <c r="DB18">
        <f t="shared" si="47"/>
        <v>-0.89597890141967806</v>
      </c>
      <c r="DC18" s="3">
        <v>0</v>
      </c>
      <c r="DD18">
        <f t="shared" si="92"/>
        <v>3.8747570208094255</v>
      </c>
      <c r="DE18">
        <f t="shared" si="93"/>
        <v>25.734720342740303</v>
      </c>
      <c r="DF18">
        <f t="shared" si="49"/>
        <v>7.023562683675201</v>
      </c>
      <c r="DG18">
        <f t="shared" si="50"/>
        <v>1.1602373151320791</v>
      </c>
      <c r="DH18">
        <f t="shared" si="51"/>
        <v>0.30122855421272643</v>
      </c>
      <c r="DI18">
        <f t="shared" si="52"/>
        <v>4.1135983717404123E-3</v>
      </c>
      <c r="DJ18">
        <f t="shared" si="53"/>
        <v>1.5861853932386614E-3</v>
      </c>
      <c r="DK18">
        <f t="shared" si="54"/>
        <v>4.6337218394146805E-4</v>
      </c>
      <c r="DL18">
        <f t="shared" si="55"/>
        <v>1E-4</v>
      </c>
      <c r="DM18">
        <f t="shared" si="56"/>
        <v>1967</v>
      </c>
      <c r="DN18" s="9">
        <f t="shared" si="94"/>
        <v>7.2248911898360798E-3</v>
      </c>
      <c r="DO18" s="9">
        <f t="shared" si="57"/>
        <v>0.57865519395963616</v>
      </c>
      <c r="DP18" s="9">
        <f t="shared" si="58"/>
        <v>0.84068794438969174</v>
      </c>
      <c r="DQ18" s="9">
        <f t="shared" si="59"/>
        <v>0.96031557621903452</v>
      </c>
      <c r="DR18" s="9">
        <f t="shared" si="60"/>
        <v>0.920953423135627</v>
      </c>
      <c r="DS18" s="9">
        <f t="shared" si="61"/>
        <v>0.99688409255274946</v>
      </c>
      <c r="DT18" s="9" t="str">
        <f t="shared" si="62"/>
        <v/>
      </c>
      <c r="DU18" s="9" t="str">
        <f t="shared" si="63"/>
        <v/>
      </c>
      <c r="DV18" s="9" t="str">
        <f t="shared" si="64"/>
        <v/>
      </c>
      <c r="DW18">
        <f t="shared" si="95"/>
        <v>0.88699264305273795</v>
      </c>
      <c r="DX18">
        <f t="shared" si="96"/>
        <v>1967</v>
      </c>
      <c r="DY18" s="9">
        <f t="shared" si="97"/>
        <v>8.1453789345651978E-3</v>
      </c>
      <c r="DZ18" s="9">
        <f t="shared" si="98"/>
        <v>0.65237879760546225</v>
      </c>
      <c r="EA18" s="9">
        <f t="shared" si="99"/>
        <v>0.94779584811021589</v>
      </c>
      <c r="EB18" s="9">
        <f t="shared" si="100"/>
        <v>1.0826646463649834</v>
      </c>
      <c r="EC18" s="9">
        <f t="shared" si="101"/>
        <v>1.0382875555382367</v>
      </c>
      <c r="ED18" s="9">
        <f t="shared" si="102"/>
        <v>1.1238921769653027</v>
      </c>
      <c r="EE18" s="9" t="str">
        <f t="shared" si="103"/>
        <v/>
      </c>
      <c r="EF18" s="9" t="str">
        <f t="shared" si="104"/>
        <v/>
      </c>
      <c r="EG18" s="9" t="str">
        <f t="shared" si="105"/>
        <v/>
      </c>
      <c r="EI18">
        <f t="shared" si="106"/>
        <v>175</v>
      </c>
      <c r="EJ18" s="8">
        <f t="shared" si="107"/>
        <v>363.73937555556347</v>
      </c>
      <c r="EK18" s="8">
        <f t="shared" si="66"/>
        <v>205.1681994826412</v>
      </c>
      <c r="EL18" s="8">
        <f t="shared" si="67"/>
        <v>10.604602902745253</v>
      </c>
      <c r="EM18" s="8">
        <f t="shared" si="68"/>
        <v>1.791759469228055</v>
      </c>
      <c r="EN18" s="8">
        <f t="shared" si="69"/>
        <v>0</v>
      </c>
      <c r="EO18" s="8">
        <f t="shared" si="70"/>
        <v>0</v>
      </c>
      <c r="EP18" s="8">
        <f t="shared" si="71"/>
        <v>0</v>
      </c>
      <c r="EQ18">
        <f t="shared" si="108"/>
        <v>581.30393741017792</v>
      </c>
      <c r="ES18" s="8">
        <f t="shared" si="109"/>
        <v>377.81325933115767</v>
      </c>
      <c r="ET18" s="8">
        <f t="shared" si="72"/>
        <v>211.55209640478921</v>
      </c>
      <c r="EU18" s="8">
        <f t="shared" si="73"/>
        <v>8.2500637577199889</v>
      </c>
      <c r="EV18" s="8">
        <f t="shared" si="74"/>
        <v>-1.2687439520605872</v>
      </c>
      <c r="EW18" s="8">
        <f t="shared" si="75"/>
        <v>0</v>
      </c>
      <c r="EX18" s="8">
        <f t="shared" si="76"/>
        <v>0</v>
      </c>
      <c r="EY18" s="8">
        <f t="shared" si="77"/>
        <v>0</v>
      </c>
      <c r="EZ18">
        <f t="shared" si="110"/>
        <v>596.34667554160626</v>
      </c>
      <c r="FB18">
        <f t="shared" si="111"/>
        <v>732.3393531467392</v>
      </c>
      <c r="FC18">
        <f t="shared" si="112"/>
        <v>7.8801161425749306</v>
      </c>
      <c r="FD18">
        <f t="shared" si="113"/>
        <v>766.96637753087487</v>
      </c>
      <c r="FE18">
        <f t="shared" si="114"/>
        <v>-11.704170110132395</v>
      </c>
      <c r="FG18">
        <f t="shared" si="115"/>
        <v>8.3118679755005509</v>
      </c>
      <c r="FJ18">
        <v>3.7692880243214066</v>
      </c>
    </row>
    <row r="19" spans="1:166" x14ac:dyDescent="0.3">
      <c r="A19" s="13" t="s">
        <v>161</v>
      </c>
      <c r="B19" s="13">
        <f>Ssspawn/varssb+Ssrelm/varrelm-SUMPRODUCT(DA2:DA73,DC2:DC73)</f>
        <v>8166.3455000333279</v>
      </c>
      <c r="D19">
        <v>1968</v>
      </c>
      <c r="E19">
        <f t="shared" si="78"/>
        <v>13.011706784245423</v>
      </c>
      <c r="F19">
        <f t="shared" si="79"/>
        <v>0.26206980722276213</v>
      </c>
      <c r="G19">
        <f t="shared" si="80"/>
        <v>0.66719239474018754</v>
      </c>
      <c r="H19">
        <f t="shared" si="81"/>
        <v>0</v>
      </c>
      <c r="I19" s="2">
        <v>1.9827067842454229</v>
      </c>
      <c r="J19">
        <f t="shared" si="82"/>
        <v>1.9827067842454229</v>
      </c>
      <c r="K19" s="2">
        <v>0</v>
      </c>
      <c r="L19">
        <f t="shared" si="116"/>
        <v>11.029</v>
      </c>
      <c r="M19" s="25">
        <f t="shared" si="117"/>
        <v>0</v>
      </c>
      <c r="N19" s="25">
        <f t="shared" si="0"/>
        <v>0</v>
      </c>
      <c r="O19" s="25">
        <f t="shared" si="1"/>
        <v>0</v>
      </c>
      <c r="P19" s="25">
        <f t="shared" si="2"/>
        <v>0</v>
      </c>
      <c r="Q19" s="25">
        <f t="shared" si="3"/>
        <v>0</v>
      </c>
      <c r="R19" s="25">
        <f t="shared" si="4"/>
        <v>0</v>
      </c>
      <c r="S19" s="25">
        <f t="shared" si="5"/>
        <v>0</v>
      </c>
      <c r="T19" s="25">
        <f t="shared" si="6"/>
        <v>0</v>
      </c>
      <c r="U19" s="25">
        <f t="shared" si="7"/>
        <v>0</v>
      </c>
      <c r="V19">
        <f t="shared" si="8"/>
        <v>0</v>
      </c>
      <c r="W19">
        <f t="shared" si="118"/>
        <v>0.31426666362724537</v>
      </c>
      <c r="X19">
        <f t="shared" si="9"/>
        <v>38.969066289778425</v>
      </c>
      <c r="Y19">
        <f t="shared" si="10"/>
        <v>31.426666362724536</v>
      </c>
      <c r="Z19">
        <f t="shared" si="11"/>
        <v>20.113066472143704</v>
      </c>
      <c r="AA19">
        <f t="shared" si="12"/>
        <v>2.5141333090179629</v>
      </c>
      <c r="AB19">
        <f t="shared" si="13"/>
        <v>0.94279999088173616</v>
      </c>
      <c r="AC19">
        <f t="shared" si="14"/>
        <v>0</v>
      </c>
      <c r="AD19">
        <f t="shared" si="15"/>
        <v>0</v>
      </c>
      <c r="AE19">
        <f t="shared" si="16"/>
        <v>0</v>
      </c>
      <c r="AF19">
        <f t="shared" si="17"/>
        <v>94.279999088173611</v>
      </c>
      <c r="AG19" s="2">
        <v>5.7000000000000002E-2</v>
      </c>
      <c r="AH19" s="2">
        <v>9.98E-2</v>
      </c>
      <c r="AI19" s="2">
        <v>0.1215</v>
      </c>
      <c r="AJ19" s="2">
        <v>0.13800000000000001</v>
      </c>
      <c r="AK19" s="2">
        <v>0.15279999999999999</v>
      </c>
      <c r="AL19" s="2">
        <v>0.15260000000000001</v>
      </c>
      <c r="AM19" s="2">
        <v>0.153</v>
      </c>
      <c r="AN19" s="2">
        <v>0.1653</v>
      </c>
      <c r="AO19" s="2">
        <v>0.15709999999999999</v>
      </c>
      <c r="AP19">
        <f t="shared" si="119"/>
        <v>0.11698133333333334</v>
      </c>
      <c r="AQ19" s="3">
        <v>1</v>
      </c>
      <c r="AR19" s="3">
        <v>124</v>
      </c>
      <c r="AS19" s="3">
        <v>100</v>
      </c>
      <c r="AT19" s="3">
        <v>64</v>
      </c>
      <c r="AU19" s="3">
        <v>8</v>
      </c>
      <c r="AV19" s="3">
        <v>3</v>
      </c>
      <c r="AW19" s="3">
        <v>0</v>
      </c>
      <c r="AX19" s="3">
        <v>0</v>
      </c>
      <c r="AY19" s="3">
        <v>0</v>
      </c>
      <c r="AZ19">
        <f t="shared" si="83"/>
        <v>300</v>
      </c>
      <c r="BA19">
        <f t="shared" si="18"/>
        <v>1968</v>
      </c>
      <c r="BB19">
        <f t="shared" si="122"/>
        <v>3.4506088387444081E-2</v>
      </c>
      <c r="BC19">
        <f t="shared" si="123"/>
        <v>3.5767561968071218E-3</v>
      </c>
      <c r="BD19">
        <f t="shared" si="84"/>
        <v>5.6496386439016555E-2</v>
      </c>
      <c r="BE19">
        <f t="shared" si="19"/>
        <v>7.0055519184380532</v>
      </c>
      <c r="BF19">
        <f t="shared" si="20"/>
        <v>5.6496386439016559</v>
      </c>
      <c r="BG19">
        <f t="shared" si="21"/>
        <v>3.6157687320970595</v>
      </c>
      <c r="BH19">
        <f t="shared" si="22"/>
        <v>0.45197109151213244</v>
      </c>
      <c r="BI19">
        <f t="shared" si="23"/>
        <v>0.16948915931704966</v>
      </c>
      <c r="BJ19">
        <f t="shared" si="24"/>
        <v>0</v>
      </c>
      <c r="BK19">
        <f t="shared" si="25"/>
        <v>0</v>
      </c>
      <c r="BL19">
        <f t="shared" si="26"/>
        <v>0</v>
      </c>
      <c r="BM19" s="23">
        <f t="shared" si="85"/>
        <v>93.261225031870822</v>
      </c>
      <c r="BN19" s="23">
        <f t="shared" si="27"/>
        <v>44.43735727828382</v>
      </c>
      <c r="BO19" s="23">
        <f t="shared" si="28"/>
        <v>29.198984825128928</v>
      </c>
      <c r="BP19" s="23">
        <f t="shared" si="29"/>
        <v>6.128271143848071</v>
      </c>
      <c r="BQ19" s="23">
        <f t="shared" si="30"/>
        <v>0.77230659723450001</v>
      </c>
      <c r="BR19" s="23">
        <f t="shared" si="31"/>
        <v>0.17495764870422473</v>
      </c>
      <c r="BS19" s="23">
        <f t="shared" si="32"/>
        <v>1.9446940650402174E-3</v>
      </c>
      <c r="BT19" s="23">
        <f t="shared" si="33"/>
        <v>5.6513581866570644E-4</v>
      </c>
      <c r="BU19" s="23">
        <f t="shared" si="34"/>
        <v>1E-4</v>
      </c>
      <c r="BV19">
        <f t="shared" si="86"/>
        <v>5.5828605936101301</v>
      </c>
      <c r="BW19">
        <v>1.2354741060018619</v>
      </c>
      <c r="BX19" s="2">
        <v>11.029</v>
      </c>
      <c r="CJ19">
        <v>1968</v>
      </c>
      <c r="CK19">
        <f t="shared" si="88"/>
        <v>175</v>
      </c>
      <c r="CL19">
        <f t="shared" si="89"/>
        <v>36.277130044799428</v>
      </c>
      <c r="CM19" s="9">
        <f t="shared" si="120"/>
        <v>0.5714285714285714</v>
      </c>
      <c r="CN19" s="9">
        <f t="shared" si="90"/>
        <v>0.36571428571428571</v>
      </c>
      <c r="CO19" s="9">
        <f t="shared" si="36"/>
        <v>4.5714285714285714E-2</v>
      </c>
      <c r="CP19" s="9">
        <f t="shared" si="37"/>
        <v>1.7142857142857144E-2</v>
      </c>
      <c r="CQ19" s="27">
        <f t="shared" si="38"/>
        <v>0</v>
      </c>
      <c r="CR19" s="27">
        <f t="shared" si="39"/>
        <v>0</v>
      </c>
      <c r="CS19" s="27">
        <f t="shared" si="40"/>
        <v>0</v>
      </c>
      <c r="CT19" s="29">
        <f t="shared" si="91"/>
        <v>0.80488684714227554</v>
      </c>
      <c r="CU19" s="9">
        <f t="shared" si="41"/>
        <v>0.16892932644561831</v>
      </c>
      <c r="CV19" s="9">
        <f t="shared" si="42"/>
        <v>2.1289076514067171E-2</v>
      </c>
      <c r="CW19" s="9">
        <f t="shared" si="43"/>
        <v>4.8228084329759733E-3</v>
      </c>
      <c r="CX19" s="9">
        <f t="shared" si="44"/>
        <v>5.3606612833999599E-5</v>
      </c>
      <c r="CY19" s="9">
        <f t="shared" si="45"/>
        <v>1.5578294588568826E-5</v>
      </c>
      <c r="CZ19" s="9">
        <f t="shared" si="46"/>
        <v>2.7565576404888643E-6</v>
      </c>
      <c r="DA19">
        <f t="shared" si="121"/>
        <v>-1.0417893268272895</v>
      </c>
      <c r="DB19">
        <f t="shared" si="47"/>
        <v>-1.0336013122174668</v>
      </c>
      <c r="DC19" s="3">
        <v>0</v>
      </c>
      <c r="DD19">
        <f t="shared" si="92"/>
        <v>5.9910383800255484</v>
      </c>
      <c r="DE19">
        <f t="shared" si="93"/>
        <v>24.319800246306301</v>
      </c>
      <c r="DF19">
        <f t="shared" si="49"/>
        <v>19.895815527967304</v>
      </c>
      <c r="DG19">
        <f t="shared" si="50"/>
        <v>2.5125024117510115</v>
      </c>
      <c r="DH19">
        <f t="shared" si="51"/>
        <v>0.32033550572236758</v>
      </c>
      <c r="DI19">
        <f t="shared" si="52"/>
        <v>5.4684893871750628E-3</v>
      </c>
      <c r="DJ19">
        <f t="shared" si="53"/>
        <v>1.9446940650402174E-3</v>
      </c>
      <c r="DK19">
        <f t="shared" si="54"/>
        <v>5.6513581866570644E-4</v>
      </c>
      <c r="DL19">
        <f t="shared" si="55"/>
        <v>1E-4</v>
      </c>
      <c r="DM19">
        <f t="shared" si="56"/>
        <v>1968</v>
      </c>
      <c r="DN19" s="9" t="str">
        <f t="shared" si="94"/>
        <v/>
      </c>
      <c r="DO19" s="9" t="str">
        <f t="shared" si="57"/>
        <v/>
      </c>
      <c r="DP19" s="9" t="str">
        <f t="shared" si="58"/>
        <v/>
      </c>
      <c r="DQ19" s="9" t="str">
        <f t="shared" si="59"/>
        <v/>
      </c>
      <c r="DR19" s="9" t="str">
        <f t="shared" si="60"/>
        <v/>
      </c>
      <c r="DS19" s="9" t="str">
        <f t="shared" si="61"/>
        <v/>
      </c>
      <c r="DT19" s="9" t="str">
        <f t="shared" si="62"/>
        <v/>
      </c>
      <c r="DU19" s="9" t="str">
        <f t="shared" si="63"/>
        <v/>
      </c>
      <c r="DV19" s="9" t="str">
        <f t="shared" si="64"/>
        <v/>
      </c>
      <c r="DW19">
        <f t="shared" si="95"/>
        <v>0</v>
      </c>
      <c r="DX19">
        <f t="shared" si="96"/>
        <v>1968</v>
      </c>
      <c r="DY19" s="9" t="str">
        <f t="shared" si="97"/>
        <v/>
      </c>
      <c r="DZ19" s="9" t="str">
        <f t="shared" si="98"/>
        <v/>
      </c>
      <c r="EA19" s="9" t="str">
        <f t="shared" si="99"/>
        <v/>
      </c>
      <c r="EB19" s="9" t="str">
        <f t="shared" si="100"/>
        <v/>
      </c>
      <c r="EC19" s="9" t="str">
        <f t="shared" si="101"/>
        <v/>
      </c>
      <c r="ED19" s="9" t="str">
        <f t="shared" si="102"/>
        <v/>
      </c>
      <c r="EE19" s="9" t="str">
        <f t="shared" si="103"/>
        <v/>
      </c>
      <c r="EF19" s="9" t="str">
        <f t="shared" si="104"/>
        <v/>
      </c>
      <c r="EG19" s="9" t="str">
        <f t="shared" si="105"/>
        <v/>
      </c>
      <c r="EI19">
        <f t="shared" si="106"/>
        <v>175</v>
      </c>
      <c r="EJ19" s="8">
        <f t="shared" si="107"/>
        <v>363.73937555556347</v>
      </c>
      <c r="EK19" s="8">
        <f t="shared" si="66"/>
        <v>205.1681994826412</v>
      </c>
      <c r="EL19" s="8">
        <f t="shared" si="67"/>
        <v>10.604602902745253</v>
      </c>
      <c r="EM19" s="8">
        <f t="shared" si="68"/>
        <v>1.791759469228055</v>
      </c>
      <c r="EN19" s="8">
        <f t="shared" si="69"/>
        <v>0</v>
      </c>
      <c r="EO19" s="8">
        <f t="shared" si="70"/>
        <v>0</v>
      </c>
      <c r="EP19" s="8">
        <f t="shared" si="71"/>
        <v>0</v>
      </c>
      <c r="EQ19">
        <f t="shared" si="108"/>
        <v>581.30393741017792</v>
      </c>
      <c r="ES19" s="8">
        <f t="shared" si="109"/>
        <v>382.64994963014857</v>
      </c>
      <c r="ET19" s="8">
        <f t="shared" si="72"/>
        <v>206.51309713086877</v>
      </c>
      <c r="EU19" s="8">
        <f t="shared" si="73"/>
        <v>7.1188741923235845</v>
      </c>
      <c r="EV19" s="8">
        <f t="shared" si="74"/>
        <v>-2.5483963893726713</v>
      </c>
      <c r="EW19" s="8">
        <f t="shared" si="75"/>
        <v>0</v>
      </c>
      <c r="EX19" s="8">
        <f t="shared" si="76"/>
        <v>0</v>
      </c>
      <c r="EY19" s="8">
        <f t="shared" si="77"/>
        <v>0</v>
      </c>
      <c r="EZ19">
        <f t="shared" si="110"/>
        <v>593.73352456396822</v>
      </c>
      <c r="FB19">
        <f t="shared" si="111"/>
        <v>732.3393531467392</v>
      </c>
      <c r="FC19">
        <f t="shared" si="112"/>
        <v>7.8801161425749306</v>
      </c>
      <c r="FD19">
        <f t="shared" si="113"/>
        <v>766.96637753087487</v>
      </c>
      <c r="FE19">
        <f t="shared" si="114"/>
        <v>-14.317321087770438</v>
      </c>
      <c r="FG19">
        <f t="shared" si="115"/>
        <v>8.3118679755005509</v>
      </c>
      <c r="FJ19">
        <v>7.1188649321616122</v>
      </c>
    </row>
    <row r="20" spans="1:166" x14ac:dyDescent="0.3">
      <c r="A20" s="8" t="s">
        <v>162</v>
      </c>
      <c r="B20" s="8">
        <f>Ssspawn/varssb+Ssrelm/varrelm+B16</f>
        <v>2671.6525950990535</v>
      </c>
      <c r="D20">
        <v>1969</v>
      </c>
      <c r="E20">
        <f t="shared" si="78"/>
        <v>12.383499503849579</v>
      </c>
      <c r="F20">
        <f t="shared" si="79"/>
        <v>0.17624345861451643</v>
      </c>
      <c r="G20">
        <f t="shared" si="80"/>
        <v>0.56606051807866742</v>
      </c>
      <c r="H20">
        <f t="shared" si="81"/>
        <v>0</v>
      </c>
      <c r="I20" s="2">
        <v>1.9184995038495793</v>
      </c>
      <c r="J20">
        <f t="shared" si="82"/>
        <v>1.9184995038495793</v>
      </c>
      <c r="K20" s="2">
        <v>0</v>
      </c>
      <c r="L20">
        <f t="shared" si="116"/>
        <v>10.465</v>
      </c>
      <c r="M20" s="25">
        <f t="shared" si="117"/>
        <v>0</v>
      </c>
      <c r="N20" s="25">
        <f t="shared" si="0"/>
        <v>0</v>
      </c>
      <c r="O20" s="25">
        <f t="shared" si="1"/>
        <v>0</v>
      </c>
      <c r="P20" s="25">
        <f t="shared" si="2"/>
        <v>0</v>
      </c>
      <c r="Q20" s="25">
        <f t="shared" si="3"/>
        <v>0</v>
      </c>
      <c r="R20" s="25">
        <f t="shared" si="4"/>
        <v>0</v>
      </c>
      <c r="S20" s="25">
        <f t="shared" si="5"/>
        <v>0</v>
      </c>
      <c r="T20" s="25">
        <f t="shared" si="6"/>
        <v>0</v>
      </c>
      <c r="U20" s="25">
        <f t="shared" si="7"/>
        <v>0</v>
      </c>
      <c r="V20">
        <f t="shared" si="8"/>
        <v>0</v>
      </c>
      <c r="W20">
        <f t="shared" si="118"/>
        <v>0.29282064770304378</v>
      </c>
      <c r="X20">
        <f t="shared" si="9"/>
        <v>36.309760315177428</v>
      </c>
      <c r="Y20">
        <f t="shared" si="10"/>
        <v>29.28206477030438</v>
      </c>
      <c r="Z20">
        <f t="shared" si="11"/>
        <v>18.740521452994802</v>
      </c>
      <c r="AA20">
        <f t="shared" si="12"/>
        <v>2.3425651816243502</v>
      </c>
      <c r="AB20">
        <f t="shared" si="13"/>
        <v>0.87846194310913139</v>
      </c>
      <c r="AC20">
        <f t="shared" si="14"/>
        <v>0</v>
      </c>
      <c r="AD20">
        <f t="shared" si="15"/>
        <v>0</v>
      </c>
      <c r="AE20">
        <f t="shared" si="16"/>
        <v>0</v>
      </c>
      <c r="AF20">
        <f t="shared" si="17"/>
        <v>87.846194310913134</v>
      </c>
      <c r="AG20" s="2">
        <v>5.7200000000000001E-2</v>
      </c>
      <c r="AH20" s="2">
        <v>0.1018</v>
      </c>
      <c r="AI20" s="2">
        <v>0.12330000000000001</v>
      </c>
      <c r="AJ20" s="2">
        <v>0.1409</v>
      </c>
      <c r="AK20" s="2">
        <v>0.156</v>
      </c>
      <c r="AL20" s="2">
        <v>0.1542</v>
      </c>
      <c r="AM20" s="2">
        <v>0.15359999999999999</v>
      </c>
      <c r="AN20" s="2">
        <v>0.16539999999999999</v>
      </c>
      <c r="AO20" s="2">
        <v>0.15720000000000001</v>
      </c>
      <c r="AP20">
        <f t="shared" si="119"/>
        <v>0.11912866666666666</v>
      </c>
      <c r="AQ20" s="3">
        <v>1</v>
      </c>
      <c r="AR20" s="3">
        <v>124</v>
      </c>
      <c r="AS20" s="3">
        <v>100</v>
      </c>
      <c r="AT20" s="3">
        <v>64</v>
      </c>
      <c r="AU20" s="3">
        <v>8</v>
      </c>
      <c r="AV20" s="3">
        <v>3</v>
      </c>
      <c r="AW20" s="3">
        <v>0</v>
      </c>
      <c r="AX20" s="3">
        <v>0</v>
      </c>
      <c r="AY20" s="3">
        <v>0</v>
      </c>
      <c r="AZ20">
        <f t="shared" si="83"/>
        <v>300</v>
      </c>
      <c r="BA20">
        <f t="shared" si="18"/>
        <v>1969</v>
      </c>
      <c r="BB20">
        <f t="shared" si="122"/>
        <v>0.91797943539723825</v>
      </c>
      <c r="BC20">
        <f t="shared" si="123"/>
        <v>0.29000327650070423</v>
      </c>
      <c r="BD20">
        <f t="shared" si="84"/>
        <v>5.3681439783583564E-2</v>
      </c>
      <c r="BE20">
        <f t="shared" si="19"/>
        <v>6.6564985331643625</v>
      </c>
      <c r="BF20">
        <f t="shared" si="20"/>
        <v>5.3681439783583569</v>
      </c>
      <c r="BG20">
        <f t="shared" si="21"/>
        <v>3.4356121461493481</v>
      </c>
      <c r="BH20">
        <f t="shared" si="22"/>
        <v>0.42945151826866851</v>
      </c>
      <c r="BI20">
        <f t="shared" si="23"/>
        <v>0.1610443193507507</v>
      </c>
      <c r="BJ20">
        <f t="shared" si="24"/>
        <v>0</v>
      </c>
      <c r="BK20">
        <f t="shared" si="25"/>
        <v>0</v>
      </c>
      <c r="BL20">
        <f t="shared" si="26"/>
        <v>0</v>
      </c>
      <c r="BM20" s="23">
        <f t="shared" si="85"/>
        <v>263.61524206369398</v>
      </c>
      <c r="BN20" s="23">
        <f t="shared" si="27"/>
        <v>64.813313524755401</v>
      </c>
      <c r="BO20" s="23">
        <f t="shared" si="28"/>
        <v>26.029531907510677</v>
      </c>
      <c r="BP20" s="23">
        <f t="shared" si="29"/>
        <v>16.375846330785635</v>
      </c>
      <c r="BQ20" s="23">
        <f t="shared" si="30"/>
        <v>1.547222341211842</v>
      </c>
      <c r="BR20" s="23">
        <f t="shared" si="31"/>
        <v>0.16769668784363737</v>
      </c>
      <c r="BS20" s="23">
        <f t="shared" si="32"/>
        <v>2.2643953472662255E-3</v>
      </c>
      <c r="BT20" s="23">
        <f t="shared" si="33"/>
        <v>5.8297357381328658E-4</v>
      </c>
      <c r="BU20" s="23">
        <f t="shared" si="34"/>
        <v>1E-4</v>
      </c>
      <c r="BV20">
        <f t="shared" si="86"/>
        <v>8.9670080714741864</v>
      </c>
      <c r="BW20">
        <v>1.2657207905347494</v>
      </c>
      <c r="BX20" s="2">
        <v>10.465</v>
      </c>
      <c r="CJ20">
        <v>1969</v>
      </c>
      <c r="CK20">
        <f t="shared" si="88"/>
        <v>175</v>
      </c>
      <c r="CL20">
        <f t="shared" si="89"/>
        <v>44.123244636272872</v>
      </c>
      <c r="CM20" s="9">
        <f t="shared" si="120"/>
        <v>0.5714285714285714</v>
      </c>
      <c r="CN20" s="9">
        <f t="shared" si="90"/>
        <v>0.36571428571428571</v>
      </c>
      <c r="CO20" s="9">
        <f t="shared" si="36"/>
        <v>4.5714285714285714E-2</v>
      </c>
      <c r="CP20" s="9">
        <f t="shared" si="37"/>
        <v>1.7142857142857144E-2</v>
      </c>
      <c r="CQ20" s="27">
        <f t="shared" si="38"/>
        <v>0</v>
      </c>
      <c r="CR20" s="27">
        <f t="shared" si="39"/>
        <v>0</v>
      </c>
      <c r="CS20" s="27">
        <f t="shared" si="40"/>
        <v>0</v>
      </c>
      <c r="CT20" s="29">
        <f t="shared" si="91"/>
        <v>0.58992787411903747</v>
      </c>
      <c r="CU20" s="9">
        <f t="shared" si="41"/>
        <v>0.37113876066410961</v>
      </c>
      <c r="CV20" s="9">
        <f t="shared" si="42"/>
        <v>3.5065923958364116E-2</v>
      </c>
      <c r="CW20" s="9">
        <f t="shared" si="43"/>
        <v>3.8006427049060926E-3</v>
      </c>
      <c r="CX20" s="9">
        <f t="shared" si="44"/>
        <v>5.1319783164919601E-5</v>
      </c>
      <c r="CY20" s="9">
        <f t="shared" si="45"/>
        <v>1.3212391305738998E-5</v>
      </c>
      <c r="CZ20" s="9">
        <f t="shared" si="46"/>
        <v>2.2663791120608551E-6</v>
      </c>
      <c r="DA20">
        <f t="shared" si="121"/>
        <v>-0.91275184220950822</v>
      </c>
      <c r="DB20">
        <f t="shared" si="47"/>
        <v>-0.90551808311850801</v>
      </c>
      <c r="DC20" s="3">
        <v>0</v>
      </c>
      <c r="DD20">
        <f t="shared" si="92"/>
        <v>16.941280213411883</v>
      </c>
      <c r="DE20">
        <f t="shared" si="93"/>
        <v>37.785036280246182</v>
      </c>
      <c r="DF20">
        <f t="shared" si="49"/>
        <v>17.4559055536701</v>
      </c>
      <c r="DG20">
        <f t="shared" si="50"/>
        <v>12.940234184636287</v>
      </c>
      <c r="DH20">
        <f t="shared" si="51"/>
        <v>1.1177708229431735</v>
      </c>
      <c r="DI20">
        <f t="shared" si="52"/>
        <v>6.6523684928866678E-3</v>
      </c>
      <c r="DJ20">
        <f t="shared" si="53"/>
        <v>2.2643953472662255E-3</v>
      </c>
      <c r="DK20">
        <f t="shared" si="54"/>
        <v>5.8297357381328658E-4</v>
      </c>
      <c r="DL20">
        <f t="shared" si="55"/>
        <v>1E-4</v>
      </c>
      <c r="DM20">
        <f t="shared" si="56"/>
        <v>1969</v>
      </c>
      <c r="DN20" s="9" t="str">
        <f t="shared" si="94"/>
        <v/>
      </c>
      <c r="DO20" s="9" t="str">
        <f t="shared" si="57"/>
        <v/>
      </c>
      <c r="DP20" s="9" t="str">
        <f t="shared" si="58"/>
        <v/>
      </c>
      <c r="DQ20" s="9" t="str">
        <f t="shared" si="59"/>
        <v/>
      </c>
      <c r="DR20" s="9" t="str">
        <f t="shared" si="60"/>
        <v/>
      </c>
      <c r="DS20" s="9" t="str">
        <f t="shared" si="61"/>
        <v/>
      </c>
      <c r="DT20" s="9" t="str">
        <f t="shared" si="62"/>
        <v/>
      </c>
      <c r="DU20" s="9" t="str">
        <f t="shared" si="63"/>
        <v/>
      </c>
      <c r="DV20" s="9" t="str">
        <f t="shared" si="64"/>
        <v/>
      </c>
      <c r="DW20">
        <f t="shared" si="95"/>
        <v>0</v>
      </c>
      <c r="DX20">
        <f t="shared" si="96"/>
        <v>1969</v>
      </c>
      <c r="DY20" s="9" t="str">
        <f t="shared" si="97"/>
        <v/>
      </c>
      <c r="DZ20" s="9" t="str">
        <f t="shared" si="98"/>
        <v/>
      </c>
      <c r="EA20" s="9" t="str">
        <f t="shared" si="99"/>
        <v/>
      </c>
      <c r="EB20" s="9" t="str">
        <f t="shared" si="100"/>
        <v/>
      </c>
      <c r="EC20" s="9" t="str">
        <f t="shared" si="101"/>
        <v/>
      </c>
      <c r="ED20" s="9" t="str">
        <f t="shared" si="102"/>
        <v/>
      </c>
      <c r="EE20" s="9" t="str">
        <f t="shared" si="103"/>
        <v/>
      </c>
      <c r="EF20" s="9" t="str">
        <f t="shared" si="104"/>
        <v/>
      </c>
      <c r="EG20" s="9" t="str">
        <f t="shared" si="105"/>
        <v/>
      </c>
      <c r="EI20">
        <f t="shared" si="106"/>
        <v>175</v>
      </c>
      <c r="EJ20" s="8">
        <f t="shared" si="107"/>
        <v>363.73937555556347</v>
      </c>
      <c r="EK20" s="8">
        <f t="shared" si="66"/>
        <v>205.1681994826412</v>
      </c>
      <c r="EL20" s="8">
        <f t="shared" si="67"/>
        <v>10.604602902745253</v>
      </c>
      <c r="EM20" s="8">
        <f t="shared" si="68"/>
        <v>1.791759469228055</v>
      </c>
      <c r="EN20" s="8">
        <f t="shared" si="69"/>
        <v>0</v>
      </c>
      <c r="EO20" s="8">
        <f t="shared" si="70"/>
        <v>0</v>
      </c>
      <c r="EP20" s="8">
        <f t="shared" si="71"/>
        <v>0</v>
      </c>
      <c r="EQ20">
        <f t="shared" si="108"/>
        <v>581.30393741017792</v>
      </c>
      <c r="ES20" s="8">
        <f t="shared" si="109"/>
        <v>377.57435228442324</v>
      </c>
      <c r="ET20" s="8">
        <f t="shared" si="72"/>
        <v>212.3403557418857</v>
      </c>
      <c r="EU20" s="8">
        <f t="shared" si="73"/>
        <v>7.8625549197040634</v>
      </c>
      <c r="EV20" s="8">
        <f t="shared" si="74"/>
        <v>-2.7980373421726745</v>
      </c>
      <c r="EW20" s="8">
        <f t="shared" si="75"/>
        <v>0</v>
      </c>
      <c r="EX20" s="8">
        <f t="shared" si="76"/>
        <v>0</v>
      </c>
      <c r="EY20" s="8">
        <f t="shared" si="77"/>
        <v>0</v>
      </c>
      <c r="EZ20">
        <f t="shared" si="110"/>
        <v>594.9792256038404</v>
      </c>
      <c r="FB20">
        <f t="shared" si="111"/>
        <v>732.3393531467392</v>
      </c>
      <c r="FC20">
        <f t="shared" si="112"/>
        <v>7.8801161425749306</v>
      </c>
      <c r="FD20">
        <f t="shared" si="113"/>
        <v>766.96637753087487</v>
      </c>
      <c r="FE20">
        <f t="shared" si="114"/>
        <v>-13.07162004789825</v>
      </c>
      <c r="FG20">
        <f t="shared" si="115"/>
        <v>8.3118679755005509</v>
      </c>
      <c r="FJ20">
        <v>9.7149412174114698</v>
      </c>
    </row>
    <row r="21" spans="1:166" x14ac:dyDescent="0.3">
      <c r="D21">
        <v>1970</v>
      </c>
      <c r="E21">
        <f t="shared" si="78"/>
        <v>28.766292223453735</v>
      </c>
      <c r="F21">
        <f t="shared" si="79"/>
        <v>8.4482105056024451E-2</v>
      </c>
      <c r="G21">
        <f t="shared" si="80"/>
        <v>0.49751297011495016</v>
      </c>
      <c r="H21">
        <f t="shared" si="81"/>
        <v>0</v>
      </c>
      <c r="I21" s="2">
        <v>1.8542922234537356</v>
      </c>
      <c r="J21">
        <f t="shared" si="82"/>
        <v>1.8542922234537356</v>
      </c>
      <c r="K21" s="2">
        <v>0</v>
      </c>
      <c r="L21">
        <f t="shared" si="116"/>
        <v>26.911999999999999</v>
      </c>
      <c r="M21" s="25">
        <f t="shared" si="117"/>
        <v>0</v>
      </c>
      <c r="N21" s="25">
        <f t="shared" si="0"/>
        <v>0</v>
      </c>
      <c r="O21" s="25">
        <f t="shared" si="1"/>
        <v>0</v>
      </c>
      <c r="P21" s="25">
        <f t="shared" si="2"/>
        <v>0</v>
      </c>
      <c r="Q21" s="25">
        <f t="shared" si="3"/>
        <v>0</v>
      </c>
      <c r="R21" s="25">
        <f t="shared" si="4"/>
        <v>0</v>
      </c>
      <c r="S21" s="25">
        <f t="shared" si="5"/>
        <v>0</v>
      </c>
      <c r="T21" s="25">
        <f t="shared" si="6"/>
        <v>0</v>
      </c>
      <c r="U21" s="25">
        <f t="shared" si="7"/>
        <v>0</v>
      </c>
      <c r="V21">
        <f t="shared" si="8"/>
        <v>0</v>
      </c>
      <c r="W21">
        <f t="shared" si="118"/>
        <v>0.74198858012522706</v>
      </c>
      <c r="X21">
        <f t="shared" si="9"/>
        <v>92.00658393552817</v>
      </c>
      <c r="Y21">
        <f t="shared" si="10"/>
        <v>74.198858012522706</v>
      </c>
      <c r="Z21">
        <f t="shared" si="11"/>
        <v>47.487269128014532</v>
      </c>
      <c r="AA21">
        <f t="shared" si="12"/>
        <v>5.9359086410018165</v>
      </c>
      <c r="AB21">
        <f t="shared" si="13"/>
        <v>2.2259657403756812</v>
      </c>
      <c r="AC21">
        <f t="shared" si="14"/>
        <v>0</v>
      </c>
      <c r="AD21">
        <f t="shared" si="15"/>
        <v>0</v>
      </c>
      <c r="AE21">
        <f t="shared" si="16"/>
        <v>0</v>
      </c>
      <c r="AF21">
        <f t="shared" si="17"/>
        <v>222.5965740375681</v>
      </c>
      <c r="AG21" s="2">
        <v>5.6399999999999999E-2</v>
      </c>
      <c r="AH21" s="2">
        <v>0.1036</v>
      </c>
      <c r="AI21" s="2">
        <v>0.12529999999999999</v>
      </c>
      <c r="AJ21" s="2">
        <v>0.1421</v>
      </c>
      <c r="AK21" s="2">
        <v>0.15820000000000001</v>
      </c>
      <c r="AL21" s="2">
        <v>0.15909999999999999</v>
      </c>
      <c r="AM21" s="2">
        <v>0.15390000000000001</v>
      </c>
      <c r="AN21" s="2">
        <v>0.16569999999999999</v>
      </c>
      <c r="AO21" s="2">
        <v>0.1573</v>
      </c>
      <c r="AP21">
        <f t="shared" si="119"/>
        <v>0.12090033333333333</v>
      </c>
      <c r="AQ21" s="3">
        <v>1</v>
      </c>
      <c r="AR21" s="3">
        <v>124</v>
      </c>
      <c r="AS21" s="3">
        <v>100</v>
      </c>
      <c r="AT21" s="3">
        <v>64</v>
      </c>
      <c r="AU21" s="3">
        <v>8</v>
      </c>
      <c r="AV21" s="3">
        <v>3</v>
      </c>
      <c r="AW21" s="3">
        <v>0</v>
      </c>
      <c r="AX21" s="3">
        <v>0</v>
      </c>
      <c r="AY21" s="3">
        <v>0</v>
      </c>
      <c r="AZ21">
        <f t="shared" si="83"/>
        <v>300</v>
      </c>
      <c r="BA21">
        <f t="shared" si="18"/>
        <v>1970</v>
      </c>
      <c r="BB21">
        <f t="shared" si="122"/>
        <v>-8.2475694282569595E-2</v>
      </c>
      <c r="BC21">
        <f t="shared" si="123"/>
        <v>0.45970620270416407</v>
      </c>
      <c r="BD21">
        <f t="shared" si="84"/>
        <v>5.1124541246198266E-2</v>
      </c>
      <c r="BE21">
        <f t="shared" si="19"/>
        <v>6.3394431145285841</v>
      </c>
      <c r="BF21">
        <f t="shared" si="20"/>
        <v>5.112454124619827</v>
      </c>
      <c r="BG21">
        <f t="shared" si="21"/>
        <v>3.271970639756689</v>
      </c>
      <c r="BH21">
        <f t="shared" si="22"/>
        <v>0.40899632996958613</v>
      </c>
      <c r="BI21">
        <f t="shared" si="23"/>
        <v>0.15337362373859478</v>
      </c>
      <c r="BJ21">
        <f t="shared" si="24"/>
        <v>0</v>
      </c>
      <c r="BK21">
        <f t="shared" si="25"/>
        <v>0</v>
      </c>
      <c r="BL21">
        <f t="shared" si="26"/>
        <v>0</v>
      </c>
      <c r="BM21" s="23">
        <f t="shared" si="85"/>
        <v>492.32741656572324</v>
      </c>
      <c r="BN21" s="23">
        <f t="shared" si="27"/>
        <v>181.6544619964599</v>
      </c>
      <c r="BO21" s="23">
        <f t="shared" si="28"/>
        <v>40.083351899289454</v>
      </c>
      <c r="BP21" s="23">
        <f t="shared" si="29"/>
        <v>14.2403792043017</v>
      </c>
      <c r="BQ21" s="23">
        <f t="shared" si="30"/>
        <v>7.8749532610672883</v>
      </c>
      <c r="BR21" s="23">
        <f t="shared" si="31"/>
        <v>0.57609070080968672</v>
      </c>
      <c r="BS21" s="23">
        <f t="shared" si="32"/>
        <v>2.7059528734839026E-3</v>
      </c>
      <c r="BT21" s="23">
        <f t="shared" si="33"/>
        <v>6.6498744124023437E-4</v>
      </c>
      <c r="BU21" s="23">
        <f t="shared" si="34"/>
        <v>1E-4</v>
      </c>
      <c r="BV21">
        <f t="shared" si="86"/>
        <v>20.094642669019155</v>
      </c>
      <c r="BW21">
        <v>1.3917803963409221</v>
      </c>
      <c r="BX21" s="2">
        <v>26.911999999999999</v>
      </c>
      <c r="CJ21">
        <v>1970</v>
      </c>
      <c r="CK21">
        <f t="shared" si="88"/>
        <v>175</v>
      </c>
      <c r="CL21">
        <f t="shared" si="89"/>
        <v>62.778246005782862</v>
      </c>
      <c r="CM21" s="9">
        <f t="shared" si="120"/>
        <v>0.5714285714285714</v>
      </c>
      <c r="CN21" s="9">
        <f t="shared" si="90"/>
        <v>0.36571428571428571</v>
      </c>
      <c r="CO21" s="9">
        <f t="shared" si="36"/>
        <v>4.5714285714285714E-2</v>
      </c>
      <c r="CP21" s="9">
        <f t="shared" si="37"/>
        <v>1.7142857142857144E-2</v>
      </c>
      <c r="CQ21" s="27">
        <f t="shared" si="38"/>
        <v>0</v>
      </c>
      <c r="CR21" s="27">
        <f t="shared" si="39"/>
        <v>0</v>
      </c>
      <c r="CS21" s="27">
        <f t="shared" si="40"/>
        <v>0</v>
      </c>
      <c r="CT21" s="29">
        <f t="shared" si="91"/>
        <v>0.63849110877671145</v>
      </c>
      <c r="CU21" s="9">
        <f t="shared" si="41"/>
        <v>0.22683620697191728</v>
      </c>
      <c r="CV21" s="9">
        <f t="shared" si="42"/>
        <v>0.12544079776204453</v>
      </c>
      <c r="CW21" s="9">
        <f t="shared" si="43"/>
        <v>9.1765975869510553E-3</v>
      </c>
      <c r="CX21" s="9">
        <f t="shared" si="44"/>
        <v>4.3103352604573276E-5</v>
      </c>
      <c r="CY21" s="9">
        <f t="shared" si="45"/>
        <v>1.0592641297735184E-5</v>
      </c>
      <c r="CZ21" s="9">
        <f t="shared" si="46"/>
        <v>1.5929084732757337E-6</v>
      </c>
      <c r="DA21">
        <f t="shared" si="121"/>
        <v>-0.97423042062349408</v>
      </c>
      <c r="DB21">
        <f t="shared" si="47"/>
        <v>-0.96959605465966503</v>
      </c>
      <c r="DC21" s="3">
        <v>0</v>
      </c>
      <c r="DD21">
        <f t="shared" si="92"/>
        <v>31.642666653907547</v>
      </c>
      <c r="DE21">
        <f t="shared" si="93"/>
        <v>113.90383654750748</v>
      </c>
      <c r="DF21">
        <f t="shared" si="49"/>
        <v>29.545386339722526</v>
      </c>
      <c r="DG21">
        <f t="shared" si="50"/>
        <v>10.968408564545012</v>
      </c>
      <c r="DH21">
        <f t="shared" si="51"/>
        <v>7.4659569310977023</v>
      </c>
      <c r="DI21">
        <f t="shared" si="52"/>
        <v>0.42271707707109196</v>
      </c>
      <c r="DJ21">
        <f t="shared" si="53"/>
        <v>2.7059528734839026E-3</v>
      </c>
      <c r="DK21">
        <f t="shared" si="54"/>
        <v>6.6498744124023437E-4</v>
      </c>
      <c r="DL21">
        <f t="shared" si="55"/>
        <v>1E-4</v>
      </c>
      <c r="DM21">
        <f t="shared" si="56"/>
        <v>1970</v>
      </c>
      <c r="DN21" s="9" t="str">
        <f t="shared" si="94"/>
        <v/>
      </c>
      <c r="DO21" s="9" t="str">
        <f t="shared" si="57"/>
        <v/>
      </c>
      <c r="DP21" s="9" t="str">
        <f t="shared" si="58"/>
        <v/>
      </c>
      <c r="DQ21" s="9" t="str">
        <f t="shared" si="59"/>
        <v/>
      </c>
      <c r="DR21" s="9" t="str">
        <f t="shared" si="60"/>
        <v/>
      </c>
      <c r="DS21" s="9" t="str">
        <f t="shared" si="61"/>
        <v/>
      </c>
      <c r="DT21" s="9" t="str">
        <f t="shared" si="62"/>
        <v/>
      </c>
      <c r="DU21" s="9" t="str">
        <f t="shared" si="63"/>
        <v/>
      </c>
      <c r="DV21" s="9" t="str">
        <f t="shared" si="64"/>
        <v/>
      </c>
      <c r="DW21">
        <f t="shared" si="95"/>
        <v>0</v>
      </c>
      <c r="DX21">
        <f t="shared" si="96"/>
        <v>1970</v>
      </c>
      <c r="DY21" s="9" t="str">
        <f t="shared" si="97"/>
        <v/>
      </c>
      <c r="DZ21" s="9" t="str">
        <f t="shared" si="98"/>
        <v/>
      </c>
      <c r="EA21" s="9" t="str">
        <f t="shared" si="99"/>
        <v/>
      </c>
      <c r="EB21" s="9" t="str">
        <f t="shared" si="100"/>
        <v/>
      </c>
      <c r="EC21" s="9" t="str">
        <f t="shared" si="101"/>
        <v/>
      </c>
      <c r="ED21" s="9" t="str">
        <f t="shared" si="102"/>
        <v/>
      </c>
      <c r="EE21" s="9" t="str">
        <f t="shared" si="103"/>
        <v/>
      </c>
      <c r="EF21" s="9" t="str">
        <f t="shared" si="104"/>
        <v/>
      </c>
      <c r="EG21" s="9" t="str">
        <f t="shared" si="105"/>
        <v/>
      </c>
      <c r="EI21">
        <f t="shared" si="106"/>
        <v>175</v>
      </c>
      <c r="EJ21" s="8">
        <f t="shared" si="107"/>
        <v>363.73937555556347</v>
      </c>
      <c r="EK21" s="8">
        <f t="shared" si="66"/>
        <v>205.1681994826412</v>
      </c>
      <c r="EL21" s="8">
        <f t="shared" si="67"/>
        <v>10.604602902745253</v>
      </c>
      <c r="EM21" s="8">
        <f t="shared" si="68"/>
        <v>1.791759469228055</v>
      </c>
      <c r="EN21" s="8">
        <f t="shared" si="69"/>
        <v>0</v>
      </c>
      <c r="EO21" s="8">
        <f t="shared" si="70"/>
        <v>0</v>
      </c>
      <c r="EP21" s="8">
        <f t="shared" si="71"/>
        <v>0</v>
      </c>
      <c r="EQ21">
        <f t="shared" si="108"/>
        <v>581.30393741017792</v>
      </c>
      <c r="ES21" s="8">
        <f t="shared" si="109"/>
        <v>378.76946279522349</v>
      </c>
      <c r="ET21" s="8">
        <f t="shared" si="72"/>
        <v>208.34773225026586</v>
      </c>
      <c r="EU21" s="8">
        <f t="shared" si="73"/>
        <v>10.502817340179037</v>
      </c>
      <c r="EV21" s="8">
        <f t="shared" si="74"/>
        <v>-1.8571021655802582</v>
      </c>
      <c r="EW21" s="8">
        <f t="shared" si="75"/>
        <v>0</v>
      </c>
      <c r="EX21" s="8">
        <f t="shared" si="76"/>
        <v>0</v>
      </c>
      <c r="EY21" s="8">
        <f t="shared" si="77"/>
        <v>0</v>
      </c>
      <c r="EZ21">
        <f t="shared" si="110"/>
        <v>595.76291022008809</v>
      </c>
      <c r="FB21">
        <f t="shared" si="111"/>
        <v>732.3393531467392</v>
      </c>
      <c r="FC21">
        <f t="shared" si="112"/>
        <v>7.8801161425749306</v>
      </c>
      <c r="FD21">
        <f t="shared" si="113"/>
        <v>766.96637753087487</v>
      </c>
      <c r="FE21">
        <f t="shared" si="114"/>
        <v>-12.287935431650567</v>
      </c>
      <c r="FG21">
        <f t="shared" si="115"/>
        <v>8.3118679755005509</v>
      </c>
      <c r="FJ21">
        <v>16.99088332033617</v>
      </c>
    </row>
    <row r="22" spans="1:166" x14ac:dyDescent="0.3">
      <c r="D22">
        <v>1971</v>
      </c>
      <c r="E22">
        <f t="shared" si="78"/>
        <v>38.060292223453736</v>
      </c>
      <c r="F22">
        <f t="shared" si="79"/>
        <v>4.5629074090682918E-2</v>
      </c>
      <c r="G22">
        <f t="shared" si="80"/>
        <v>0.47478900975465638</v>
      </c>
      <c r="H22">
        <f t="shared" si="81"/>
        <v>0</v>
      </c>
      <c r="I22" s="2">
        <v>1.8542922234537356</v>
      </c>
      <c r="J22">
        <f t="shared" si="82"/>
        <v>1.8542922234537356</v>
      </c>
      <c r="K22" s="2">
        <v>0</v>
      </c>
      <c r="L22">
        <f t="shared" si="116"/>
        <v>36.206000000000003</v>
      </c>
      <c r="M22" s="25">
        <f t="shared" si="117"/>
        <v>0</v>
      </c>
      <c r="N22" s="25">
        <f t="shared" si="0"/>
        <v>0</v>
      </c>
      <c r="O22" s="25">
        <f t="shared" si="1"/>
        <v>0</v>
      </c>
      <c r="P22" s="25">
        <f t="shared" si="2"/>
        <v>0</v>
      </c>
      <c r="Q22" s="25">
        <f t="shared" si="3"/>
        <v>0</v>
      </c>
      <c r="R22" s="25">
        <f t="shared" si="4"/>
        <v>0</v>
      </c>
      <c r="S22" s="25">
        <f t="shared" si="5"/>
        <v>0</v>
      </c>
      <c r="T22" s="25">
        <f t="shared" si="6"/>
        <v>0</v>
      </c>
      <c r="U22" s="25">
        <f t="shared" si="7"/>
        <v>0</v>
      </c>
      <c r="V22">
        <f t="shared" si="8"/>
        <v>0</v>
      </c>
      <c r="W22">
        <f t="shared" si="118"/>
        <v>1.0052754331408265</v>
      </c>
      <c r="X22">
        <f t="shared" si="9"/>
        <v>124.65415370946248</v>
      </c>
      <c r="Y22">
        <f t="shared" si="10"/>
        <v>100.52754331408265</v>
      </c>
      <c r="Z22">
        <f t="shared" si="11"/>
        <v>64.337627721012893</v>
      </c>
      <c r="AA22">
        <f t="shared" si="12"/>
        <v>8.0422034651266117</v>
      </c>
      <c r="AB22">
        <f t="shared" si="13"/>
        <v>3.0158262994224794</v>
      </c>
      <c r="AC22">
        <f t="shared" si="14"/>
        <v>0</v>
      </c>
      <c r="AD22">
        <f t="shared" si="15"/>
        <v>0</v>
      </c>
      <c r="AE22">
        <f t="shared" si="16"/>
        <v>0</v>
      </c>
      <c r="AF22">
        <f t="shared" si="17"/>
        <v>301.58262994224793</v>
      </c>
      <c r="AG22" s="2">
        <v>5.3900000000000003E-2</v>
      </c>
      <c r="AH22" s="2">
        <v>0.10290000000000001</v>
      </c>
      <c r="AI22" s="2">
        <v>0.1245</v>
      </c>
      <c r="AJ22" s="2">
        <v>0.1411</v>
      </c>
      <c r="AK22" s="2">
        <v>0.15559999999999999</v>
      </c>
      <c r="AL22" s="2">
        <v>0.15909999999999999</v>
      </c>
      <c r="AM22" s="2">
        <v>0.15359999999999999</v>
      </c>
      <c r="AN22" s="2">
        <v>0.16550000000000001</v>
      </c>
      <c r="AO22" s="2">
        <v>0.15709999999999999</v>
      </c>
      <c r="AP22">
        <f t="shared" si="119"/>
        <v>0.12005333333333333</v>
      </c>
      <c r="AQ22" s="3">
        <v>1</v>
      </c>
      <c r="AR22" s="3">
        <v>124</v>
      </c>
      <c r="AS22" s="3">
        <v>100</v>
      </c>
      <c r="AT22" s="3">
        <v>64</v>
      </c>
      <c r="AU22" s="3">
        <v>8</v>
      </c>
      <c r="AV22" s="3">
        <v>3</v>
      </c>
      <c r="AW22" s="3">
        <v>0</v>
      </c>
      <c r="AX22" s="3">
        <v>0</v>
      </c>
      <c r="AY22" s="3">
        <v>0</v>
      </c>
      <c r="AZ22">
        <f t="shared" si="83"/>
        <v>300</v>
      </c>
      <c r="BA22">
        <f t="shared" si="18"/>
        <v>1971</v>
      </c>
      <c r="BB22">
        <f t="shared" si="122"/>
        <v>0.54361486699782358</v>
      </c>
      <c r="BC22">
        <f t="shared" si="123"/>
        <v>0.31886952542664271</v>
      </c>
      <c r="BD22">
        <f t="shared" si="84"/>
        <v>5.1485234991496431E-2</v>
      </c>
      <c r="BE22">
        <f>$J22/$AP22*AR22/$AZ22</f>
        <v>6.3841691389455573</v>
      </c>
      <c r="BF22">
        <f t="shared" si="20"/>
        <v>5.1485234991496434</v>
      </c>
      <c r="BG22">
        <f t="shared" si="21"/>
        <v>3.2950550394557716</v>
      </c>
      <c r="BH22">
        <f t="shared" si="22"/>
        <v>0.41188187993197145</v>
      </c>
      <c r="BI22">
        <f t="shared" si="23"/>
        <v>0.15445570497448932</v>
      </c>
      <c r="BJ22">
        <f t="shared" si="24"/>
        <v>0</v>
      </c>
      <c r="BK22">
        <f t="shared" si="25"/>
        <v>0</v>
      </c>
      <c r="BL22">
        <f t="shared" si="26"/>
        <v>0</v>
      </c>
      <c r="BM22" s="23">
        <f t="shared" si="85"/>
        <v>386.07180749226558</v>
      </c>
      <c r="BN22" s="23">
        <f t="shared" si="27"/>
        <v>326.94511840830705</v>
      </c>
      <c r="BO22" s="23">
        <f t="shared" si="28"/>
        <v>116.43536258959642</v>
      </c>
      <c r="BP22" s="23">
        <f t="shared" si="29"/>
        <v>23.225847206325632</v>
      </c>
      <c r="BQ22" s="23">
        <f t="shared" si="30"/>
        <v>6.352828268430752</v>
      </c>
      <c r="BR22" s="23">
        <f t="shared" si="31"/>
        <v>3.602390969487951</v>
      </c>
      <c r="BS22" s="23">
        <f t="shared" si="32"/>
        <v>0.15981467536291064</v>
      </c>
      <c r="BT22" s="23">
        <f t="shared" si="33"/>
        <v>7.118665859304383E-4</v>
      </c>
      <c r="BU22" s="23">
        <f t="shared" si="34"/>
        <v>1E-4</v>
      </c>
      <c r="BV22">
        <f t="shared" si="86"/>
        <v>38.784100301639533</v>
      </c>
      <c r="BW22">
        <v>1.4558470035830215</v>
      </c>
      <c r="BX22" s="2">
        <v>36.206000000000003</v>
      </c>
      <c r="CJ22">
        <v>1971</v>
      </c>
      <c r="CK22">
        <f t="shared" si="88"/>
        <v>175</v>
      </c>
      <c r="CL22">
        <f t="shared" si="89"/>
        <v>149.7770555757896</v>
      </c>
      <c r="CM22" s="9">
        <f t="shared" si="120"/>
        <v>0.5714285714285714</v>
      </c>
      <c r="CN22" s="9">
        <f t="shared" si="90"/>
        <v>0.36571428571428571</v>
      </c>
      <c r="CO22" s="9">
        <f t="shared" si="36"/>
        <v>4.5714285714285714E-2</v>
      </c>
      <c r="CP22" s="9">
        <f t="shared" si="37"/>
        <v>1.7142857142857144E-2</v>
      </c>
      <c r="CQ22" s="27">
        <f t="shared" si="38"/>
        <v>0</v>
      </c>
      <c r="CR22" s="27">
        <f t="shared" si="39"/>
        <v>0</v>
      </c>
      <c r="CS22" s="27">
        <f t="shared" si="40"/>
        <v>0</v>
      </c>
      <c r="CT22" s="29">
        <f t="shared" si="91"/>
        <v>0.77739118413019048</v>
      </c>
      <c r="CU22" s="9">
        <f t="shared" si="41"/>
        <v>0.15506946051942502</v>
      </c>
      <c r="CV22" s="9">
        <f t="shared" si="42"/>
        <v>4.2415230049813062E-2</v>
      </c>
      <c r="CW22" s="9">
        <f t="shared" si="43"/>
        <v>2.4051687727731322E-2</v>
      </c>
      <c r="CX22" s="9">
        <f t="shared" si="44"/>
        <v>1.0670170724650268E-3</v>
      </c>
      <c r="CY22" s="9">
        <f t="shared" si="45"/>
        <v>4.7528413694193788E-6</v>
      </c>
      <c r="CZ22" s="9">
        <f t="shared" si="46"/>
        <v>6.6765900568394059E-7</v>
      </c>
      <c r="DA22">
        <f t="shared" si="121"/>
        <v>-1.0339051102809378</v>
      </c>
      <c r="DB22">
        <f t="shared" si="47"/>
        <v>-1.0290609859504429</v>
      </c>
      <c r="DC22" s="3">
        <v>0</v>
      </c>
      <c r="DD22">
        <f t="shared" si="92"/>
        <v>24.812717119868026</v>
      </c>
      <c r="DE22">
        <f t="shared" si="93"/>
        <v>208.27150007998765</v>
      </c>
      <c r="DF22">
        <f t="shared" si="49"/>
        <v>94.021396780822215</v>
      </c>
      <c r="DG22">
        <f t="shared" si="50"/>
        <v>19.93079216686986</v>
      </c>
      <c r="DH22">
        <f t="shared" si="51"/>
        <v>5.9409463884987801</v>
      </c>
      <c r="DI22">
        <f t="shared" si="52"/>
        <v>3.4479352645134616</v>
      </c>
      <c r="DJ22">
        <f t="shared" si="53"/>
        <v>0.15981467536291064</v>
      </c>
      <c r="DK22">
        <f t="shared" si="54"/>
        <v>7.118665859304383E-4</v>
      </c>
      <c r="DL22">
        <f t="shared" si="55"/>
        <v>1E-4</v>
      </c>
      <c r="DM22">
        <f t="shared" si="56"/>
        <v>1971</v>
      </c>
      <c r="DN22" s="9" t="str">
        <f t="shared" si="94"/>
        <v/>
      </c>
      <c r="DO22" s="9" t="str">
        <f t="shared" si="57"/>
        <v/>
      </c>
      <c r="DP22" s="9" t="str">
        <f t="shared" si="58"/>
        <v/>
      </c>
      <c r="DQ22" s="9" t="str">
        <f t="shared" si="59"/>
        <v/>
      </c>
      <c r="DR22" s="9" t="str">
        <f t="shared" si="60"/>
        <v/>
      </c>
      <c r="DS22" s="9" t="str">
        <f t="shared" si="61"/>
        <v/>
      </c>
      <c r="DT22" s="9" t="str">
        <f t="shared" si="62"/>
        <v/>
      </c>
      <c r="DU22" s="9" t="str">
        <f t="shared" si="63"/>
        <v/>
      </c>
      <c r="DV22" s="9" t="str">
        <f t="shared" si="64"/>
        <v/>
      </c>
      <c r="DW22">
        <f t="shared" si="95"/>
        <v>0</v>
      </c>
      <c r="DX22">
        <f t="shared" si="96"/>
        <v>1971</v>
      </c>
      <c r="DY22" s="9" t="str">
        <f t="shared" si="97"/>
        <v/>
      </c>
      <c r="DZ22" s="9" t="str">
        <f t="shared" si="98"/>
        <v/>
      </c>
      <c r="EA22" s="9" t="str">
        <f t="shared" si="99"/>
        <v/>
      </c>
      <c r="EB22" s="9" t="str">
        <f t="shared" si="100"/>
        <v/>
      </c>
      <c r="EC22" s="9" t="str">
        <f t="shared" si="101"/>
        <v/>
      </c>
      <c r="ED22" s="9" t="str">
        <f t="shared" si="102"/>
        <v/>
      </c>
      <c r="EE22" s="9" t="str">
        <f t="shared" si="103"/>
        <v/>
      </c>
      <c r="EF22" s="9" t="str">
        <f t="shared" si="104"/>
        <v/>
      </c>
      <c r="EG22" s="9" t="str">
        <f t="shared" si="105"/>
        <v/>
      </c>
      <c r="EI22">
        <f t="shared" si="106"/>
        <v>175</v>
      </c>
      <c r="EJ22" s="8">
        <f t="shared" si="107"/>
        <v>363.73937555556347</v>
      </c>
      <c r="EK22" s="8">
        <f t="shared" si="66"/>
        <v>205.1681994826412</v>
      </c>
      <c r="EL22" s="8">
        <f t="shared" si="67"/>
        <v>10.604602902745253</v>
      </c>
      <c r="EM22" s="8">
        <f t="shared" si="68"/>
        <v>1.791759469228055</v>
      </c>
      <c r="EN22" s="8">
        <f t="shared" si="69"/>
        <v>0</v>
      </c>
      <c r="EO22" s="8">
        <f t="shared" si="70"/>
        <v>0</v>
      </c>
      <c r="EP22" s="8">
        <f t="shared" si="71"/>
        <v>0</v>
      </c>
      <c r="EQ22">
        <f t="shared" si="108"/>
        <v>581.30393741017792</v>
      </c>
      <c r="ES22" s="8">
        <f t="shared" si="109"/>
        <v>382.02936854245814</v>
      </c>
      <c r="ET22" s="8">
        <f t="shared" si="72"/>
        <v>206.044295436011</v>
      </c>
      <c r="EU22" s="8">
        <f t="shared" si="73"/>
        <v>8.1784605213454142</v>
      </c>
      <c r="EV22" s="8">
        <f t="shared" si="74"/>
        <v>-0.73851021763467284</v>
      </c>
      <c r="EW22" s="8">
        <f t="shared" si="75"/>
        <v>0</v>
      </c>
      <c r="EX22" s="8">
        <f t="shared" si="76"/>
        <v>0</v>
      </c>
      <c r="EY22" s="8">
        <f t="shared" si="77"/>
        <v>0</v>
      </c>
      <c r="EZ22">
        <f t="shared" si="110"/>
        <v>595.51361428217979</v>
      </c>
      <c r="FB22">
        <f t="shared" si="111"/>
        <v>732.3393531467392</v>
      </c>
      <c r="FC22">
        <f t="shared" si="112"/>
        <v>7.8801161425749306</v>
      </c>
      <c r="FD22">
        <f t="shared" si="113"/>
        <v>766.96637753087487</v>
      </c>
      <c r="FE22">
        <f t="shared" si="114"/>
        <v>-12.537231369558867</v>
      </c>
      <c r="FG22">
        <f t="shared" si="115"/>
        <v>8.3118679755005509</v>
      </c>
      <c r="FJ22">
        <v>27.010724163899503</v>
      </c>
    </row>
    <row r="23" spans="1:166" x14ac:dyDescent="0.3">
      <c r="D23">
        <v>1972</v>
      </c>
      <c r="E23">
        <f t="shared" si="78"/>
        <v>50.563773854527462</v>
      </c>
      <c r="F23">
        <f t="shared" si="79"/>
        <v>3.104404672521003E-2</v>
      </c>
      <c r="G23">
        <f t="shared" si="80"/>
        <v>0.4244185491517336</v>
      </c>
      <c r="H23">
        <f t="shared" si="81"/>
        <v>0.14141248384648522</v>
      </c>
      <c r="I23" s="2">
        <v>1.8127738545274616</v>
      </c>
      <c r="J23">
        <f t="shared" si="82"/>
        <v>1.8127738545274616</v>
      </c>
      <c r="K23" s="2">
        <v>6.8940000000000001</v>
      </c>
      <c r="L23">
        <f t="shared" si="116"/>
        <v>41.856999999999999</v>
      </c>
      <c r="M23" s="25">
        <f t="shared" si="117"/>
        <v>1.6343319693524987</v>
      </c>
      <c r="N23" s="25">
        <f t="shared" si="0"/>
        <v>9.325305942776021</v>
      </c>
      <c r="O23" s="25">
        <f t="shared" si="1"/>
        <v>24.226568016284094</v>
      </c>
      <c r="P23" s="25">
        <f t="shared" si="2"/>
        <v>12.401695532145432</v>
      </c>
      <c r="Q23" s="25">
        <f t="shared" si="3"/>
        <v>1.7625148689095573</v>
      </c>
      <c r="R23" s="25">
        <f t="shared" si="4"/>
        <v>0.57682304800676421</v>
      </c>
      <c r="S23" s="25">
        <f t="shared" si="5"/>
        <v>0.38454869867117619</v>
      </c>
      <c r="T23" s="25">
        <f t="shared" si="6"/>
        <v>3.204572488926468E-2</v>
      </c>
      <c r="U23" s="25">
        <f t="shared" si="7"/>
        <v>0</v>
      </c>
      <c r="V23">
        <f t="shared" si="8"/>
        <v>50.343833801034805</v>
      </c>
      <c r="W23">
        <f t="shared" si="118"/>
        <v>9.9228652801258406</v>
      </c>
      <c r="X23">
        <f t="shared" si="9"/>
        <v>56.61870189248274</v>
      </c>
      <c r="Y23">
        <f t="shared" si="10"/>
        <v>147.09188532892421</v>
      </c>
      <c r="Z23">
        <f t="shared" si="11"/>
        <v>75.297036537425498</v>
      </c>
      <c r="AA23">
        <f t="shared" si="12"/>
        <v>10.70112922366512</v>
      </c>
      <c r="AB23">
        <f t="shared" si="13"/>
        <v>3.5021877459267672</v>
      </c>
      <c r="AC23">
        <f t="shared" si="14"/>
        <v>2.3347918306178448</v>
      </c>
      <c r="AD23">
        <f t="shared" si="15"/>
        <v>0.19456598588482038</v>
      </c>
      <c r="AE23">
        <f t="shared" si="16"/>
        <v>0</v>
      </c>
      <c r="AF23">
        <f t="shared" si="17"/>
        <v>305.66316382505289</v>
      </c>
      <c r="AG23" s="2">
        <v>6.4100000000000004E-2</v>
      </c>
      <c r="AH23" s="2">
        <v>0.10340000000000001</v>
      </c>
      <c r="AI23" s="2">
        <v>0.1384</v>
      </c>
      <c r="AJ23" s="2">
        <v>0.15959999999999999</v>
      </c>
      <c r="AK23" s="2">
        <v>0.1734</v>
      </c>
      <c r="AL23" s="2">
        <v>0.1807</v>
      </c>
      <c r="AM23" s="2">
        <v>0.20219999999999999</v>
      </c>
      <c r="AN23" s="2">
        <v>0.16</v>
      </c>
      <c r="AO23" s="2">
        <v>0.15709999999999999</v>
      </c>
      <c r="AP23">
        <f t="shared" si="119"/>
        <v>0.13693831954169319</v>
      </c>
      <c r="AQ23" s="2">
        <v>51</v>
      </c>
      <c r="AR23" s="2">
        <v>291</v>
      </c>
      <c r="AS23" s="2">
        <v>756</v>
      </c>
      <c r="AT23" s="2">
        <v>387</v>
      </c>
      <c r="AU23" s="2">
        <v>55</v>
      </c>
      <c r="AV23" s="2">
        <v>18</v>
      </c>
      <c r="AW23" s="2">
        <v>12</v>
      </c>
      <c r="AX23" s="2">
        <v>1</v>
      </c>
      <c r="AY23" s="2">
        <v>0</v>
      </c>
      <c r="AZ23">
        <f t="shared" si="83"/>
        <v>1571</v>
      </c>
      <c r="BA23">
        <f t="shared" si="18"/>
        <v>1972</v>
      </c>
      <c r="BB23">
        <f t="shared" si="122"/>
        <v>0.49546940356467423</v>
      </c>
      <c r="BC23">
        <f t="shared" si="123"/>
        <v>0.5459326014836704</v>
      </c>
      <c r="BD23">
        <f t="shared" si="84"/>
        <v>0.42974677453736387</v>
      </c>
      <c r="BE23">
        <f t="shared" si="19"/>
        <v>2.4520845370661348</v>
      </c>
      <c r="BF23">
        <f t="shared" si="20"/>
        <v>6.3703639519656283</v>
      </c>
      <c r="BG23">
        <f t="shared" si="21"/>
        <v>3.2610196420776432</v>
      </c>
      <c r="BH23">
        <f t="shared" si="22"/>
        <v>0.46345240391284337</v>
      </c>
      <c r="BI23">
        <f t="shared" si="23"/>
        <v>0.15167533218965781</v>
      </c>
      <c r="BJ23">
        <f t="shared" si="24"/>
        <v>0.10111688812643856</v>
      </c>
      <c r="BK23">
        <f t="shared" si="25"/>
        <v>8.4264073438698791E-3</v>
      </c>
      <c r="BL23">
        <f t="shared" si="26"/>
        <v>0</v>
      </c>
      <c r="BM23" s="23">
        <f t="shared" si="85"/>
        <v>380.38591650694519</v>
      </c>
      <c r="BN23" s="23">
        <f t="shared" si="27"/>
        <v>251.59071478649017</v>
      </c>
      <c r="BO23" s="23">
        <f t="shared" si="28"/>
        <v>208.92722336834322</v>
      </c>
      <c r="BP23" s="23">
        <f t="shared" si="29"/>
        <v>72.531718857367551</v>
      </c>
      <c r="BQ23" s="23">
        <f t="shared" si="30"/>
        <v>11.257249233506055</v>
      </c>
      <c r="BR23" s="23">
        <f t="shared" si="31"/>
        <v>2.7719848519946084</v>
      </c>
      <c r="BS23" s="23">
        <f t="shared" si="32"/>
        <v>1.2467384621509707</v>
      </c>
      <c r="BT23" s="23">
        <f t="shared" si="33"/>
        <v>4.1099320735355688E-2</v>
      </c>
      <c r="BU23" s="23">
        <f t="shared" si="34"/>
        <v>1E-4</v>
      </c>
      <c r="BV23">
        <f t="shared" si="86"/>
        <v>49.686832835136393</v>
      </c>
      <c r="BW23">
        <v>1.3361252580584213</v>
      </c>
      <c r="BX23" s="2">
        <v>41.856999999999999</v>
      </c>
      <c r="CJ23">
        <v>1972</v>
      </c>
      <c r="CK23">
        <f t="shared" si="88"/>
        <v>1229</v>
      </c>
      <c r="CL23">
        <f t="shared" si="89"/>
        <v>296.77611409409775</v>
      </c>
      <c r="CM23" s="9">
        <f t="shared" si="120"/>
        <v>0.61513425549227019</v>
      </c>
      <c r="CN23" s="9">
        <f t="shared" si="90"/>
        <v>0.31489015459723352</v>
      </c>
      <c r="CO23" s="9">
        <f t="shared" si="36"/>
        <v>4.4751830756712775E-2</v>
      </c>
      <c r="CP23" s="9">
        <f t="shared" si="37"/>
        <v>1.4646053702196907E-2</v>
      </c>
      <c r="CQ23" s="27">
        <f t="shared" si="38"/>
        <v>9.7640358014646055E-3</v>
      </c>
      <c r="CR23" s="27">
        <f t="shared" si="39"/>
        <v>8.1366965012205042E-4</v>
      </c>
      <c r="CS23" s="27">
        <f t="shared" si="40"/>
        <v>0</v>
      </c>
      <c r="CT23" s="29">
        <f t="shared" si="91"/>
        <v>0.7039893490286061</v>
      </c>
      <c r="CU23" s="9">
        <f t="shared" si="41"/>
        <v>0.24439877541617172</v>
      </c>
      <c r="CV23" s="9">
        <f t="shared" si="42"/>
        <v>3.7931789988788517E-2</v>
      </c>
      <c r="CW23" s="9">
        <f t="shared" si="43"/>
        <v>9.3403232954108462E-3</v>
      </c>
      <c r="CX23" s="9">
        <f t="shared" si="44"/>
        <v>4.2009393712718803E-3</v>
      </c>
      <c r="CY23" s="9">
        <f t="shared" si="45"/>
        <v>1.384859454097592E-4</v>
      </c>
      <c r="CZ23" s="9">
        <f t="shared" si="46"/>
        <v>3.3695434117145073E-7</v>
      </c>
      <c r="DA23">
        <f t="shared" si="121"/>
        <v>-0.93509585834023734</v>
      </c>
      <c r="DB23">
        <f t="shared" si="47"/>
        <v>-0.92649674467247845</v>
      </c>
      <c r="DC23">
        <f t="shared" ref="DC23:DC64" si="124">neffective</f>
        <v>100</v>
      </c>
      <c r="DD23">
        <f t="shared" si="92"/>
        <v>24.317871882472907</v>
      </c>
      <c r="DE23">
        <f t="shared" si="93"/>
        <v>155.80899952522037</v>
      </c>
      <c r="DF23">
        <f t="shared" si="49"/>
        <v>150.66348566285373</v>
      </c>
      <c r="DG23">
        <f t="shared" si="50"/>
        <v>56.869003683144477</v>
      </c>
      <c r="DH23">
        <f t="shared" si="51"/>
        <v>9.0312819606836552</v>
      </c>
      <c r="DI23">
        <f t="shared" si="52"/>
        <v>2.043486471798186</v>
      </c>
      <c r="DJ23">
        <f t="shared" si="53"/>
        <v>0.76107287535335599</v>
      </c>
      <c r="DK23">
        <f t="shared" si="54"/>
        <v>6.2718850222112654E-4</v>
      </c>
      <c r="DL23">
        <f t="shared" si="55"/>
        <v>1E-4</v>
      </c>
      <c r="DM23">
        <f t="shared" si="56"/>
        <v>1972</v>
      </c>
      <c r="DN23" s="9">
        <f>IF(AND(M23&gt;0,BM23&gt;M23+BD23),M23/(BM23-BD23),"")</f>
        <v>4.301369735629011E-3</v>
      </c>
      <c r="DO23" s="9">
        <f t="shared" si="57"/>
        <v>3.7430188700323316E-2</v>
      </c>
      <c r="DP23" s="9">
        <f t="shared" si="58"/>
        <v>0.1196037897017536</v>
      </c>
      <c r="DQ23" s="9">
        <f t="shared" si="59"/>
        <v>0.17903234228373494</v>
      </c>
      <c r="DR23" s="9">
        <f t="shared" si="60"/>
        <v>0.16328960946136148</v>
      </c>
      <c r="DS23" s="9">
        <f t="shared" si="61"/>
        <v>0.22013546248906563</v>
      </c>
      <c r="DT23" s="9">
        <f t="shared" si="62"/>
        <v>0.33566817122714343</v>
      </c>
      <c r="DU23" s="9">
        <f t="shared" si="63"/>
        <v>0.98080402274795109</v>
      </c>
      <c r="DV23" s="9" t="str">
        <f t="shared" si="64"/>
        <v/>
      </c>
      <c r="DW23">
        <f t="shared" si="95"/>
        <v>0.13750501959252689</v>
      </c>
      <c r="DX23">
        <f t="shared" si="96"/>
        <v>1972</v>
      </c>
      <c r="DY23" s="9">
        <f>IF(AND($DW23&gt;0,DN23&lt;&gt;""),DN23/$DW23,"")</f>
        <v>3.128154701824995E-2</v>
      </c>
      <c r="DZ23" s="9">
        <f t="shared" si="98"/>
        <v>0.27220961686519818</v>
      </c>
      <c r="EA23" s="9">
        <f t="shared" si="99"/>
        <v>0.86981398974509738</v>
      </c>
      <c r="EB23" s="9">
        <f t="shared" si="100"/>
        <v>1.3020058672350094</v>
      </c>
      <c r="EC23" s="9">
        <f t="shared" si="101"/>
        <v>1.1875174444194321</v>
      </c>
      <c r="ED23" s="9">
        <f t="shared" si="102"/>
        <v>1.6009267381030905</v>
      </c>
      <c r="EE23" s="9">
        <f t="shared" si="103"/>
        <v>2.4411339471230931</v>
      </c>
      <c r="EF23" s="9">
        <f t="shared" si="104"/>
        <v>7.1328597723515808</v>
      </c>
      <c r="EG23" s="9" t="str">
        <f t="shared" si="105"/>
        <v/>
      </c>
      <c r="EI23">
        <f t="shared" si="106"/>
        <v>1229</v>
      </c>
      <c r="EJ23" s="8">
        <f t="shared" si="107"/>
        <v>4259.0323498422931</v>
      </c>
      <c r="EK23" s="8">
        <f t="shared" si="66"/>
        <v>1922.8087224138078</v>
      </c>
      <c r="EL23" s="8">
        <f t="shared" si="67"/>
        <v>168.32744544842768</v>
      </c>
      <c r="EM23" s="8">
        <f t="shared" si="68"/>
        <v>36.395445208033053</v>
      </c>
      <c r="EN23" s="8">
        <f t="shared" si="69"/>
        <v>19.987214495661885</v>
      </c>
      <c r="EO23" s="8">
        <f t="shared" si="70"/>
        <v>0</v>
      </c>
      <c r="EP23" s="8">
        <f t="shared" si="71"/>
        <v>0</v>
      </c>
      <c r="EQ23">
        <f t="shared" si="108"/>
        <v>6406.5511774082242</v>
      </c>
      <c r="ES23" s="8">
        <f t="shared" si="109"/>
        <v>4405.7094868063459</v>
      </c>
      <c r="ET23" s="8">
        <f t="shared" si="72"/>
        <v>1975.1295837140199</v>
      </c>
      <c r="EU23" s="8">
        <f t="shared" si="73"/>
        <v>172.51444072403285</v>
      </c>
      <c r="EV23" s="8">
        <f t="shared" si="74"/>
        <v>34.388123082946926</v>
      </c>
      <c r="EW23" s="8">
        <f t="shared" si="75"/>
        <v>16.665196147918532</v>
      </c>
      <c r="EX23" s="8">
        <f t="shared" si="76"/>
        <v>-4.8974114205920927</v>
      </c>
      <c r="EY23" s="8">
        <f t="shared" si="77"/>
        <v>0</v>
      </c>
      <c r="EZ23">
        <f t="shared" si="110"/>
        <v>6599.5094190546715</v>
      </c>
      <c r="FB23">
        <f t="shared" si="111"/>
        <v>7518.5280430504463</v>
      </c>
      <c r="FC23">
        <f t="shared" si="112"/>
        <v>159.97609901801988</v>
      </c>
      <c r="FD23">
        <f t="shared" si="113"/>
        <v>7896.07697212525</v>
      </c>
      <c r="FE23">
        <f t="shared" si="114"/>
        <v>-24.614588410337092</v>
      </c>
      <c r="FG23">
        <f t="shared" si="115"/>
        <v>52.603298125946417</v>
      </c>
      <c r="FJ23">
        <v>33.949892495111619</v>
      </c>
    </row>
    <row r="24" spans="1:166" x14ac:dyDescent="0.3">
      <c r="D24">
        <v>1973</v>
      </c>
      <c r="E24">
        <f t="shared" si="78"/>
        <v>39.566950800791687</v>
      </c>
      <c r="F24">
        <f t="shared" si="79"/>
        <v>2.7102567000781192E-2</v>
      </c>
      <c r="G24">
        <f t="shared" si="80"/>
        <v>0.28323261433090213</v>
      </c>
      <c r="H24">
        <f t="shared" si="81"/>
        <v>0.48441139106500097</v>
      </c>
      <c r="I24" s="2">
        <v>1.7829508007916874</v>
      </c>
      <c r="J24">
        <f t="shared" si="82"/>
        <v>1.7829508007916874</v>
      </c>
      <c r="K24" s="2">
        <v>18.302999999999997</v>
      </c>
      <c r="L24">
        <f t="shared" si="116"/>
        <v>19.481000000000002</v>
      </c>
      <c r="M24" s="25">
        <f t="shared" si="117"/>
        <v>0.72469589318316796</v>
      </c>
      <c r="N24" s="25">
        <f t="shared" si="0"/>
        <v>33.537315501198826</v>
      </c>
      <c r="O24" s="25">
        <f t="shared" si="1"/>
        <v>30.920358109148495</v>
      </c>
      <c r="P24" s="25">
        <f t="shared" si="2"/>
        <v>46.138971865995025</v>
      </c>
      <c r="Q24" s="25">
        <f t="shared" si="3"/>
        <v>14.534178746617979</v>
      </c>
      <c r="R24" s="25">
        <f t="shared" si="4"/>
        <v>2.3351312113679854</v>
      </c>
      <c r="S24" s="25">
        <f t="shared" si="5"/>
        <v>0.52339147841006572</v>
      </c>
      <c r="T24" s="25">
        <f t="shared" si="6"/>
        <v>0.12078264886386131</v>
      </c>
      <c r="U24" s="25">
        <f t="shared" si="7"/>
        <v>0</v>
      </c>
      <c r="V24">
        <f t="shared" si="8"/>
        <v>128.8348254547854</v>
      </c>
      <c r="W24">
        <f t="shared" si="118"/>
        <v>0.77133806999406085</v>
      </c>
      <c r="X24">
        <f t="shared" si="9"/>
        <v>35.695811794725152</v>
      </c>
      <c r="Y24">
        <f t="shared" si="10"/>
        <v>32.910424319746596</v>
      </c>
      <c r="Z24">
        <f t="shared" si="11"/>
        <v>49.108523789621877</v>
      </c>
      <c r="AA24">
        <f t="shared" si="12"/>
        <v>15.469613514880889</v>
      </c>
      <c r="AB24">
        <f t="shared" si="13"/>
        <v>2.485422669980863</v>
      </c>
      <c r="AC24">
        <f t="shared" si="14"/>
        <v>0.55707749499571069</v>
      </c>
      <c r="AD24">
        <f t="shared" si="15"/>
        <v>0.12855634499901014</v>
      </c>
      <c r="AE24">
        <f t="shared" si="16"/>
        <v>0</v>
      </c>
      <c r="AF24">
        <f t="shared" si="17"/>
        <v>137.12676799894413</v>
      </c>
      <c r="AG24" s="2">
        <v>6.3299999999999995E-2</v>
      </c>
      <c r="AH24" s="2">
        <v>0.10349999999999999</v>
      </c>
      <c r="AI24" s="2">
        <v>0.13469999999999999</v>
      </c>
      <c r="AJ24" s="2">
        <v>0.1598</v>
      </c>
      <c r="AK24" s="2">
        <v>0.18360000000000001</v>
      </c>
      <c r="AL24" s="2">
        <v>0.19239999999999999</v>
      </c>
      <c r="AM24" s="2">
        <v>0.1903</v>
      </c>
      <c r="AN24" s="2">
        <v>0.254</v>
      </c>
      <c r="AO24" s="2">
        <v>0.15709999999999999</v>
      </c>
      <c r="AP24">
        <f t="shared" si="119"/>
        <v>0.142065625</v>
      </c>
      <c r="AQ24" s="2">
        <v>18</v>
      </c>
      <c r="AR24" s="2">
        <v>833</v>
      </c>
      <c r="AS24" s="2">
        <v>768</v>
      </c>
      <c r="AT24" s="2">
        <v>1146</v>
      </c>
      <c r="AU24" s="2">
        <v>361</v>
      </c>
      <c r="AV24" s="2">
        <v>58</v>
      </c>
      <c r="AW24" s="2">
        <v>13</v>
      </c>
      <c r="AX24" s="2">
        <v>3</v>
      </c>
      <c r="AY24" s="2">
        <v>0</v>
      </c>
      <c r="AZ24">
        <f t="shared" si="83"/>
        <v>3200</v>
      </c>
      <c r="BA24">
        <f t="shared" si="18"/>
        <v>1973</v>
      </c>
      <c r="BB24">
        <f t="shared" si="122"/>
        <v>0.59871353388851345</v>
      </c>
      <c r="BC24">
        <f t="shared" si="123"/>
        <v>0.38233226825143524</v>
      </c>
      <c r="BD24">
        <f t="shared" si="84"/>
        <v>7.0594827245881911E-2</v>
      </c>
      <c r="BE24">
        <f t="shared" si="19"/>
        <v>3.2669717275455348</v>
      </c>
      <c r="BF24">
        <f t="shared" si="20"/>
        <v>3.0120459624909612</v>
      </c>
      <c r="BG24">
        <f t="shared" si="21"/>
        <v>4.4945373346544821</v>
      </c>
      <c r="BH24">
        <f t="shared" si="22"/>
        <v>1.4158184797646316</v>
      </c>
      <c r="BI24">
        <f t="shared" si="23"/>
        <v>0.22747222112561949</v>
      </c>
      <c r="BJ24">
        <f t="shared" si="24"/>
        <v>5.0985153010914719E-2</v>
      </c>
      <c r="BK24">
        <f t="shared" si="25"/>
        <v>1.1765804540980317E-2</v>
      </c>
      <c r="BL24">
        <f t="shared" si="26"/>
        <v>0</v>
      </c>
      <c r="BM24" s="23">
        <f t="shared" si="85"/>
        <v>394.19513749315286</v>
      </c>
      <c r="BN24" s="23">
        <f t="shared" si="27"/>
        <v>255.40807662258979</v>
      </c>
      <c r="BO24" s="23">
        <f t="shared" si="28"/>
        <v>161.89985468713397</v>
      </c>
      <c r="BP24" s="23">
        <f t="shared" si="29"/>
        <v>120.39216001318555</v>
      </c>
      <c r="BQ24" s="23">
        <f t="shared" si="30"/>
        <v>33.665608900763083</v>
      </c>
      <c r="BR24" s="23">
        <f t="shared" si="31"/>
        <v>4.4865413139647634</v>
      </c>
      <c r="BS24" s="23">
        <f t="shared" si="32"/>
        <v>0.80335678401673949</v>
      </c>
      <c r="BT24" s="23">
        <f t="shared" si="33"/>
        <v>0.21894621163820926</v>
      </c>
      <c r="BU24" s="23">
        <f t="shared" si="34"/>
        <v>1E-4</v>
      </c>
      <c r="BV24">
        <f t="shared" si="86"/>
        <v>45.699360263665653</v>
      </c>
      <c r="BW24">
        <v>0.86978197046698102</v>
      </c>
      <c r="BX24" s="2">
        <v>19.481000000000002</v>
      </c>
      <c r="CJ24">
        <v>1973</v>
      </c>
      <c r="CK24">
        <f t="shared" si="88"/>
        <v>2349</v>
      </c>
      <c r="CL24">
        <f t="shared" si="89"/>
        <v>321.46656791070222</v>
      </c>
      <c r="CM24" s="9">
        <f t="shared" si="120"/>
        <v>0.3269476372924649</v>
      </c>
      <c r="CN24" s="9">
        <f t="shared" si="90"/>
        <v>0.48786717752234993</v>
      </c>
      <c r="CO24" s="9">
        <f t="shared" si="36"/>
        <v>0.15368241805023414</v>
      </c>
      <c r="CP24" s="9">
        <f t="shared" si="37"/>
        <v>2.4691358024691357E-2</v>
      </c>
      <c r="CQ24" s="27">
        <f t="shared" si="38"/>
        <v>5.5342699020859941E-3</v>
      </c>
      <c r="CR24" s="27">
        <f t="shared" si="39"/>
        <v>1.277139208173691E-3</v>
      </c>
      <c r="CS24" s="27">
        <f t="shared" si="40"/>
        <v>0</v>
      </c>
      <c r="CT24" s="29">
        <f t="shared" si="91"/>
        <v>0.50362890218838219</v>
      </c>
      <c r="CU24" s="9">
        <f t="shared" si="41"/>
        <v>0.37450911550661897</v>
      </c>
      <c r="CV24" s="9">
        <f t="shared" si="42"/>
        <v>0.10472507022912192</v>
      </c>
      <c r="CW24" s="9">
        <f t="shared" si="43"/>
        <v>1.3956478719152675E-2</v>
      </c>
      <c r="CX24" s="9">
        <f t="shared" si="44"/>
        <v>2.4990368026074111E-3</v>
      </c>
      <c r="CY24" s="9">
        <f t="shared" si="45"/>
        <v>6.8108547977850274E-4</v>
      </c>
      <c r="CZ24" s="9">
        <f t="shared" si="46"/>
        <v>3.110743386160711E-7</v>
      </c>
      <c r="DA24">
        <f t="shared" si="121"/>
        <v>-1.1981242467261504</v>
      </c>
      <c r="DB24">
        <f t="shared" si="47"/>
        <v>-1.1899982101220092</v>
      </c>
      <c r="DC24">
        <f t="shared" si="124"/>
        <v>100</v>
      </c>
      <c r="DD24">
        <f t="shared" si="92"/>
        <v>25.287060162768622</v>
      </c>
      <c r="DE24">
        <f t="shared" si="93"/>
        <v>142.02896280410232</v>
      </c>
      <c r="DF24">
        <f t="shared" si="49"/>
        <v>108.11411796475869</v>
      </c>
      <c r="DG24">
        <f t="shared" si="50"/>
        <v>69.758650812536047</v>
      </c>
      <c r="DH24">
        <f t="shared" si="51"/>
        <v>17.715611674380472</v>
      </c>
      <c r="DI24">
        <f t="shared" si="52"/>
        <v>1.9239378814711583</v>
      </c>
      <c r="DJ24">
        <f t="shared" si="53"/>
        <v>0.2289801525957591</v>
      </c>
      <c r="DK24">
        <f t="shared" si="54"/>
        <v>8.639775823336765E-2</v>
      </c>
      <c r="DL24">
        <f t="shared" si="55"/>
        <v>1E-4</v>
      </c>
      <c r="DM24">
        <f t="shared" si="56"/>
        <v>1973</v>
      </c>
      <c r="DN24" s="9">
        <f t="shared" si="94"/>
        <v>1.8387484531697407E-3</v>
      </c>
      <c r="DO24" s="9">
        <f t="shared" si="57"/>
        <v>0.13301010763460802</v>
      </c>
      <c r="DP24" s="9">
        <f t="shared" si="58"/>
        <v>0.19460497540584965</v>
      </c>
      <c r="DQ24" s="9">
        <f t="shared" si="59"/>
        <v>0.39810110681883581</v>
      </c>
      <c r="DR24" s="9">
        <f t="shared" si="60"/>
        <v>0.45067513794305153</v>
      </c>
      <c r="DS24" s="9">
        <f t="shared" si="61"/>
        <v>0.54827267660298995</v>
      </c>
      <c r="DT24" s="9">
        <f t="shared" si="62"/>
        <v>0.69565552027840039</v>
      </c>
      <c r="DU24" s="9">
        <f t="shared" si="63"/>
        <v>0.58298296907573155</v>
      </c>
      <c r="DV24" s="9" t="str">
        <f t="shared" si="64"/>
        <v/>
      </c>
      <c r="DW24">
        <f t="shared" si="95"/>
        <v>0.30287148071016645</v>
      </c>
      <c r="DX24">
        <f t="shared" si="96"/>
        <v>1973</v>
      </c>
      <c r="DY24" s="9">
        <f t="shared" si="97"/>
        <v>6.071051816626258E-3</v>
      </c>
      <c r="DZ24" s="9">
        <f t="shared" si="98"/>
        <v>0.43916352679601534</v>
      </c>
      <c r="EA24" s="9">
        <f t="shared" si="99"/>
        <v>0.64253317925327313</v>
      </c>
      <c r="EB24" s="9">
        <f t="shared" si="100"/>
        <v>1.3144225593158425</v>
      </c>
      <c r="EC24" s="9">
        <f t="shared" si="101"/>
        <v>1.4880078404421515</v>
      </c>
      <c r="ED24" s="9">
        <f t="shared" si="102"/>
        <v>1.8102486088073138</v>
      </c>
      <c r="EE24" s="9">
        <f t="shared" si="103"/>
        <v>2.2968670362994974</v>
      </c>
      <c r="EF24" s="9">
        <f t="shared" si="104"/>
        <v>1.9248526395049339</v>
      </c>
      <c r="EG24" s="9" t="str">
        <f t="shared" si="105"/>
        <v/>
      </c>
      <c r="EI24">
        <f t="shared" si="106"/>
        <v>2349</v>
      </c>
      <c r="EJ24" s="8">
        <f t="shared" si="107"/>
        <v>4338.6714569641299</v>
      </c>
      <c r="EK24" s="8">
        <f t="shared" si="66"/>
        <v>6930.9027279753245</v>
      </c>
      <c r="EL24" s="8">
        <f t="shared" si="67"/>
        <v>1768.748551310741</v>
      </c>
      <c r="EM24" s="8">
        <f t="shared" si="68"/>
        <v>180.45629141754378</v>
      </c>
      <c r="EN24" s="8">
        <f t="shared" si="69"/>
        <v>22.552163853123421</v>
      </c>
      <c r="EO24" s="8">
        <f t="shared" si="70"/>
        <v>1.791759469228055</v>
      </c>
      <c r="EP24" s="8">
        <f t="shared" si="71"/>
        <v>0</v>
      </c>
      <c r="EQ24">
        <f t="shared" si="108"/>
        <v>13243.12295099009</v>
      </c>
      <c r="ES24" s="8">
        <f t="shared" si="109"/>
        <v>4526.4909980803131</v>
      </c>
      <c r="ET24" s="8">
        <f t="shared" si="72"/>
        <v>7094.8385721298273</v>
      </c>
      <c r="EU24" s="8">
        <f t="shared" si="73"/>
        <v>1811.9361438774911</v>
      </c>
      <c r="EV24" s="8">
        <f t="shared" si="74"/>
        <v>182.36170118982932</v>
      </c>
      <c r="EW24" s="8">
        <f t="shared" si="75"/>
        <v>19.38350791389659</v>
      </c>
      <c r="EX24" s="8">
        <f t="shared" si="76"/>
        <v>-1.8612423108903444</v>
      </c>
      <c r="EY24" s="8">
        <f t="shared" si="77"/>
        <v>0</v>
      </c>
      <c r="EZ24">
        <f t="shared" si="110"/>
        <v>13633.149680880468</v>
      </c>
      <c r="FB24">
        <f t="shared" si="111"/>
        <v>15888.138815465409</v>
      </c>
      <c r="FC24">
        <f t="shared" si="112"/>
        <v>373.16558110653023</v>
      </c>
      <c r="FD24">
        <f t="shared" si="113"/>
        <v>16682.354951204616</v>
      </c>
      <c r="FE24">
        <f t="shared" si="114"/>
        <v>-31.02382474229853</v>
      </c>
      <c r="FG24">
        <f t="shared" si="115"/>
        <v>99.668195439513198</v>
      </c>
      <c r="FJ24">
        <v>32.51730005308324</v>
      </c>
    </row>
    <row r="25" spans="1:166" x14ac:dyDescent="0.3">
      <c r="D25">
        <v>1974</v>
      </c>
      <c r="E25">
        <f t="shared" si="78"/>
        <v>43.803727006432453</v>
      </c>
      <c r="F25">
        <f t="shared" si="79"/>
        <v>2.9078598855311992E-2</v>
      </c>
      <c r="G25">
        <f t="shared" si="80"/>
        <v>0.18928468819745423</v>
      </c>
      <c r="H25">
        <f t="shared" si="81"/>
        <v>0.39007498686535802</v>
      </c>
      <c r="I25" s="2">
        <v>1.929727006432459</v>
      </c>
      <c r="J25">
        <f t="shared" si="82"/>
        <v>1.929727006432459</v>
      </c>
      <c r="K25" s="2">
        <v>16.334</v>
      </c>
      <c r="L25">
        <f t="shared" si="116"/>
        <v>25.54</v>
      </c>
      <c r="M25" s="25">
        <f t="shared" si="117"/>
        <v>11.363729057290451</v>
      </c>
      <c r="N25" s="25">
        <f t="shared" si="0"/>
        <v>62.005301438747665</v>
      </c>
      <c r="O25" s="25">
        <f>$K25/$AP25*AS25/$AZ25</f>
        <v>35.237985517102501</v>
      </c>
      <c r="P25" s="25">
        <f t="shared" si="2"/>
        <v>20.433861424118611</v>
      </c>
      <c r="Q25" s="25">
        <f t="shared" si="3"/>
        <v>13.136053772647678</v>
      </c>
      <c r="R25" s="25">
        <f t="shared" si="4"/>
        <v>3.2840134431619195</v>
      </c>
      <c r="S25" s="25">
        <f t="shared" si="5"/>
        <v>0.31276318506303996</v>
      </c>
      <c r="T25" s="25">
        <f t="shared" si="6"/>
        <v>5.2127197510506658E-2</v>
      </c>
      <c r="U25" s="25">
        <f t="shared" si="7"/>
        <v>2.6063598755253329E-2</v>
      </c>
      <c r="V25">
        <f t="shared" si="8"/>
        <v>145.85189863439763</v>
      </c>
      <c r="W25">
        <f t="shared" si="118"/>
        <v>17.768436397893851</v>
      </c>
      <c r="X25">
        <f>$L25/$AP25*AR25/$AZ25/spq</f>
        <v>96.952087593095101</v>
      </c>
      <c r="Y25">
        <f t="shared" si="10"/>
        <v>55.09845415126717</v>
      </c>
      <c r="Z25">
        <f t="shared" si="11"/>
        <v>31.950582880616466</v>
      </c>
      <c r="AA25">
        <f t="shared" si="12"/>
        <v>20.539660423253441</v>
      </c>
      <c r="AB25">
        <f t="shared" si="13"/>
        <v>5.1349151058133602</v>
      </c>
      <c r="AC25">
        <f t="shared" si="14"/>
        <v>0.48903953388698673</v>
      </c>
      <c r="AD25">
        <f t="shared" si="15"/>
        <v>8.1506588981164446E-2</v>
      </c>
      <c r="AE25">
        <f t="shared" si="16"/>
        <v>4.0753294490582223E-2</v>
      </c>
      <c r="AF25">
        <f t="shared" si="17"/>
        <v>228.05543596929814</v>
      </c>
      <c r="AG25" s="2">
        <v>6.1699999999999998E-2</v>
      </c>
      <c r="AH25" s="2">
        <v>8.5400000000000004E-2</v>
      </c>
      <c r="AI25" s="2">
        <v>0.1235</v>
      </c>
      <c r="AJ25" s="2">
        <v>0.14899999999999999</v>
      </c>
      <c r="AK25" s="2">
        <v>0.17180000000000001</v>
      </c>
      <c r="AL25" s="2">
        <v>0.18559999999999999</v>
      </c>
      <c r="AM25" s="2">
        <v>0.18360000000000001</v>
      </c>
      <c r="AN25" s="2">
        <v>0.2175</v>
      </c>
      <c r="AO25" s="2">
        <v>0.23100000000000001</v>
      </c>
      <c r="AP25">
        <f t="shared" si="119"/>
        <v>0.11199031451036455</v>
      </c>
      <c r="AQ25" s="2">
        <v>436</v>
      </c>
      <c r="AR25" s="2">
        <v>2379</v>
      </c>
      <c r="AS25" s="2">
        <v>1352</v>
      </c>
      <c r="AT25" s="2">
        <v>784</v>
      </c>
      <c r="AU25" s="2">
        <v>504</v>
      </c>
      <c r="AV25" s="2">
        <v>126</v>
      </c>
      <c r="AW25" s="2">
        <v>12</v>
      </c>
      <c r="AX25" s="2">
        <v>2</v>
      </c>
      <c r="AY25" s="2">
        <v>1</v>
      </c>
      <c r="AZ25">
        <f t="shared" si="83"/>
        <v>5596</v>
      </c>
      <c r="BA25">
        <f t="shared" si="18"/>
        <v>1974</v>
      </c>
      <c r="BB25">
        <f t="shared" si="122"/>
        <v>5.2813867301118013E-2</v>
      </c>
      <c r="BC25">
        <f t="shared" si="123"/>
        <v>9.4515004253131599E-2</v>
      </c>
      <c r="BD25">
        <f t="shared" si="84"/>
        <v>1.3425306021571355</v>
      </c>
      <c r="BE25">
        <f t="shared" si="19"/>
        <v>7.3254135379170302</v>
      </c>
      <c r="BF25">
        <f t="shared" si="20"/>
        <v>4.1630765461386403</v>
      </c>
      <c r="BG25">
        <f t="shared" si="21"/>
        <v>2.4140917249798033</v>
      </c>
      <c r="BH25">
        <f t="shared" si="22"/>
        <v>1.5519161089155877</v>
      </c>
      <c r="BI25">
        <f t="shared" si="23"/>
        <v>0.38797902722889693</v>
      </c>
      <c r="BJ25">
        <f t="shared" si="24"/>
        <v>3.6950383545609235E-2</v>
      </c>
      <c r="BK25">
        <f t="shared" si="25"/>
        <v>6.1583972576015394E-3</v>
      </c>
      <c r="BL25">
        <f t="shared" si="26"/>
        <v>3.0791986288007697E-3</v>
      </c>
      <c r="BM25" s="24">
        <f>(BN26*EXP(Relm*BZ$5)+M25+BD25)+0.0001</f>
        <v>667.23287377626446</v>
      </c>
      <c r="BN25" s="24">
        <f t="shared" si="27"/>
        <v>304.62157344432001</v>
      </c>
      <c r="BO25" s="24">
        <f t="shared" si="28"/>
        <v>169.27158792086871</v>
      </c>
      <c r="BP25" s="24">
        <f t="shared" si="29"/>
        <v>99.089071647302049</v>
      </c>
      <c r="BQ25" s="24">
        <f t="shared" si="30"/>
        <v>49.58820351656103</v>
      </c>
      <c r="BR25" s="24">
        <f t="shared" si="31"/>
        <v>11.234831361420317</v>
      </c>
      <c r="BS25" s="24">
        <f t="shared" si="32"/>
        <v>1.047698911892089</v>
      </c>
      <c r="BT25" s="24">
        <f t="shared" si="33"/>
        <v>0.10172105944327392</v>
      </c>
      <c r="BU25" s="23">
        <f t="shared" si="34"/>
        <v>2.9242797384054098E-2</v>
      </c>
      <c r="BV25">
        <f t="shared" si="86"/>
        <v>48.098721061794947</v>
      </c>
      <c r="BW25">
        <v>0.54336692897952354</v>
      </c>
      <c r="BX25" s="2">
        <v>25.54</v>
      </c>
      <c r="CJ25">
        <v>1974</v>
      </c>
      <c r="CK25">
        <f t="shared" si="88"/>
        <v>2781</v>
      </c>
      <c r="CL25">
        <f t="shared" si="89"/>
        <v>330.36235721487151</v>
      </c>
      <c r="CM25" s="9">
        <f t="shared" si="120"/>
        <v>0.48615605897159297</v>
      </c>
      <c r="CN25" s="9">
        <f t="shared" si="90"/>
        <v>0.28191298094210715</v>
      </c>
      <c r="CO25" s="9">
        <f t="shared" si="36"/>
        <v>0.18122977346278318</v>
      </c>
      <c r="CP25" s="9">
        <f t="shared" si="37"/>
        <v>4.5307443365695796E-2</v>
      </c>
      <c r="CQ25" s="27">
        <f t="shared" si="38"/>
        <v>4.3149946062567418E-3</v>
      </c>
      <c r="CR25" s="27">
        <f t="shared" si="39"/>
        <v>7.19165767709457E-4</v>
      </c>
      <c r="CS25" s="27">
        <f t="shared" si="40"/>
        <v>3.595828838547285E-4</v>
      </c>
      <c r="CT25" s="29">
        <f t="shared" si="91"/>
        <v>0.51238158411241908</v>
      </c>
      <c r="CU25" s="9">
        <f t="shared" si="41"/>
        <v>0.29994056369701155</v>
      </c>
      <c r="CV25" s="9">
        <f t="shared" si="42"/>
        <v>0.15010246304880398</v>
      </c>
      <c r="CW25" s="9">
        <f t="shared" si="43"/>
        <v>3.4007601399069366E-2</v>
      </c>
      <c r="CX25" s="9">
        <f t="shared" si="44"/>
        <v>3.1713628656870655E-3</v>
      </c>
      <c r="CY25" s="9">
        <f t="shared" si="45"/>
        <v>3.0790753613951652E-4</v>
      </c>
      <c r="CZ25" s="9">
        <f t="shared" si="46"/>
        <v>8.851734086954176E-5</v>
      </c>
      <c r="DA25">
        <f t="shared" si="121"/>
        <v>-1.1954253683047233</v>
      </c>
      <c r="DB25">
        <f t="shared" si="47"/>
        <v>-1.1879096948511414</v>
      </c>
      <c r="DC25">
        <f t="shared" si="124"/>
        <v>100</v>
      </c>
      <c r="DD25">
        <f t="shared" si="92"/>
        <v>42.071836085048396</v>
      </c>
      <c r="DE25">
        <f t="shared" si="93"/>
        <v>152.87071042140303</v>
      </c>
      <c r="DF25">
        <f t="shared" si="49"/>
        <v>109.72194323778068</v>
      </c>
      <c r="DG25">
        <f t="shared" si="50"/>
        <v>76.241118498203633</v>
      </c>
      <c r="DH25">
        <f t="shared" si="51"/>
        <v>34.900233634997768</v>
      </c>
      <c r="DI25">
        <f t="shared" si="52"/>
        <v>7.5628388910295019</v>
      </c>
      <c r="DJ25">
        <f t="shared" si="53"/>
        <v>0.69798534328343975</v>
      </c>
      <c r="DK25">
        <f t="shared" si="54"/>
        <v>4.3435464675165729E-2</v>
      </c>
      <c r="DL25">
        <f t="shared" si="55"/>
        <v>9.9999999999999395E-5</v>
      </c>
      <c r="DM25">
        <f t="shared" si="56"/>
        <v>1974</v>
      </c>
      <c r="DN25" s="9">
        <f t="shared" si="94"/>
        <v>1.7065466069267246E-2</v>
      </c>
      <c r="DO25" s="9">
        <f t="shared" si="57"/>
        <v>0.20856408457569262</v>
      </c>
      <c r="DP25" s="9">
        <f t="shared" si="58"/>
        <v>0.21342319195844731</v>
      </c>
      <c r="DQ25" s="9">
        <f t="shared" si="59"/>
        <v>0.21136659599554189</v>
      </c>
      <c r="DR25" s="9">
        <f t="shared" si="60"/>
        <v>0.27346105374823254</v>
      </c>
      <c r="DS25" s="9">
        <f t="shared" si="61"/>
        <v>0.30276188353832939</v>
      </c>
      <c r="DT25" s="9">
        <f t="shared" si="62"/>
        <v>0.30943719064790592</v>
      </c>
      <c r="DU25" s="9">
        <f t="shared" si="63"/>
        <v>0.5454766152205629</v>
      </c>
      <c r="DV25" s="9">
        <f t="shared" si="64"/>
        <v>0.99617789582635607</v>
      </c>
      <c r="DW25">
        <f t="shared" si="95"/>
        <v>0.2252426026847367</v>
      </c>
      <c r="DX25">
        <f t="shared" si="96"/>
        <v>1974</v>
      </c>
      <c r="DY25" s="9">
        <f t="shared" si="97"/>
        <v>7.5764823642857276E-2</v>
      </c>
      <c r="DZ25" s="9">
        <f t="shared" si="98"/>
        <v>0.92595309275311322</v>
      </c>
      <c r="EA25" s="9">
        <f t="shared" si="99"/>
        <v>0.94752586506544434</v>
      </c>
      <c r="EB25" s="9">
        <f t="shared" si="100"/>
        <v>0.9383952834685696</v>
      </c>
      <c r="EC25" s="9">
        <f t="shared" si="101"/>
        <v>1.2140734056913085</v>
      </c>
      <c r="ED25" s="9">
        <f t="shared" si="102"/>
        <v>1.3441590530815053</v>
      </c>
      <c r="EE25" s="9">
        <f t="shared" si="103"/>
        <v>1.3737951300492346</v>
      </c>
      <c r="EF25" s="9">
        <f t="shared" si="104"/>
        <v>2.4217293208250008</v>
      </c>
      <c r="EG25" s="9">
        <f t="shared" si="105"/>
        <v>4.4226886208585841</v>
      </c>
      <c r="EI25">
        <f t="shared" si="106"/>
        <v>2781</v>
      </c>
      <c r="EJ25" s="8">
        <f t="shared" si="107"/>
        <v>8399.5516972257192</v>
      </c>
      <c r="EK25" s="8">
        <f t="shared" si="66"/>
        <v>4445.1479212906106</v>
      </c>
      <c r="EL25" s="8">
        <f t="shared" si="67"/>
        <v>2636.2088311191042</v>
      </c>
      <c r="EM25" s="8">
        <f t="shared" si="68"/>
        <v>486.70926113683947</v>
      </c>
      <c r="EN25" s="8">
        <f t="shared" si="69"/>
        <v>19.987214495661885</v>
      </c>
      <c r="EO25" s="8">
        <f t="shared" si="70"/>
        <v>0.6931471805599454</v>
      </c>
      <c r="EP25" s="8">
        <f t="shared" si="71"/>
        <v>0</v>
      </c>
      <c r="EQ25">
        <f t="shared" si="108"/>
        <v>15988.298072448495</v>
      </c>
      <c r="ES25" s="8">
        <f t="shared" si="109"/>
        <v>8649.5429519393365</v>
      </c>
      <c r="ET25" s="8">
        <f t="shared" si="72"/>
        <v>4588.9045215198566</v>
      </c>
      <c r="EU25" s="8">
        <f t="shared" si="73"/>
        <v>2709.8407257513632</v>
      </c>
      <c r="EV25" s="8">
        <f t="shared" si="74"/>
        <v>500.00657906146932</v>
      </c>
      <c r="EW25" s="8">
        <f t="shared" si="75"/>
        <v>17.622808896877181</v>
      </c>
      <c r="EX25" s="8">
        <f t="shared" si="76"/>
        <v>-3.2448975700059384</v>
      </c>
      <c r="EY25" s="8">
        <f t="shared" si="77"/>
        <v>-4.5283720443680719</v>
      </c>
      <c r="EZ25">
        <f t="shared" si="110"/>
        <v>16458.144317554528</v>
      </c>
      <c r="FB25">
        <f t="shared" si="111"/>
        <v>19278.787892050219</v>
      </c>
      <c r="FC25">
        <f t="shared" si="112"/>
        <v>462.56074456433771</v>
      </c>
      <c r="FD25">
        <f t="shared" si="113"/>
        <v>20240.923817782015</v>
      </c>
      <c r="FE25">
        <f t="shared" si="114"/>
        <v>-29.728936061426793</v>
      </c>
      <c r="FG25">
        <f t="shared" si="115"/>
        <v>117.82179868903179</v>
      </c>
      <c r="FJ25">
        <v>37.023534058625494</v>
      </c>
    </row>
    <row r="26" spans="1:166" x14ac:dyDescent="0.3">
      <c r="D26">
        <v>1975</v>
      </c>
      <c r="E26">
        <f t="shared" si="78"/>
        <v>77.303680158337457</v>
      </c>
      <c r="F26">
        <f t="shared" si="79"/>
        <v>2.0919894676628911E-2</v>
      </c>
      <c r="G26">
        <f t="shared" si="80"/>
        <v>0.14866043976186413</v>
      </c>
      <c r="H26">
        <f t="shared" si="81"/>
        <v>0.3469178946808934</v>
      </c>
      <c r="I26" s="2">
        <v>2.0466801583374568</v>
      </c>
      <c r="J26">
        <f t="shared" si="82"/>
        <v>2.0466801583374568</v>
      </c>
      <c r="K26" s="2">
        <v>26.107999999999997</v>
      </c>
      <c r="L26">
        <f t="shared" si="116"/>
        <v>49.149000000000001</v>
      </c>
      <c r="M26" s="25">
        <f t="shared" si="117"/>
        <v>1.2207826700108662</v>
      </c>
      <c r="N26" s="25">
        <f t="shared" si="0"/>
        <v>110.78602730348609</v>
      </c>
      <c r="O26" s="25">
        <f t="shared" si="1"/>
        <v>42.462890538544634</v>
      </c>
      <c r="P26" s="25">
        <f t="shared" si="2"/>
        <v>25.534704181060622</v>
      </c>
      <c r="Q26" s="25">
        <f t="shared" si="3"/>
        <v>17.558924070322959</v>
      </c>
      <c r="R26" s="25">
        <f t="shared" si="4"/>
        <v>10.661501984761564</v>
      </c>
      <c r="S26" s="25">
        <f t="shared" si="5"/>
        <v>2.665375496190391</v>
      </c>
      <c r="T26" s="25">
        <f t="shared" si="6"/>
        <v>0.34588842316974544</v>
      </c>
      <c r="U26" s="25">
        <f t="shared" si="7"/>
        <v>2.0346377833514437E-2</v>
      </c>
      <c r="V26">
        <f t="shared" si="8"/>
        <v>211.25644104538037</v>
      </c>
      <c r="W26">
        <f t="shared" si="118"/>
        <v>2.2981556399710459</v>
      </c>
      <c r="X26">
        <f t="shared" si="9"/>
        <v>208.55762432737245</v>
      </c>
      <c r="Y26">
        <f t="shared" si="10"/>
        <v>79.937513676992879</v>
      </c>
      <c r="Z26">
        <f t="shared" si="11"/>
        <v>48.06975546939438</v>
      </c>
      <c r="AA26">
        <f t="shared" si="12"/>
        <v>33.055138621583545</v>
      </c>
      <c r="AB26">
        <f t="shared" si="13"/>
        <v>20.070559255747135</v>
      </c>
      <c r="AC26">
        <f t="shared" si="14"/>
        <v>5.0176398139367837</v>
      </c>
      <c r="AD26">
        <f t="shared" si="15"/>
        <v>0.6511440979917964</v>
      </c>
      <c r="AE26">
        <f t="shared" si="16"/>
        <v>3.830259399951743E-2</v>
      </c>
      <c r="AF26">
        <f t="shared" si="17"/>
        <v>397.69583349698951</v>
      </c>
      <c r="AG26" s="2">
        <v>5.4699999999999999E-2</v>
      </c>
      <c r="AH26" s="2">
        <v>9.1899999999999996E-2</v>
      </c>
      <c r="AI26" s="2">
        <v>0.128</v>
      </c>
      <c r="AJ26" s="2">
        <v>0.1653</v>
      </c>
      <c r="AK26" s="2">
        <v>0.1893</v>
      </c>
      <c r="AL26" s="2">
        <v>0.2069</v>
      </c>
      <c r="AM26" s="2">
        <v>0.22009999999999999</v>
      </c>
      <c r="AN26" s="2">
        <v>0.24060000000000001</v>
      </c>
      <c r="AO26" s="2">
        <v>0.20699999999999999</v>
      </c>
      <c r="AP26">
        <f t="shared" si="119"/>
        <v>0.12358439757295583</v>
      </c>
      <c r="AQ26" s="2">
        <v>60</v>
      </c>
      <c r="AR26" s="2">
        <v>5445</v>
      </c>
      <c r="AS26" s="2">
        <v>2087</v>
      </c>
      <c r="AT26" s="2">
        <v>1255</v>
      </c>
      <c r="AU26" s="2">
        <v>863</v>
      </c>
      <c r="AV26" s="2">
        <v>524</v>
      </c>
      <c r="AW26" s="2">
        <v>131</v>
      </c>
      <c r="AX26" s="2">
        <v>17</v>
      </c>
      <c r="AY26" s="2">
        <v>1</v>
      </c>
      <c r="AZ26">
        <f t="shared" si="83"/>
        <v>10383</v>
      </c>
      <c r="BA26">
        <f t="shared" si="18"/>
        <v>1975</v>
      </c>
      <c r="BB26">
        <f t="shared" si="122"/>
        <v>-0.36798238843023667</v>
      </c>
      <c r="BC26">
        <f t="shared" si="123"/>
        <v>-0.30435744697203643</v>
      </c>
      <c r="BD26">
        <f t="shared" si="84"/>
        <v>9.5700615457080709E-2</v>
      </c>
      <c r="BE26">
        <f t="shared" si="19"/>
        <v>8.6848308527300748</v>
      </c>
      <c r="BF26">
        <f t="shared" si="20"/>
        <v>3.3287864076487907</v>
      </c>
      <c r="BG26">
        <f t="shared" si="21"/>
        <v>2.0017378733106046</v>
      </c>
      <c r="BH26">
        <f t="shared" si="22"/>
        <v>1.3764938523243442</v>
      </c>
      <c r="BI26">
        <f t="shared" si="23"/>
        <v>0.83578537499183814</v>
      </c>
      <c r="BJ26">
        <f t="shared" si="24"/>
        <v>0.20894634374795953</v>
      </c>
      <c r="BK26">
        <f t="shared" si="25"/>
        <v>2.7115174379506203E-2</v>
      </c>
      <c r="BL26">
        <f t="shared" si="26"/>
        <v>1.5950102576180118E-3</v>
      </c>
      <c r="BM26" s="24">
        <f t="shared" si="85"/>
        <v>391.93618598733536</v>
      </c>
      <c r="BN26" s="24">
        <f t="shared" si="27"/>
        <v>557.87625195063379</v>
      </c>
      <c r="BO26" s="24">
        <f t="shared" si="28"/>
        <v>200.54669080851048</v>
      </c>
      <c r="BP26" s="24">
        <f t="shared" si="29"/>
        <v>110.69318790614356</v>
      </c>
      <c r="BQ26" s="24">
        <f t="shared" si="30"/>
        <v>61.601859950545702</v>
      </c>
      <c r="BR26" s="24">
        <f t="shared" si="31"/>
        <v>26.258278384689241</v>
      </c>
      <c r="BS26" s="24">
        <f t="shared" si="32"/>
        <v>5.1736436328985995</v>
      </c>
      <c r="BT26" s="24">
        <f t="shared" si="33"/>
        <v>0.42049489445079652</v>
      </c>
      <c r="BU26" s="23">
        <f t="shared" si="34"/>
        <v>2.2041388091132447E-2</v>
      </c>
      <c r="BV26">
        <f t="shared" si="86"/>
        <v>69.679471971689637</v>
      </c>
      <c r="BW26">
        <v>0.43366881012090702</v>
      </c>
      <c r="BX26" s="2">
        <v>49.149000000000001</v>
      </c>
      <c r="CJ26">
        <v>1975</v>
      </c>
      <c r="CK26">
        <f t="shared" si="88"/>
        <v>4878</v>
      </c>
      <c r="CL26">
        <f t="shared" si="89"/>
        <v>404.7161969653294</v>
      </c>
      <c r="CM26" s="9">
        <f t="shared" si="120"/>
        <v>0.42783927839278391</v>
      </c>
      <c r="CN26" s="9">
        <f t="shared" si="90"/>
        <v>0.25727757277572777</v>
      </c>
      <c r="CO26" s="9">
        <f t="shared" si="36"/>
        <v>0.17691676916769167</v>
      </c>
      <c r="CP26" s="9">
        <f t="shared" si="37"/>
        <v>0.10742107421074211</v>
      </c>
      <c r="CQ26" s="27">
        <f t="shared" si="38"/>
        <v>2.6855268552685527E-2</v>
      </c>
      <c r="CR26" s="27">
        <f t="shared" si="39"/>
        <v>3.4850348503485036E-3</v>
      </c>
      <c r="CS26" s="27">
        <f t="shared" si="40"/>
        <v>2.0500205002050019E-4</v>
      </c>
      <c r="CT26" s="29">
        <f t="shared" si="91"/>
        <v>0.4955242520864333</v>
      </c>
      <c r="CU26" s="9">
        <f t="shared" si="41"/>
        <v>0.27350817371815306</v>
      </c>
      <c r="CV26" s="9">
        <f t="shared" si="42"/>
        <v>0.15221001880441892</v>
      </c>
      <c r="CW26" s="9">
        <f t="shared" si="43"/>
        <v>6.4880720321007307E-2</v>
      </c>
      <c r="CX26" s="9">
        <f t="shared" si="44"/>
        <v>1.2783386658828994E-2</v>
      </c>
      <c r="CY26" s="9">
        <f t="shared" si="45"/>
        <v>1.0389870669960334E-3</v>
      </c>
      <c r="CZ26" s="9">
        <f t="shared" si="46"/>
        <v>5.4461344162661856E-5</v>
      </c>
      <c r="DA26">
        <f t="shared" si="121"/>
        <v>-1.4038246428663768</v>
      </c>
      <c r="DB26">
        <f t="shared" si="47"/>
        <v>-1.3942556196300464</v>
      </c>
      <c r="DC26">
        <f t="shared" si="124"/>
        <v>100</v>
      </c>
      <c r="DD26">
        <f t="shared" si="92"/>
        <v>25.108357321479708</v>
      </c>
      <c r="DE26">
        <f t="shared" si="93"/>
        <v>284.83615741977718</v>
      </c>
      <c r="DF26">
        <f t="shared" si="49"/>
        <v>130.7457618626855</v>
      </c>
      <c r="DG26">
        <f t="shared" si="50"/>
        <v>83.156745851772342</v>
      </c>
      <c r="DH26">
        <f t="shared" si="51"/>
        <v>42.666442027898398</v>
      </c>
      <c r="DI26">
        <f t="shared" si="52"/>
        <v>14.760991024935837</v>
      </c>
      <c r="DJ26">
        <f t="shared" si="53"/>
        <v>2.2993217929602485</v>
      </c>
      <c r="DK26">
        <f t="shared" si="54"/>
        <v>4.7491296901544855E-2</v>
      </c>
      <c r="DL26">
        <f t="shared" si="55"/>
        <v>9.9999999999999395E-5</v>
      </c>
      <c r="DM26">
        <f t="shared" si="56"/>
        <v>1975</v>
      </c>
      <c r="DN26" s="9">
        <f t="shared" si="94"/>
        <v>3.1155092839686431E-3</v>
      </c>
      <c r="DO26" s="9">
        <f t="shared" si="57"/>
        <v>0.20172570627926178</v>
      </c>
      <c r="DP26" s="9">
        <f t="shared" si="58"/>
        <v>0.21530951090645045</v>
      </c>
      <c r="DQ26" s="9">
        <f t="shared" si="59"/>
        <v>0.23492836072522014</v>
      </c>
      <c r="DR26" s="9">
        <f t="shared" si="60"/>
        <v>0.29155362944056107</v>
      </c>
      <c r="DS26" s="9">
        <f t="shared" si="61"/>
        <v>0.41937279639312863</v>
      </c>
      <c r="DT26" s="9">
        <f t="shared" si="62"/>
        <v>0.53686566188336193</v>
      </c>
      <c r="DU26" s="9">
        <f t="shared" si="63"/>
        <v>0.87927365220317344</v>
      </c>
      <c r="DV26" s="9">
        <f t="shared" si="64"/>
        <v>0.99510915816902856</v>
      </c>
      <c r="DW26">
        <f t="shared" si="95"/>
        <v>0.25003954504030729</v>
      </c>
      <c r="DX26">
        <f t="shared" si="96"/>
        <v>1975</v>
      </c>
      <c r="DY26" s="9">
        <f t="shared" si="97"/>
        <v>1.2460066200594037E-2</v>
      </c>
      <c r="DZ26" s="9">
        <f t="shared" si="98"/>
        <v>0.80677520928436686</v>
      </c>
      <c r="EA26" s="9">
        <f t="shared" si="99"/>
        <v>0.86110183439880184</v>
      </c>
      <c r="EB26" s="9">
        <f t="shared" si="100"/>
        <v>0.93956482238579031</v>
      </c>
      <c r="EC26" s="9">
        <f t="shared" si="101"/>
        <v>1.1660300749369927</v>
      </c>
      <c r="ED26" s="9">
        <f t="shared" si="102"/>
        <v>1.6772258817121275</v>
      </c>
      <c r="EE26" s="9">
        <f t="shared" si="103"/>
        <v>2.1471230152687135</v>
      </c>
      <c r="EF26" s="9">
        <f t="shared" si="104"/>
        <v>3.5165383622075912</v>
      </c>
      <c r="EG26" s="9">
        <f t="shared" si="105"/>
        <v>3.9798071061464033</v>
      </c>
      <c r="EI26">
        <f t="shared" si="106"/>
        <v>4878</v>
      </c>
      <c r="EJ26" s="8">
        <f t="shared" si="107"/>
        <v>13869.689546986583</v>
      </c>
      <c r="EK26" s="8">
        <f t="shared" si="66"/>
        <v>7703.7744690752343</v>
      </c>
      <c r="EL26" s="8">
        <f t="shared" si="67"/>
        <v>4975.5371208461193</v>
      </c>
      <c r="EM26" s="8">
        <f t="shared" si="68"/>
        <v>2761.0714859926507</v>
      </c>
      <c r="EN26" s="8">
        <f t="shared" si="69"/>
        <v>511.00802266523596</v>
      </c>
      <c r="EO26" s="8">
        <f t="shared" si="70"/>
        <v>33.505073450136891</v>
      </c>
      <c r="EP26" s="8">
        <f t="shared" si="71"/>
        <v>0</v>
      </c>
      <c r="EQ26">
        <f t="shared" si="108"/>
        <v>29854.585719015962</v>
      </c>
      <c r="ES26" s="8">
        <f t="shared" si="109"/>
        <v>14288.057592218649</v>
      </c>
      <c r="ET26" s="8">
        <f t="shared" si="72"/>
        <v>7937.0023450275821</v>
      </c>
      <c r="EU26" s="8">
        <f t="shared" si="73"/>
        <v>5109.4857717029536</v>
      </c>
      <c r="EV26" s="8">
        <f t="shared" si="74"/>
        <v>2819.659120804658</v>
      </c>
      <c r="EW26" s="8">
        <f t="shared" si="75"/>
        <v>519.02290771524633</v>
      </c>
      <c r="EX26" s="8">
        <f t="shared" si="76"/>
        <v>29.884491417166519</v>
      </c>
      <c r="EY26" s="8">
        <f t="shared" si="77"/>
        <v>-4.4521546260835647</v>
      </c>
      <c r="EZ26">
        <f t="shared" si="110"/>
        <v>30698.660074260173</v>
      </c>
      <c r="FB26">
        <f t="shared" si="111"/>
        <v>36553.534244174778</v>
      </c>
      <c r="FC26">
        <f t="shared" si="112"/>
        <v>932.42751878457068</v>
      </c>
      <c r="FD26">
        <f t="shared" si="113"/>
        <v>38366.837031974836</v>
      </c>
      <c r="FE26">
        <f t="shared" si="114"/>
        <v>-36.8009137712761</v>
      </c>
      <c r="FG26">
        <f t="shared" si="115"/>
        <v>205.94241446273671</v>
      </c>
      <c r="FJ26">
        <v>64.016532536733209</v>
      </c>
    </row>
    <row r="27" spans="1:166" x14ac:dyDescent="0.3">
      <c r="D27">
        <v>1976</v>
      </c>
      <c r="E27">
        <f t="shared" si="78"/>
        <v>106.71763331024246</v>
      </c>
      <c r="F27">
        <f t="shared" si="79"/>
        <v>2.0500319997206695E-2</v>
      </c>
      <c r="G27">
        <f t="shared" si="80"/>
        <v>0.23099353262479611</v>
      </c>
      <c r="H27">
        <f t="shared" si="81"/>
        <v>0.37133921227308381</v>
      </c>
      <c r="I27" s="2">
        <v>2.1636333102424543</v>
      </c>
      <c r="J27">
        <f t="shared" si="82"/>
        <v>2.1636333102424543</v>
      </c>
      <c r="K27" s="2">
        <v>38.825000000000003</v>
      </c>
      <c r="L27">
        <f t="shared" si="116"/>
        <v>65.728999999999999</v>
      </c>
      <c r="M27" s="25">
        <f t="shared" si="117"/>
        <v>0.49544516857426579</v>
      </c>
      <c r="N27" s="25">
        <f t="shared" si="0"/>
        <v>21.564902863732513</v>
      </c>
      <c r="O27" s="25">
        <f t="shared" si="1"/>
        <v>126.7557349705003</v>
      </c>
      <c r="P27" s="25">
        <f t="shared" si="2"/>
        <v>59.270887798384528</v>
      </c>
      <c r="Q27" s="25">
        <f t="shared" si="3"/>
        <v>36.558638228480028</v>
      </c>
      <c r="R27" s="25">
        <f t="shared" si="4"/>
        <v>21.721359232755965</v>
      </c>
      <c r="S27" s="25">
        <f t="shared" si="5"/>
        <v>7.4056014671100785</v>
      </c>
      <c r="T27" s="25">
        <f t="shared" si="6"/>
        <v>1.1473467061719838</v>
      </c>
      <c r="U27" s="25">
        <f t="shared" si="7"/>
        <v>2.6076061503908725E-2</v>
      </c>
      <c r="V27">
        <f t="shared" si="8"/>
        <v>274.94599249721358</v>
      </c>
      <c r="W27">
        <f t="shared" si="118"/>
        <v>0.83876665770039704</v>
      </c>
      <c r="X27">
        <f t="shared" si="9"/>
        <v>36.508422416748857</v>
      </c>
      <c r="Y27">
        <f t="shared" si="10"/>
        <v>214.59182753061208</v>
      </c>
      <c r="Z27">
        <f t="shared" si="11"/>
        <v>100.34297962910539</v>
      </c>
      <c r="AA27">
        <f t="shared" si="12"/>
        <v>61.892150215576656</v>
      </c>
      <c r="AB27">
        <f t="shared" si="13"/>
        <v>36.773296098127929</v>
      </c>
      <c r="AC27">
        <f t="shared" si="14"/>
        <v>12.537354251942775</v>
      </c>
      <c r="AD27">
        <f t="shared" si="15"/>
        <v>1.9424069967798665</v>
      </c>
      <c r="AE27">
        <f t="shared" si="16"/>
        <v>4.4145613563178789E-2</v>
      </c>
      <c r="AF27">
        <f t="shared" si="17"/>
        <v>465.47134941015713</v>
      </c>
      <c r="AG27" s="2">
        <v>5.3600000000000002E-2</v>
      </c>
      <c r="AH27" s="2">
        <v>8.7300000000000003E-2</v>
      </c>
      <c r="AI27" s="2">
        <v>0.1202</v>
      </c>
      <c r="AJ27" s="2">
        <v>0.15179999999999999</v>
      </c>
      <c r="AK27" s="2">
        <v>0.18110000000000001</v>
      </c>
      <c r="AL27" s="2">
        <v>0.1951</v>
      </c>
      <c r="AM27" s="2">
        <v>0.2112</v>
      </c>
      <c r="AN27" s="2">
        <v>0.2223</v>
      </c>
      <c r="AO27" s="2">
        <v>0.18190000000000001</v>
      </c>
      <c r="AP27">
        <f t="shared" si="119"/>
        <v>0.1412095504552352</v>
      </c>
      <c r="AQ27" s="2">
        <v>19</v>
      </c>
      <c r="AR27" s="2">
        <v>827</v>
      </c>
      <c r="AS27" s="2">
        <v>4861</v>
      </c>
      <c r="AT27" s="2">
        <v>2273</v>
      </c>
      <c r="AU27" s="2">
        <v>1402</v>
      </c>
      <c r="AV27" s="2">
        <v>833</v>
      </c>
      <c r="AW27" s="2">
        <v>284</v>
      </c>
      <c r="AX27" s="2">
        <v>44</v>
      </c>
      <c r="AY27" s="2">
        <v>1</v>
      </c>
      <c r="AZ27">
        <f t="shared" si="83"/>
        <v>10544</v>
      </c>
      <c r="BA27">
        <f t="shared" si="18"/>
        <v>1976</v>
      </c>
      <c r="BB27">
        <f t="shared" si="122"/>
        <v>-0.5979038197869907</v>
      </c>
      <c r="BC27">
        <f t="shared" si="123"/>
        <v>-0.27299369489059994</v>
      </c>
      <c r="BD27">
        <f t="shared" si="84"/>
        <v>2.7610088090816984E-2</v>
      </c>
      <c r="BE27">
        <f t="shared" si="19"/>
        <v>1.2017654132160867</v>
      </c>
      <c r="BF27">
        <f t="shared" si="20"/>
        <v>7.0638230636558612</v>
      </c>
      <c r="BG27">
        <f t="shared" si="21"/>
        <v>3.3030384331803684</v>
      </c>
      <c r="BH27">
        <f t="shared" si="22"/>
        <v>2.0373338685960745</v>
      </c>
      <c r="BI27">
        <f t="shared" si="23"/>
        <v>1.2104843884026604</v>
      </c>
      <c r="BJ27">
        <f t="shared" si="24"/>
        <v>0.41269815883115912</v>
      </c>
      <c r="BK27">
        <f t="shared" si="25"/>
        <v>6.3939151368207756E-2</v>
      </c>
      <c r="BL27">
        <f t="shared" si="26"/>
        <v>1.4531625310956308E-3</v>
      </c>
      <c r="BM27" s="24">
        <f t="shared" si="85"/>
        <v>280.1194477003765</v>
      </c>
      <c r="BN27" s="24">
        <f t="shared" si="27"/>
        <v>343.85346051139987</v>
      </c>
      <c r="BO27" s="24">
        <f t="shared" si="28"/>
        <v>385.91810634957352</v>
      </c>
      <c r="BP27" s="24">
        <f t="shared" si="29"/>
        <v>136.22719467900103</v>
      </c>
      <c r="BQ27" s="24">
        <f t="shared" si="30"/>
        <v>70.144834739071797</v>
      </c>
      <c r="BR27" s="24">
        <f t="shared" si="31"/>
        <v>33.999283122758897</v>
      </c>
      <c r="BS27" s="24">
        <f t="shared" si="32"/>
        <v>10.902282938382148</v>
      </c>
      <c r="BT27" s="24">
        <f t="shared" si="33"/>
        <v>1.5345361641217605</v>
      </c>
      <c r="BU27" s="23">
        <f t="shared" si="34"/>
        <v>2.7629224035004354E-2</v>
      </c>
      <c r="BV27">
        <f t="shared" si="86"/>
        <v>64.552807532498704</v>
      </c>
      <c r="BW27">
        <v>0.71512651326102172</v>
      </c>
      <c r="BX27" s="2">
        <v>65.728999999999999</v>
      </c>
      <c r="CJ27">
        <v>1976</v>
      </c>
      <c r="CK27">
        <f t="shared" si="88"/>
        <v>9698</v>
      </c>
      <c r="CL27">
        <f t="shared" si="89"/>
        <v>638.75386721694417</v>
      </c>
      <c r="CM27" s="9">
        <f t="shared" si="120"/>
        <v>0.50123736852959377</v>
      </c>
      <c r="CN27" s="9">
        <f t="shared" si="90"/>
        <v>0.23437822231387914</v>
      </c>
      <c r="CO27" s="9">
        <f t="shared" si="36"/>
        <v>0.14456588987420085</v>
      </c>
      <c r="CP27" s="9">
        <f t="shared" si="37"/>
        <v>8.5893998762631471E-2</v>
      </c>
      <c r="CQ27" s="27">
        <f t="shared" si="38"/>
        <v>2.9284388533718293E-2</v>
      </c>
      <c r="CR27" s="27">
        <f t="shared" si="39"/>
        <v>4.5370179418436794E-3</v>
      </c>
      <c r="CS27" s="27">
        <f t="shared" si="40"/>
        <v>1.0311404413281089E-4</v>
      </c>
      <c r="CT27" s="29">
        <f t="shared" si="91"/>
        <v>0.60417341664172131</v>
      </c>
      <c r="CU27" s="9">
        <f t="shared" si="41"/>
        <v>0.21327024644491629</v>
      </c>
      <c r="CV27" s="9">
        <f t="shared" si="42"/>
        <v>0.10981512338186447</v>
      </c>
      <c r="CW27" s="9">
        <f t="shared" si="43"/>
        <v>5.3227518247199117E-2</v>
      </c>
      <c r="CX27" s="9">
        <f t="shared" si="44"/>
        <v>1.7068049992219201E-2</v>
      </c>
      <c r="CY27" s="9">
        <f t="shared" si="45"/>
        <v>2.4023904086995936E-3</v>
      </c>
      <c r="CZ27" s="9">
        <f t="shared" si="46"/>
        <v>4.3254883380017895E-5</v>
      </c>
      <c r="DA27">
        <f t="shared" si="121"/>
        <v>-1.3336058435391542</v>
      </c>
      <c r="DB27">
        <f t="shared" si="47"/>
        <v>-1.3252075675576664</v>
      </c>
      <c r="DC27">
        <f t="shared" si="124"/>
        <v>100</v>
      </c>
      <c r="DD27">
        <f t="shared" si="92"/>
        <v>17.971971405219684</v>
      </c>
      <c r="DE27">
        <f t="shared" si="93"/>
        <v>208.6131452597744</v>
      </c>
      <c r="DF27">
        <f t="shared" si="49"/>
        <v>212.9870686664857</v>
      </c>
      <c r="DG27">
        <f t="shared" si="50"/>
        <v>73.653268447436119</v>
      </c>
      <c r="DH27">
        <f t="shared" si="51"/>
        <v>31.54886264199569</v>
      </c>
      <c r="DI27">
        <f t="shared" si="52"/>
        <v>11.067439501600269</v>
      </c>
      <c r="DJ27">
        <f t="shared" si="53"/>
        <v>3.0839833124409113</v>
      </c>
      <c r="DK27">
        <f t="shared" si="54"/>
        <v>0.32325030658156906</v>
      </c>
      <c r="DL27">
        <f t="shared" si="55"/>
        <v>9.9999999999999395E-5</v>
      </c>
      <c r="DM27">
        <f t="shared" si="56"/>
        <v>1976</v>
      </c>
      <c r="DN27" s="9">
        <f t="shared" si="94"/>
        <v>1.7688668573772606E-3</v>
      </c>
      <c r="DO27" s="9">
        <f t="shared" si="57"/>
        <v>6.2935345635903778E-2</v>
      </c>
      <c r="DP27" s="9">
        <f t="shared" si="58"/>
        <v>0.33457648642931925</v>
      </c>
      <c r="DQ27" s="9">
        <f t="shared" si="59"/>
        <v>0.44590004911351921</v>
      </c>
      <c r="DR27" s="9">
        <f t="shared" si="60"/>
        <v>0.53677844233347916</v>
      </c>
      <c r="DS27" s="9">
        <f t="shared" si="61"/>
        <v>0.66246279434434541</v>
      </c>
      <c r="DT27" s="9">
        <f t="shared" si="62"/>
        <v>0.70599567311253264</v>
      </c>
      <c r="DU27" s="9">
        <f t="shared" si="63"/>
        <v>0.78019110349183041</v>
      </c>
      <c r="DV27" s="9">
        <f t="shared" si="64"/>
        <v>0.996179715577721</v>
      </c>
      <c r="DW27">
        <f t="shared" si="95"/>
        <v>0.40483655166507326</v>
      </c>
      <c r="DX27">
        <f t="shared" si="96"/>
        <v>1976</v>
      </c>
      <c r="DY27" s="9">
        <f t="shared" si="97"/>
        <v>4.3693358470276366E-3</v>
      </c>
      <c r="DZ27" s="9">
        <f t="shared" si="98"/>
        <v>0.1554586545534333</v>
      </c>
      <c r="EA27" s="9">
        <f t="shared" si="99"/>
        <v>0.82644831612467362</v>
      </c>
      <c r="EB27" s="9">
        <f t="shared" si="100"/>
        <v>1.1014322873751241</v>
      </c>
      <c r="EC27" s="9">
        <f t="shared" si="101"/>
        <v>1.3259139771982922</v>
      </c>
      <c r="ED27" s="9">
        <f t="shared" si="102"/>
        <v>1.6363710036054497</v>
      </c>
      <c r="EE27" s="9">
        <f t="shared" si="103"/>
        <v>1.7439029905002559</v>
      </c>
      <c r="EF27" s="9">
        <f t="shared" si="104"/>
        <v>1.9271755484600932</v>
      </c>
      <c r="EG27" s="9">
        <f t="shared" si="105"/>
        <v>2.4606960796412323</v>
      </c>
      <c r="EI27">
        <f t="shared" si="106"/>
        <v>9698</v>
      </c>
      <c r="EJ27" s="8">
        <f t="shared" si="107"/>
        <v>36409.189816102946</v>
      </c>
      <c r="EK27" s="8">
        <f t="shared" si="66"/>
        <v>15299.472690724229</v>
      </c>
      <c r="EL27" s="8">
        <f t="shared" si="67"/>
        <v>8760.9502302734345</v>
      </c>
      <c r="EM27" s="8">
        <f t="shared" si="68"/>
        <v>4773.2345793192799</v>
      </c>
      <c r="EN27" s="8">
        <f t="shared" si="69"/>
        <v>1324.0524027171766</v>
      </c>
      <c r="EO27" s="8">
        <f t="shared" si="70"/>
        <v>125.31727114935688</v>
      </c>
      <c r="EP27" s="8">
        <f t="shared" si="71"/>
        <v>0</v>
      </c>
      <c r="EQ27">
        <f t="shared" si="108"/>
        <v>66692.216990286412</v>
      </c>
      <c r="ES27" s="8">
        <f t="shared" si="109"/>
        <v>37421.828556205794</v>
      </c>
      <c r="ET27" s="8">
        <f t="shared" si="72"/>
        <v>15677.80384364682</v>
      </c>
      <c r="EU27" s="8">
        <f t="shared" si="73"/>
        <v>8961.0838491249397</v>
      </c>
      <c r="EV27" s="8">
        <f t="shared" si="74"/>
        <v>4871.7151328695636</v>
      </c>
      <c r="EW27" s="8">
        <f t="shared" si="75"/>
        <v>1352.4264099442901</v>
      </c>
      <c r="EX27" s="8">
        <f t="shared" si="76"/>
        <v>125.41306768800834</v>
      </c>
      <c r="EY27" s="8">
        <f t="shared" si="77"/>
        <v>-3.9953512782605913</v>
      </c>
      <c r="EZ27">
        <f t="shared" si="110"/>
        <v>68406.275508201143</v>
      </c>
      <c r="FB27">
        <f t="shared" si="111"/>
        <v>79331.996524042916</v>
      </c>
      <c r="FC27">
        <f t="shared" si="112"/>
        <v>2147.5010717423302</v>
      </c>
      <c r="FD27">
        <f t="shared" si="113"/>
        <v>83237.101113620025</v>
      </c>
      <c r="FE27">
        <f t="shared" si="114"/>
        <v>-43.544999920050032</v>
      </c>
      <c r="FG27">
        <f t="shared" si="115"/>
        <v>408.48956183005083</v>
      </c>
      <c r="FJ27">
        <v>59.188192146492142</v>
      </c>
    </row>
    <row r="28" spans="1:166" x14ac:dyDescent="0.3">
      <c r="D28">
        <v>1977</v>
      </c>
      <c r="E28">
        <f t="shared" si="78"/>
        <v>91.004340759426029</v>
      </c>
      <c r="F28">
        <f t="shared" si="79"/>
        <v>2.5593648730650349E-2</v>
      </c>
      <c r="G28">
        <f t="shared" si="80"/>
        <v>0.27279931812313613</v>
      </c>
      <c r="H28">
        <f t="shared" si="81"/>
        <v>0.33861950812650748</v>
      </c>
      <c r="I28" s="2">
        <v>2.2823407594260265</v>
      </c>
      <c r="J28">
        <f t="shared" si="82"/>
        <v>2.2823407594260265</v>
      </c>
      <c r="K28" s="2">
        <v>30.042999999999999</v>
      </c>
      <c r="L28">
        <f t="shared" si="116"/>
        <v>58.679000000000002</v>
      </c>
      <c r="M28" s="25">
        <f t="shared" si="117"/>
        <v>1.1402644314731534</v>
      </c>
      <c r="N28" s="25">
        <f t="shared" si="0"/>
        <v>26.195263966275146</v>
      </c>
      <c r="O28" s="25">
        <f t="shared" si="1"/>
        <v>66.44351660151672</v>
      </c>
      <c r="P28" s="25">
        <f t="shared" si="2"/>
        <v>81.975767235637505</v>
      </c>
      <c r="Q28" s="25">
        <f t="shared" si="3"/>
        <v>27.643707973822124</v>
      </c>
      <c r="R28" s="25">
        <f t="shared" si="4"/>
        <v>10.632195374546971</v>
      </c>
      <c r="S28" s="25">
        <f t="shared" si="5"/>
        <v>4.0371524465671111</v>
      </c>
      <c r="T28" s="25">
        <f t="shared" si="6"/>
        <v>0.73963098257718052</v>
      </c>
      <c r="U28" s="25">
        <f t="shared" si="7"/>
        <v>0.12327183042953009</v>
      </c>
      <c r="V28">
        <f t="shared" si="8"/>
        <v>218.93077084284545</v>
      </c>
      <c r="W28">
        <f t="shared" si="118"/>
        <v>2.2271270037750281</v>
      </c>
      <c r="X28">
        <f t="shared" si="9"/>
        <v>51.16372846510199</v>
      </c>
      <c r="Y28">
        <f t="shared" si="10"/>
        <v>129.77529243618812</v>
      </c>
      <c r="Z28">
        <f t="shared" si="11"/>
        <v>160.11237378490742</v>
      </c>
      <c r="AA28">
        <f t="shared" si="12"/>
        <v>53.992781686113517</v>
      </c>
      <c r="AB28">
        <f t="shared" si="13"/>
        <v>20.766454494659044</v>
      </c>
      <c r="AC28">
        <f t="shared" si="14"/>
        <v>7.8852334457980726</v>
      </c>
      <c r="AD28">
        <f t="shared" si="15"/>
        <v>1.4446229213675859</v>
      </c>
      <c r="AE28">
        <f t="shared" si="16"/>
        <v>0.24077048689459762</v>
      </c>
      <c r="AF28">
        <f t="shared" si="17"/>
        <v>427.60838472480532</v>
      </c>
      <c r="AG28" s="2">
        <v>6.2799999999999995E-2</v>
      </c>
      <c r="AH28" s="2">
        <v>8.8400000000000006E-2</v>
      </c>
      <c r="AI28" s="2">
        <v>0.12529999999999999</v>
      </c>
      <c r="AJ28" s="2">
        <v>0.14349999999999999</v>
      </c>
      <c r="AK28" s="2">
        <v>0.16930000000000001</v>
      </c>
      <c r="AL28" s="2">
        <v>0.18260000000000001</v>
      </c>
      <c r="AM28" s="2">
        <v>0.1918</v>
      </c>
      <c r="AN28" s="2">
        <v>0.1953</v>
      </c>
      <c r="AO28" s="2">
        <v>0.21529999999999999</v>
      </c>
      <c r="AP28">
        <f t="shared" si="119"/>
        <v>0.13722602759009009</v>
      </c>
      <c r="AQ28" s="2">
        <v>37</v>
      </c>
      <c r="AR28" s="2">
        <v>850</v>
      </c>
      <c r="AS28" s="2">
        <v>2156</v>
      </c>
      <c r="AT28" s="2">
        <v>2660</v>
      </c>
      <c r="AU28" s="2">
        <v>897</v>
      </c>
      <c r="AV28" s="2">
        <v>345</v>
      </c>
      <c r="AW28" s="2">
        <v>131</v>
      </c>
      <c r="AX28" s="2">
        <v>24</v>
      </c>
      <c r="AY28" s="2">
        <v>4</v>
      </c>
      <c r="AZ28">
        <f t="shared" si="83"/>
        <v>7104</v>
      </c>
      <c r="BA28">
        <f t="shared" si="18"/>
        <v>1977</v>
      </c>
      <c r="BB28">
        <f t="shared" si="122"/>
        <v>0.14690512354542748</v>
      </c>
      <c r="BC28">
        <f t="shared" si="123"/>
        <v>-1.9789543725041714E-2</v>
      </c>
      <c r="BD28">
        <f t="shared" si="84"/>
        <v>8.6624903920211813E-2</v>
      </c>
      <c r="BE28">
        <f t="shared" si="19"/>
        <v>1.9900315765454064</v>
      </c>
      <c r="BF28">
        <f t="shared" si="20"/>
        <v>5.0476565635669361</v>
      </c>
      <c r="BG28">
        <f t="shared" si="21"/>
        <v>6.22762822777739</v>
      </c>
      <c r="BH28">
        <f t="shared" si="22"/>
        <v>2.1000686166602698</v>
      </c>
      <c r="BI28">
        <f t="shared" si="23"/>
        <v>0.80771869871548851</v>
      </c>
      <c r="BJ28">
        <f t="shared" si="24"/>
        <v>0.30669898414993912</v>
      </c>
      <c r="BK28">
        <f t="shared" si="25"/>
        <v>5.6189126867164409E-2</v>
      </c>
      <c r="BL28">
        <f t="shared" si="26"/>
        <v>9.3648544778607359E-3</v>
      </c>
      <c r="BM28" s="24">
        <f t="shared" si="85"/>
        <v>486.2028420357135</v>
      </c>
      <c r="BN28" s="24">
        <f t="shared" si="27"/>
        <v>226.57286335854667</v>
      </c>
      <c r="BO28" s="24">
        <f t="shared" si="28"/>
        <v>260.19490677091164</v>
      </c>
      <c r="BP28" s="24">
        <f t="shared" si="29"/>
        <v>204.28978790757702</v>
      </c>
      <c r="BQ28" s="24">
        <f t="shared" si="30"/>
        <v>55.632312404724374</v>
      </c>
      <c r="BR28" s="24">
        <f t="shared" si="31"/>
        <v>21.69519769194142</v>
      </c>
      <c r="BS28" s="24">
        <f t="shared" si="32"/>
        <v>6.7149201789019637</v>
      </c>
      <c r="BT28" s="24">
        <f t="shared" si="33"/>
        <v>1.583159530715105</v>
      </c>
      <c r="BU28" s="23">
        <f t="shared" si="34"/>
        <v>0.13273668490739082</v>
      </c>
      <c r="BV28">
        <f t="shared" si="86"/>
        <v>56.850719420408709</v>
      </c>
      <c r="BW28">
        <v>0.83957056985778755</v>
      </c>
      <c r="BX28" s="2">
        <v>58.679000000000002</v>
      </c>
      <c r="CJ28">
        <v>1977</v>
      </c>
      <c r="CK28">
        <f t="shared" si="88"/>
        <v>6217</v>
      </c>
      <c r="CL28">
        <f t="shared" si="89"/>
        <v>550.24302116967885</v>
      </c>
      <c r="CM28" s="9">
        <f t="shared" si="120"/>
        <v>0.34679105677979732</v>
      </c>
      <c r="CN28" s="9">
        <f t="shared" si="90"/>
        <v>0.42785909602702266</v>
      </c>
      <c r="CO28" s="9">
        <f t="shared" si="36"/>
        <v>0.14428180794595463</v>
      </c>
      <c r="CP28" s="9">
        <f t="shared" si="37"/>
        <v>5.54930030561364E-2</v>
      </c>
      <c r="CQ28" s="27">
        <f t="shared" si="38"/>
        <v>2.1071256232909764E-2</v>
      </c>
      <c r="CR28" s="27">
        <f t="shared" si="39"/>
        <v>3.8603828212964452E-3</v>
      </c>
      <c r="CS28" s="27">
        <f t="shared" si="40"/>
        <v>6.4339713688274091E-4</v>
      </c>
      <c r="CT28" s="29">
        <f t="shared" si="91"/>
        <v>0.47287270671384879</v>
      </c>
      <c r="CU28" s="9">
        <f t="shared" si="41"/>
        <v>0.37127192903475287</v>
      </c>
      <c r="CV28" s="9">
        <f t="shared" si="42"/>
        <v>0.10110498500546906</v>
      </c>
      <c r="CW28" s="9">
        <f t="shared" si="43"/>
        <v>3.9428392287144079E-2</v>
      </c>
      <c r="CX28" s="9">
        <f t="shared" si="44"/>
        <v>1.2203553558258176E-2</v>
      </c>
      <c r="CY28" s="9">
        <f t="shared" si="45"/>
        <v>2.8772005637612711E-3</v>
      </c>
      <c r="CZ28" s="9">
        <f t="shared" si="46"/>
        <v>2.4123283676588187E-4</v>
      </c>
      <c r="DA28">
        <f t="shared" si="121"/>
        <v>-1.3144891640548231</v>
      </c>
      <c r="DB28">
        <f t="shared" si="47"/>
        <v>-1.3059411983980576</v>
      </c>
      <c r="DC28">
        <f t="shared" si="124"/>
        <v>100</v>
      </c>
      <c r="DD28">
        <f t="shared" si="92"/>
        <v>31.173413497829856</v>
      </c>
      <c r="DE28">
        <f t="shared" si="93"/>
        <v>128.89429121162974</v>
      </c>
      <c r="DF28">
        <f t="shared" si="49"/>
        <v>159.42755456425914</v>
      </c>
      <c r="DG28">
        <f t="shared" si="50"/>
        <v>116.08639244416213</v>
      </c>
      <c r="DH28">
        <f t="shared" si="51"/>
        <v>25.888535814241983</v>
      </c>
      <c r="DI28">
        <f t="shared" si="52"/>
        <v>10.255283618678963</v>
      </c>
      <c r="DJ28">
        <f t="shared" si="53"/>
        <v>2.3710687481849133</v>
      </c>
      <c r="DK28">
        <f t="shared" si="54"/>
        <v>0.78733942127076006</v>
      </c>
      <c r="DL28">
        <f t="shared" si="55"/>
        <v>1.0000000000000286E-4</v>
      </c>
      <c r="DM28">
        <f t="shared" si="56"/>
        <v>1977</v>
      </c>
      <c r="DN28" s="9">
        <f t="shared" si="94"/>
        <v>2.3456621920597454E-3</v>
      </c>
      <c r="DO28" s="9">
        <f t="shared" si="57"/>
        <v>0.11663965476979311</v>
      </c>
      <c r="DP28" s="9">
        <f t="shared" si="58"/>
        <v>0.26041243457462926</v>
      </c>
      <c r="DQ28" s="9">
        <f t="shared" si="59"/>
        <v>0.41388909102155075</v>
      </c>
      <c r="DR28" s="9">
        <f t="shared" si="60"/>
        <v>0.51639359790828987</v>
      </c>
      <c r="DS28" s="9">
        <f t="shared" si="61"/>
        <v>0.50902243291280491</v>
      </c>
      <c r="DT28" s="9">
        <f t="shared" si="62"/>
        <v>0.62999580131118349</v>
      </c>
      <c r="DU28" s="9">
        <f t="shared" si="63"/>
        <v>0.48437807354571016</v>
      </c>
      <c r="DV28" s="9">
        <f t="shared" si="64"/>
        <v>0.99918944219558192</v>
      </c>
      <c r="DW28">
        <f t="shared" si="95"/>
        <v>0.35766220475267002</v>
      </c>
      <c r="DX28">
        <f t="shared" si="96"/>
        <v>1977</v>
      </c>
      <c r="DY28" s="9">
        <f t="shared" si="97"/>
        <v>6.5583172079415374E-3</v>
      </c>
      <c r="DZ28" s="9">
        <f t="shared" si="98"/>
        <v>0.32611680300537088</v>
      </c>
      <c r="EA28" s="9">
        <f t="shared" si="99"/>
        <v>0.7280960389837926</v>
      </c>
      <c r="EB28" s="9">
        <f t="shared" si="100"/>
        <v>1.157206675801159</v>
      </c>
      <c r="EC28" s="9">
        <f t="shared" si="101"/>
        <v>1.4438025350354968</v>
      </c>
      <c r="ED28" s="9">
        <f t="shared" si="102"/>
        <v>1.4231932425311846</v>
      </c>
      <c r="EE28" s="9">
        <f t="shared" si="103"/>
        <v>1.76142682380107</v>
      </c>
      <c r="EF28" s="9">
        <f t="shared" si="104"/>
        <v>1.3542892346723259</v>
      </c>
      <c r="EG28" s="9">
        <f t="shared" si="105"/>
        <v>2.7936679607691279</v>
      </c>
      <c r="EI28">
        <f t="shared" si="106"/>
        <v>6217</v>
      </c>
      <c r="EJ28" s="8">
        <f t="shared" si="107"/>
        <v>14398.234395605325</v>
      </c>
      <c r="EK28" s="8">
        <f t="shared" si="66"/>
        <v>18321.838539285891</v>
      </c>
      <c r="EL28" s="8">
        <f t="shared" si="67"/>
        <v>5206.0716676332377</v>
      </c>
      <c r="EM28" s="8">
        <f t="shared" si="68"/>
        <v>1674.8637761633656</v>
      </c>
      <c r="EN28" s="8">
        <f t="shared" si="69"/>
        <v>511.00802266523596</v>
      </c>
      <c r="EO28" s="8">
        <f t="shared" si="70"/>
        <v>54.784729398112319</v>
      </c>
      <c r="EP28" s="8">
        <f t="shared" si="71"/>
        <v>3.1780538303479458</v>
      </c>
      <c r="EQ28">
        <f t="shared" si="108"/>
        <v>40169.979184581513</v>
      </c>
      <c r="ES28" s="8">
        <f t="shared" si="109"/>
        <v>14887.993149584639</v>
      </c>
      <c r="ET28" s="8">
        <f t="shared" si="72"/>
        <v>18749.411527831515</v>
      </c>
      <c r="EU28" s="8">
        <f t="shared" si="73"/>
        <v>5324.0001051930176</v>
      </c>
      <c r="EV28" s="8">
        <f t="shared" si="74"/>
        <v>1717.4785082276821</v>
      </c>
      <c r="EW28" s="8">
        <f t="shared" si="75"/>
        <v>521.37085268897704</v>
      </c>
      <c r="EX28" s="8">
        <f t="shared" si="76"/>
        <v>53.929673175432143</v>
      </c>
      <c r="EY28" s="8">
        <f t="shared" si="77"/>
        <v>-0.8118017264791213</v>
      </c>
      <c r="EZ28">
        <f t="shared" si="110"/>
        <v>41253.372014974775</v>
      </c>
      <c r="FB28">
        <f t="shared" si="111"/>
        <v>48094.047276606922</v>
      </c>
      <c r="FC28">
        <f t="shared" si="112"/>
        <v>1254.88644709035</v>
      </c>
      <c r="FD28">
        <f t="shared" si="113"/>
        <v>50473.339032080621</v>
      </c>
      <c r="FE28">
        <f t="shared" si="114"/>
        <v>-41.012477990087064</v>
      </c>
      <c r="FG28">
        <f t="shared" si="115"/>
        <v>262.21018009029558</v>
      </c>
      <c r="FJ28">
        <v>56.48180481081851</v>
      </c>
    </row>
    <row r="29" spans="1:166" x14ac:dyDescent="0.3">
      <c r="D29">
        <v>1978</v>
      </c>
      <c r="E29">
        <f t="shared" si="78"/>
        <v>70.632586462147458</v>
      </c>
      <c r="F29">
        <f t="shared" si="79"/>
        <v>3.0692601360077516E-2</v>
      </c>
      <c r="G29">
        <f t="shared" si="80"/>
        <v>0.28034356715426334</v>
      </c>
      <c r="H29">
        <f t="shared" si="81"/>
        <v>0.33276275749063672</v>
      </c>
      <c r="I29" s="2">
        <v>2.2805864621474514</v>
      </c>
      <c r="J29">
        <f t="shared" si="82"/>
        <v>2.2805864621474514</v>
      </c>
      <c r="K29" s="2">
        <v>22.745000000000001</v>
      </c>
      <c r="L29">
        <f t="shared" si="116"/>
        <v>45.606999999999999</v>
      </c>
      <c r="M29" s="25">
        <f t="shared" si="117"/>
        <v>1.6014041945595205</v>
      </c>
      <c r="N29" s="25">
        <f t="shared" si="0"/>
        <v>76.364102877709712</v>
      </c>
      <c r="O29" s="25">
        <f t="shared" si="1"/>
        <v>35.96296276925095</v>
      </c>
      <c r="P29" s="25">
        <f t="shared" si="2"/>
        <v>31.662048646719661</v>
      </c>
      <c r="Q29" s="25">
        <f t="shared" si="3"/>
        <v>38.868367522237506</v>
      </c>
      <c r="R29" s="25">
        <f t="shared" si="4"/>
        <v>9.722811181254233</v>
      </c>
      <c r="S29" s="25">
        <f t="shared" si="5"/>
        <v>3.1112995780013541</v>
      </c>
      <c r="T29" s="25">
        <f t="shared" si="6"/>
        <v>0.50329846114727783</v>
      </c>
      <c r="U29" s="25">
        <f t="shared" si="7"/>
        <v>0.25164923057363892</v>
      </c>
      <c r="V29">
        <f t="shared" si="8"/>
        <v>198.04794446145382</v>
      </c>
      <c r="W29">
        <f t="shared" si="118"/>
        <v>3.2110459925819321</v>
      </c>
      <c r="X29">
        <f t="shared" si="9"/>
        <v>153.12102176054984</v>
      </c>
      <c r="Y29">
        <f t="shared" si="10"/>
        <v>72.110918576268531</v>
      </c>
      <c r="Z29">
        <f t="shared" si="11"/>
        <v>63.486966481905633</v>
      </c>
      <c r="AA29">
        <f t="shared" si="12"/>
        <v>77.936673448524331</v>
      </c>
      <c r="AB29">
        <f t="shared" si="13"/>
        <v>19.49563638353316</v>
      </c>
      <c r="AC29">
        <f t="shared" si="14"/>
        <v>6.2386036427306113</v>
      </c>
      <c r="AD29">
        <f t="shared" si="15"/>
        <v>1.0091858833828928</v>
      </c>
      <c r="AE29">
        <f t="shared" si="16"/>
        <v>0.50459294169144642</v>
      </c>
      <c r="AF29">
        <f t="shared" si="17"/>
        <v>397.11464511116839</v>
      </c>
      <c r="AG29" s="2">
        <v>6.0299999999999999E-2</v>
      </c>
      <c r="AH29" s="2">
        <v>7.9799999999999996E-2</v>
      </c>
      <c r="AI29" s="2">
        <v>0.1082</v>
      </c>
      <c r="AJ29" s="2">
        <v>0.13400000000000001</v>
      </c>
      <c r="AK29" s="2">
        <v>0.154</v>
      </c>
      <c r="AL29" s="2">
        <v>0.17369999999999999</v>
      </c>
      <c r="AM29" s="2">
        <v>0.18840000000000001</v>
      </c>
      <c r="AN29" s="2">
        <v>0.20380000000000001</v>
      </c>
      <c r="AO29" s="2">
        <v>0.22789999999999999</v>
      </c>
      <c r="AP29">
        <f t="shared" si="119"/>
        <v>0.11484592815062955</v>
      </c>
      <c r="AQ29" s="2">
        <v>70</v>
      </c>
      <c r="AR29" s="2">
        <v>3338</v>
      </c>
      <c r="AS29" s="2">
        <v>1572</v>
      </c>
      <c r="AT29" s="2">
        <v>1384</v>
      </c>
      <c r="AU29" s="2">
        <v>1699</v>
      </c>
      <c r="AV29" s="2">
        <v>425</v>
      </c>
      <c r="AW29" s="2">
        <v>136</v>
      </c>
      <c r="AX29" s="2">
        <v>22</v>
      </c>
      <c r="AY29" s="2">
        <v>11</v>
      </c>
      <c r="AZ29">
        <f t="shared" si="83"/>
        <v>8657</v>
      </c>
      <c r="BA29">
        <f t="shared" si="18"/>
        <v>1978</v>
      </c>
      <c r="BB29">
        <f t="shared" si="122"/>
        <v>0.39163006506643805</v>
      </c>
      <c r="BC29">
        <f t="shared" si="123"/>
        <v>0.1378674248430439</v>
      </c>
      <c r="BD29">
        <f t="shared" si="84"/>
        <v>0.16056894818811104</v>
      </c>
      <c r="BE29">
        <f t="shared" si="19"/>
        <v>7.6568449864559245</v>
      </c>
      <c r="BF29">
        <f t="shared" si="20"/>
        <v>3.6059198078815795</v>
      </c>
      <c r="BG29">
        <f t="shared" si="21"/>
        <v>3.1746774898906529</v>
      </c>
      <c r="BH29">
        <f t="shared" si="22"/>
        <v>3.8972377567371521</v>
      </c>
      <c r="BI29">
        <f t="shared" si="23"/>
        <v>0.97488289971353137</v>
      </c>
      <c r="BJ29">
        <f t="shared" si="24"/>
        <v>0.31196252790833001</v>
      </c>
      <c r="BK29">
        <f t="shared" si="25"/>
        <v>5.0464526573406325E-2</v>
      </c>
      <c r="BL29">
        <f t="shared" si="26"/>
        <v>2.5232263286703163E-2</v>
      </c>
      <c r="BM29" s="24">
        <f t="shared" si="85"/>
        <v>131.49196319345972</v>
      </c>
      <c r="BN29" s="24">
        <f t="shared" si="27"/>
        <v>378.88269573575127</v>
      </c>
      <c r="BO29" s="24">
        <f t="shared" si="28"/>
        <v>154.98829104107739</v>
      </c>
      <c r="BP29" s="24">
        <f t="shared" si="29"/>
        <v>147.42288919668604</v>
      </c>
      <c r="BQ29" s="24">
        <f t="shared" si="30"/>
        <v>83.504556631700069</v>
      </c>
      <c r="BR29" s="24">
        <f t="shared" si="31"/>
        <v>16.679717720005083</v>
      </c>
      <c r="BS29" s="24">
        <f t="shared" si="32"/>
        <v>5.7039931394358652</v>
      </c>
      <c r="BT29" s="24">
        <f t="shared" si="33"/>
        <v>1.0838319492457384</v>
      </c>
      <c r="BU29" s="23">
        <f t="shared" si="34"/>
        <v>0.27698149386034204</v>
      </c>
      <c r="BV29">
        <f t="shared" si="86"/>
        <v>49.27852466197043</v>
      </c>
      <c r="BW29">
        <v>0.84738440714997754</v>
      </c>
      <c r="BX29" s="2">
        <v>45.606999999999999</v>
      </c>
      <c r="CJ29">
        <v>1978</v>
      </c>
      <c r="CK29">
        <f t="shared" si="88"/>
        <v>5249</v>
      </c>
      <c r="CL29">
        <f t="shared" si="89"/>
        <v>409.66026117201056</v>
      </c>
      <c r="CM29" s="9">
        <f t="shared" si="120"/>
        <v>0.29948561630786819</v>
      </c>
      <c r="CN29" s="9">
        <f t="shared" si="90"/>
        <v>0.26366927033720711</v>
      </c>
      <c r="CO29" s="9">
        <f t="shared" si="36"/>
        <v>0.32368070108592112</v>
      </c>
      <c r="CP29" s="9">
        <f t="shared" si="37"/>
        <v>8.0967803391122112E-2</v>
      </c>
      <c r="CQ29" s="27">
        <f t="shared" si="38"/>
        <v>2.5909697085159077E-2</v>
      </c>
      <c r="CR29" s="27">
        <f t="shared" si="39"/>
        <v>4.1912745284816153E-3</v>
      </c>
      <c r="CS29" s="27">
        <f t="shared" si="40"/>
        <v>2.0956372642408076E-3</v>
      </c>
      <c r="CT29" s="29">
        <f t="shared" si="91"/>
        <v>0.37833372121002479</v>
      </c>
      <c r="CU29" s="9">
        <f t="shared" si="41"/>
        <v>0.35986621883928654</v>
      </c>
      <c r="CV29" s="9">
        <f t="shared" si="42"/>
        <v>0.20383855732747699</v>
      </c>
      <c r="CW29" s="9">
        <f t="shared" si="43"/>
        <v>4.0715976873825957E-2</v>
      </c>
      <c r="CX29" s="9">
        <f t="shared" si="44"/>
        <v>1.3923716015600641E-2</v>
      </c>
      <c r="CY29" s="9">
        <f t="shared" si="45"/>
        <v>2.645684856385552E-3</v>
      </c>
      <c r="CZ29" s="9">
        <f t="shared" si="46"/>
        <v>6.7612487739942499E-4</v>
      </c>
      <c r="DA29">
        <f t="shared" si="121"/>
        <v>-1.48545043071512</v>
      </c>
      <c r="DB29">
        <f t="shared" si="47"/>
        <v>-1.4753478607886961</v>
      </c>
      <c r="DC29">
        <f t="shared" si="124"/>
        <v>100</v>
      </c>
      <c r="DD29">
        <f t="shared" si="92"/>
        <v>8.3388188639100989</v>
      </c>
      <c r="DE29">
        <f t="shared" si="93"/>
        <v>191.5744843075675</v>
      </c>
      <c r="DF29">
        <f t="shared" si="49"/>
        <v>97.512824410230834</v>
      </c>
      <c r="DG29">
        <f t="shared" si="50"/>
        <v>112.58616306007573</v>
      </c>
      <c r="DH29">
        <f t="shared" si="51"/>
        <v>40.738951352725408</v>
      </c>
      <c r="DI29">
        <f t="shared" si="52"/>
        <v>5.9820236390373189</v>
      </c>
      <c r="DJ29">
        <f t="shared" si="53"/>
        <v>2.2807310335261812</v>
      </c>
      <c r="DK29">
        <f t="shared" si="54"/>
        <v>0.53006896152505434</v>
      </c>
      <c r="DL29">
        <f t="shared" si="55"/>
        <v>9.9999999999988987E-5</v>
      </c>
      <c r="DM29">
        <f t="shared" si="56"/>
        <v>1978</v>
      </c>
      <c r="DN29" s="9">
        <f t="shared" si="94"/>
        <v>1.2193612987681936E-2</v>
      </c>
      <c r="DO29" s="9">
        <f t="shared" si="57"/>
        <v>0.20570793419578329</v>
      </c>
      <c r="DP29" s="9">
        <f t="shared" si="58"/>
        <v>0.23756374323039292</v>
      </c>
      <c r="DQ29" s="9">
        <f t="shared" si="59"/>
        <v>0.21949699252478216</v>
      </c>
      <c r="DR29" s="9">
        <f t="shared" si="60"/>
        <v>0.48825118182019184</v>
      </c>
      <c r="DS29" s="9">
        <f t="shared" si="61"/>
        <v>0.61909668535270423</v>
      </c>
      <c r="DT29" s="9">
        <f t="shared" si="62"/>
        <v>0.57701815923480793</v>
      </c>
      <c r="DU29" s="9">
        <f t="shared" si="63"/>
        <v>0.48704695939197173</v>
      </c>
      <c r="DV29" s="9">
        <f t="shared" si="64"/>
        <v>0.99960277932221631</v>
      </c>
      <c r="DW29">
        <f t="shared" si="95"/>
        <v>0.30200309957179888</v>
      </c>
      <c r="DX29">
        <f t="shared" si="96"/>
        <v>1978</v>
      </c>
      <c r="DY29" s="9">
        <f t="shared" si="97"/>
        <v>4.037578754976652E-2</v>
      </c>
      <c r="DZ29" s="9">
        <f t="shared" si="98"/>
        <v>0.6811451090649413</v>
      </c>
      <c r="EA29" s="9">
        <f t="shared" si="99"/>
        <v>0.78662683782791443</v>
      </c>
      <c r="EB29" s="9">
        <f t="shared" si="100"/>
        <v>0.72680377398775164</v>
      </c>
      <c r="EC29" s="9">
        <f t="shared" si="101"/>
        <v>1.6167091745497597</v>
      </c>
      <c r="ED29" s="9">
        <f t="shared" si="102"/>
        <v>2.0499679845355985</v>
      </c>
      <c r="EE29" s="9">
        <f t="shared" si="103"/>
        <v>1.910636546621358</v>
      </c>
      <c r="EF29" s="9">
        <f t="shared" si="104"/>
        <v>1.6127217239907172</v>
      </c>
      <c r="EG29" s="9">
        <f t="shared" si="105"/>
        <v>3.3099090066940473</v>
      </c>
      <c r="EI29">
        <f t="shared" si="106"/>
        <v>5249</v>
      </c>
      <c r="EJ29" s="8">
        <f t="shared" si="107"/>
        <v>10002.68248906967</v>
      </c>
      <c r="EK29" s="8">
        <f t="shared" si="66"/>
        <v>8630.6380257830588</v>
      </c>
      <c r="EL29" s="8">
        <f t="shared" si="67"/>
        <v>10942.451796863112</v>
      </c>
      <c r="EM29" s="8">
        <f t="shared" si="68"/>
        <v>2151.0830759889386</v>
      </c>
      <c r="EN29" s="8">
        <f t="shared" si="69"/>
        <v>535.49694318016952</v>
      </c>
      <c r="EO29" s="8">
        <f t="shared" si="70"/>
        <v>48.471181351835227</v>
      </c>
      <c r="EP29" s="8">
        <f t="shared" si="71"/>
        <v>17.50230784587389</v>
      </c>
      <c r="EQ29">
        <f t="shared" si="108"/>
        <v>32328.325820082657</v>
      </c>
      <c r="ES29" s="8">
        <f t="shared" si="109"/>
        <v>10338.096893759623</v>
      </c>
      <c r="ET29" s="8">
        <f t="shared" si="72"/>
        <v>8943.2542210029806</v>
      </c>
      <c r="EU29" s="8">
        <f t="shared" si="73"/>
        <v>11152.028619438448</v>
      </c>
      <c r="EV29" s="8">
        <f t="shared" si="74"/>
        <v>2190.44505126285</v>
      </c>
      <c r="EW29" s="8">
        <f t="shared" si="75"/>
        <v>545.46845034460512</v>
      </c>
      <c r="EX29" s="8">
        <f t="shared" si="76"/>
        <v>46.873448627453122</v>
      </c>
      <c r="EY29" s="8">
        <f t="shared" si="77"/>
        <v>13.683006893237136</v>
      </c>
      <c r="EZ29">
        <f t="shared" si="110"/>
        <v>33229.849691329204</v>
      </c>
      <c r="FB29">
        <f t="shared" si="111"/>
        <v>39718.048579553193</v>
      </c>
      <c r="FC29">
        <f t="shared" si="112"/>
        <v>1020.3193301701864</v>
      </c>
      <c r="FD29">
        <f t="shared" si="113"/>
        <v>41686.715596890717</v>
      </c>
      <c r="FE29">
        <f t="shared" si="114"/>
        <v>-46.823815920790366</v>
      </c>
      <c r="FG29">
        <f t="shared" si="115"/>
        <v>221.53266169785573</v>
      </c>
      <c r="FJ29">
        <v>50.297360734821147</v>
      </c>
    </row>
    <row r="30" spans="1:166" x14ac:dyDescent="0.3">
      <c r="D30">
        <v>1979</v>
      </c>
      <c r="E30">
        <f t="shared" si="78"/>
        <v>89.286348174171195</v>
      </c>
      <c r="F30">
        <f t="shared" si="79"/>
        <v>3.6264760875466824E-2</v>
      </c>
      <c r="G30">
        <f t="shared" si="80"/>
        <v>0.33815546736443713</v>
      </c>
      <c r="H30">
        <f t="shared" si="81"/>
        <v>0.21478715459297984</v>
      </c>
      <c r="I30" s="2">
        <v>2.2513481741712025</v>
      </c>
      <c r="J30">
        <f t="shared" si="82"/>
        <v>2.2513481741712025</v>
      </c>
      <c r="K30" s="2">
        <v>18.693999999999999</v>
      </c>
      <c r="L30">
        <f t="shared" si="116"/>
        <v>68.340999999999994</v>
      </c>
      <c r="M30" s="25">
        <f t="shared" si="117"/>
        <v>0.98833200074227978</v>
      </c>
      <c r="N30" s="25">
        <f t="shared" si="0"/>
        <v>17.691142813286806</v>
      </c>
      <c r="O30" s="25">
        <f t="shared" si="1"/>
        <v>69.644461652305978</v>
      </c>
      <c r="P30" s="25">
        <f t="shared" si="2"/>
        <v>23.25874641746832</v>
      </c>
      <c r="Q30" s="25">
        <f t="shared" si="3"/>
        <v>18.350030813781661</v>
      </c>
      <c r="R30" s="25">
        <f t="shared" si="4"/>
        <v>13.63898161024346</v>
      </c>
      <c r="S30" s="25">
        <f t="shared" si="5"/>
        <v>2.3390524017567285</v>
      </c>
      <c r="T30" s="25">
        <f t="shared" si="6"/>
        <v>0.72477680054433846</v>
      </c>
      <c r="U30" s="25">
        <f t="shared" si="7"/>
        <v>0.1647220001237133</v>
      </c>
      <c r="V30">
        <f t="shared" si="8"/>
        <v>146.80024651025326</v>
      </c>
      <c r="W30">
        <f t="shared" si="118"/>
        <v>3.6131163615453161</v>
      </c>
      <c r="X30">
        <f t="shared" si="9"/>
        <v>64.674782871661165</v>
      </c>
      <c r="Y30">
        <f t="shared" si="10"/>
        <v>254.6042662768933</v>
      </c>
      <c r="Z30">
        <f t="shared" si="11"/>
        <v>85.028671708366446</v>
      </c>
      <c r="AA30">
        <f t="shared" si="12"/>
        <v>67.083527112691371</v>
      </c>
      <c r="AB30">
        <f t="shared" si="13"/>
        <v>49.861005789325361</v>
      </c>
      <c r="AC30">
        <f t="shared" si="14"/>
        <v>8.5510420556572484</v>
      </c>
      <c r="AD30">
        <f t="shared" si="15"/>
        <v>2.6496186651332319</v>
      </c>
      <c r="AE30">
        <f t="shared" si="16"/>
        <v>0.60218606025755272</v>
      </c>
      <c r="AF30">
        <f t="shared" si="17"/>
        <v>536.66821690153097</v>
      </c>
      <c r="AG30" s="2">
        <v>6.2100000000000002E-2</v>
      </c>
      <c r="AH30" s="2">
        <v>8.3199999999999996E-2</v>
      </c>
      <c r="AI30" s="2">
        <v>0.1103</v>
      </c>
      <c r="AJ30" s="2">
        <v>0.14069999999999999</v>
      </c>
      <c r="AK30" s="2">
        <v>0.16639999999999999</v>
      </c>
      <c r="AL30" s="2">
        <v>0.18379999999999999</v>
      </c>
      <c r="AM30" s="2">
        <v>0.20030000000000001</v>
      </c>
      <c r="AN30" s="2">
        <v>0.2014</v>
      </c>
      <c r="AO30" s="2">
        <v>0.19220000000000001</v>
      </c>
      <c r="AP30">
        <f t="shared" si="119"/>
        <v>0.1273431104129264</v>
      </c>
      <c r="AQ30" s="2">
        <v>30</v>
      </c>
      <c r="AR30" s="2">
        <v>537</v>
      </c>
      <c r="AS30" s="2">
        <v>2114</v>
      </c>
      <c r="AT30" s="2">
        <v>706</v>
      </c>
      <c r="AU30" s="2">
        <v>557</v>
      </c>
      <c r="AV30" s="2">
        <v>414</v>
      </c>
      <c r="AW30" s="2">
        <v>71</v>
      </c>
      <c r="AX30" s="2">
        <v>22</v>
      </c>
      <c r="AY30" s="2">
        <v>5</v>
      </c>
      <c r="AZ30">
        <f t="shared" si="83"/>
        <v>4456</v>
      </c>
      <c r="BA30">
        <f t="shared" si="18"/>
        <v>1979</v>
      </c>
      <c r="BB30">
        <f t="shared" si="122"/>
        <v>-0.1249329140827339</v>
      </c>
      <c r="BC30">
        <f t="shared" si="123"/>
        <v>0.28173347624758582</v>
      </c>
      <c r="BD30">
        <f t="shared" si="84"/>
        <v>0.11902639592094273</v>
      </c>
      <c r="BE30">
        <f t="shared" si="19"/>
        <v>2.130572486984875</v>
      </c>
      <c r="BF30">
        <f t="shared" si="20"/>
        <v>8.3873933658957647</v>
      </c>
      <c r="BG30">
        <f t="shared" si="21"/>
        <v>2.8010878506728525</v>
      </c>
      <c r="BH30">
        <f t="shared" si="22"/>
        <v>2.2099234175988367</v>
      </c>
      <c r="BI30">
        <f t="shared" si="23"/>
        <v>1.6425642637090097</v>
      </c>
      <c r="BJ30">
        <f t="shared" si="24"/>
        <v>0.28169580367956448</v>
      </c>
      <c r="BK30">
        <f t="shared" si="25"/>
        <v>8.728602367535801E-2</v>
      </c>
      <c r="BL30">
        <f t="shared" si="26"/>
        <v>1.9837732653490456E-2</v>
      </c>
      <c r="BM30" s="24">
        <f t="shared" si="85"/>
        <v>354.77637937352222</v>
      </c>
      <c r="BN30" s="24">
        <f t="shared" si="27"/>
        <v>101.11762442042603</v>
      </c>
      <c r="BO30" s="24">
        <f t="shared" si="28"/>
        <v>229.82914233421292</v>
      </c>
      <c r="BP30" s="24">
        <f t="shared" si="29"/>
        <v>89.963278929476076</v>
      </c>
      <c r="BQ30" s="24">
        <f t="shared" si="30"/>
        <v>80.738804517393078</v>
      </c>
      <c r="BR30" s="24">
        <f t="shared" si="31"/>
        <v>26.140555368231702</v>
      </c>
      <c r="BS30" s="24">
        <f t="shared" si="32"/>
        <v>3.3090653176478404</v>
      </c>
      <c r="BT30" s="24">
        <f t="shared" si="33"/>
        <v>1.0349684808546935</v>
      </c>
      <c r="BU30" s="23">
        <f t="shared" si="34"/>
        <v>0.18465973277720374</v>
      </c>
      <c r="BV30">
        <f t="shared" si="86"/>
        <v>41.135529234681186</v>
      </c>
      <c r="BW30">
        <v>1.0243862919738858</v>
      </c>
      <c r="BX30" s="2">
        <v>68.340999999999994</v>
      </c>
      <c r="CJ30">
        <v>1979</v>
      </c>
      <c r="CK30">
        <f t="shared" si="88"/>
        <v>3889</v>
      </c>
      <c r="CL30">
        <f t="shared" si="89"/>
        <v>431.20047468059352</v>
      </c>
      <c r="CM30" s="9">
        <f t="shared" si="120"/>
        <v>0.54358446901517099</v>
      </c>
      <c r="CN30" s="9">
        <f t="shared" si="90"/>
        <v>0.18153767035227564</v>
      </c>
      <c r="CO30" s="9">
        <f t="shared" si="36"/>
        <v>0.1432244793005914</v>
      </c>
      <c r="CP30" s="9">
        <f t="shared" si="37"/>
        <v>0.1064541013113911</v>
      </c>
      <c r="CQ30" s="27">
        <f t="shared" si="38"/>
        <v>1.8256621239393159E-2</v>
      </c>
      <c r="CR30" s="27">
        <f t="shared" si="39"/>
        <v>5.6569812291077399E-3</v>
      </c>
      <c r="CS30" s="27">
        <f t="shared" si="40"/>
        <v>1.2856775520699408E-3</v>
      </c>
      <c r="CT30" s="29">
        <f t="shared" si="91"/>
        <v>0.53299835187903266</v>
      </c>
      <c r="CU30" s="9">
        <f t="shared" si="41"/>
        <v>0.20863446172250918</v>
      </c>
      <c r="CV30" s="9">
        <f t="shared" si="42"/>
        <v>0.18724191938146487</v>
      </c>
      <c r="CW30" s="9">
        <f t="shared" si="43"/>
        <v>6.0622742559815125E-2</v>
      </c>
      <c r="CX30" s="9">
        <f t="shared" si="44"/>
        <v>7.6740762405212801E-3</v>
      </c>
      <c r="CY30" s="9">
        <f t="shared" si="45"/>
        <v>2.400202554557329E-3</v>
      </c>
      <c r="CZ30" s="9">
        <f t="shared" si="46"/>
        <v>4.2824566209948673E-4</v>
      </c>
      <c r="DA30">
        <f t="shared" si="121"/>
        <v>-1.2978871315859291</v>
      </c>
      <c r="DB30">
        <f t="shared" si="47"/>
        <v>-1.2877526616684836</v>
      </c>
      <c r="DC30">
        <f t="shared" si="124"/>
        <v>100</v>
      </c>
      <c r="DD30">
        <f t="shared" si="92"/>
        <v>22.733231556940677</v>
      </c>
      <c r="DE30">
        <f t="shared" si="93"/>
        <v>52.818725990836654</v>
      </c>
      <c r="DF30">
        <f t="shared" si="49"/>
        <v>128.24690769940582</v>
      </c>
      <c r="DG30">
        <f t="shared" si="50"/>
        <v>63.903444661334902</v>
      </c>
      <c r="DH30">
        <f t="shared" si="51"/>
        <v>60.17885028601259</v>
      </c>
      <c r="DI30">
        <f t="shared" si="52"/>
        <v>10.859009494279233</v>
      </c>
      <c r="DJ30">
        <f t="shared" si="53"/>
        <v>0.68831711221154768</v>
      </c>
      <c r="DK30">
        <f t="shared" si="54"/>
        <v>0.22290565663499706</v>
      </c>
      <c r="DL30">
        <f t="shared" si="55"/>
        <v>9.9999999999988987E-5</v>
      </c>
      <c r="DM30">
        <f t="shared" si="56"/>
        <v>1979</v>
      </c>
      <c r="DN30" s="9">
        <f t="shared" si="94"/>
        <v>2.7867235585122604E-3</v>
      </c>
      <c r="DO30" s="9">
        <f t="shared" si="57"/>
        <v>0.17872178701899641</v>
      </c>
      <c r="DP30" s="9">
        <f t="shared" si="58"/>
        <v>0.31450465856946597</v>
      </c>
      <c r="DQ30" s="9">
        <f t="shared" si="59"/>
        <v>0.2668444440140349</v>
      </c>
      <c r="DR30" s="9">
        <f t="shared" si="60"/>
        <v>0.23367238341856039</v>
      </c>
      <c r="DS30" s="9">
        <f t="shared" si="61"/>
        <v>0.55673877715326225</v>
      </c>
      <c r="DT30" s="9">
        <f t="shared" si="62"/>
        <v>0.77263525016168189</v>
      </c>
      <c r="DU30" s="9">
        <f t="shared" si="63"/>
        <v>0.76478866423416836</v>
      </c>
      <c r="DV30" s="9">
        <f t="shared" si="64"/>
        <v>0.99939328487747425</v>
      </c>
      <c r="DW30">
        <f t="shared" si="95"/>
        <v>0.30815248871969764</v>
      </c>
      <c r="DX30">
        <f t="shared" si="96"/>
        <v>1979</v>
      </c>
      <c r="DY30" s="9">
        <f t="shared" si="97"/>
        <v>9.0433264715480723E-3</v>
      </c>
      <c r="DZ30" s="9">
        <f t="shared" si="98"/>
        <v>0.57997839888148928</v>
      </c>
      <c r="EA30" s="9">
        <f t="shared" si="99"/>
        <v>1.0206137223689484</v>
      </c>
      <c r="EB30" s="9">
        <f t="shared" si="100"/>
        <v>0.86594933931155926</v>
      </c>
      <c r="EC30" s="9">
        <f t="shared" si="101"/>
        <v>0.75830113976822033</v>
      </c>
      <c r="ED30" s="9">
        <f t="shared" si="102"/>
        <v>1.8066989478695537</v>
      </c>
      <c r="EE30" s="9">
        <f t="shared" si="103"/>
        <v>2.5073146524689864</v>
      </c>
      <c r="EF30" s="9">
        <f t="shared" si="104"/>
        <v>2.4818513308514509</v>
      </c>
      <c r="EG30" s="9">
        <f t="shared" si="105"/>
        <v>3.2431777170767706</v>
      </c>
      <c r="EI30">
        <f t="shared" si="106"/>
        <v>3889</v>
      </c>
      <c r="EJ30" s="8">
        <f t="shared" si="107"/>
        <v>14076.243916369567</v>
      </c>
      <c r="EK30" s="8">
        <f t="shared" si="66"/>
        <v>3929.2872218580551</v>
      </c>
      <c r="EL30" s="8">
        <f t="shared" si="67"/>
        <v>2968.7492094036606</v>
      </c>
      <c r="EM30" s="8">
        <f t="shared" si="68"/>
        <v>2084.640585972003</v>
      </c>
      <c r="EN30" s="8">
        <f t="shared" si="69"/>
        <v>234.70172344281826</v>
      </c>
      <c r="EO30" s="8">
        <f t="shared" si="70"/>
        <v>48.471181351835227</v>
      </c>
      <c r="EP30" s="8">
        <f t="shared" si="71"/>
        <v>4.7874917427820458</v>
      </c>
      <c r="EQ30">
        <f t="shared" si="108"/>
        <v>23346.881330140724</v>
      </c>
      <c r="ES30" s="8">
        <f t="shared" si="109"/>
        <v>14448.834927350956</v>
      </c>
      <c r="ET30" s="8">
        <f t="shared" si="72"/>
        <v>4066.3719557280569</v>
      </c>
      <c r="EU30" s="8">
        <f t="shared" si="73"/>
        <v>3087.3613738289396</v>
      </c>
      <c r="EV30" s="8">
        <f t="shared" si="74"/>
        <v>2127.4713335564666</v>
      </c>
      <c r="EW30" s="8">
        <f t="shared" si="75"/>
        <v>236.13202321835911</v>
      </c>
      <c r="EX30" s="8">
        <f t="shared" si="76"/>
        <v>45.867515921743745</v>
      </c>
      <c r="EY30" s="8">
        <f t="shared" si="77"/>
        <v>0.71006811343353737</v>
      </c>
      <c r="EZ30">
        <f t="shared" si="110"/>
        <v>24012.749197717956</v>
      </c>
      <c r="FB30">
        <f t="shared" si="111"/>
        <v>28262.165536159941</v>
      </c>
      <c r="FC30">
        <f t="shared" si="112"/>
        <v>704.48288527235229</v>
      </c>
      <c r="FD30">
        <f t="shared" si="113"/>
        <v>29667.673426629099</v>
      </c>
      <c r="FE30">
        <f t="shared" si="114"/>
        <v>-35.157137619575224</v>
      </c>
      <c r="FG30">
        <f t="shared" si="115"/>
        <v>164.38242924566748</v>
      </c>
      <c r="FJ30">
        <v>44.994984999602416</v>
      </c>
    </row>
    <row r="31" spans="1:166" x14ac:dyDescent="0.3">
      <c r="D31">
        <v>1980</v>
      </c>
      <c r="E31">
        <f t="shared" si="78"/>
        <v>68.512109886194949</v>
      </c>
      <c r="F31">
        <f t="shared" si="79"/>
        <v>4.4482977739338889E-2</v>
      </c>
      <c r="G31">
        <f t="shared" si="80"/>
        <v>0.37553803068997504</v>
      </c>
      <c r="H31">
        <f t="shared" si="81"/>
        <v>6.0069392065168203E-2</v>
      </c>
      <c r="I31" s="2">
        <v>2.2221098861949531</v>
      </c>
      <c r="J31">
        <f t="shared" si="82"/>
        <v>2.2221098861949531</v>
      </c>
      <c r="K31" s="2">
        <v>3.9819999999999998</v>
      </c>
      <c r="L31">
        <f t="shared" si="116"/>
        <v>62.308</v>
      </c>
      <c r="M31" s="25">
        <f t="shared" si="117"/>
        <v>0.85816083762223316</v>
      </c>
      <c r="N31" s="25">
        <f t="shared" si="0"/>
        <v>13.141835152889318</v>
      </c>
      <c r="O31" s="25">
        <f t="shared" si="1"/>
        <v>4.7099059925313265</v>
      </c>
      <c r="P31" s="25">
        <f t="shared" si="2"/>
        <v>8.7213089776957187</v>
      </c>
      <c r="Q31" s="25">
        <f t="shared" si="3"/>
        <v>3.1931566051059841</v>
      </c>
      <c r="R31" s="25">
        <f t="shared" si="4"/>
        <v>2.4647177545661814</v>
      </c>
      <c r="S31" s="25">
        <f t="shared" si="5"/>
        <v>1.1674978837418755</v>
      </c>
      <c r="T31" s="25">
        <f t="shared" si="6"/>
        <v>0.16963644464625541</v>
      </c>
      <c r="U31" s="25">
        <f t="shared" si="7"/>
        <v>3.99144575638248E-2</v>
      </c>
      <c r="V31">
        <f t="shared" si="8"/>
        <v>34.466134106362716</v>
      </c>
      <c r="W31">
        <f t="shared" si="118"/>
        <v>13.427997355742368</v>
      </c>
      <c r="X31">
        <f t="shared" si="9"/>
        <v>205.63572694782209</v>
      </c>
      <c r="Y31">
        <f t="shared" si="10"/>
        <v>73.697845952446485</v>
      </c>
      <c r="Z31">
        <f t="shared" si="11"/>
        <v>136.46592661533523</v>
      </c>
      <c r="AA31">
        <f t="shared" si="12"/>
        <v>49.96464132369254</v>
      </c>
      <c r="AB31">
        <f t="shared" si="13"/>
        <v>38.566457521725177</v>
      </c>
      <c r="AC31">
        <f t="shared" si="14"/>
        <v>18.268321983975085</v>
      </c>
      <c r="AD31">
        <f t="shared" si="15"/>
        <v>2.6543715703211657</v>
      </c>
      <c r="AE31">
        <f t="shared" si="16"/>
        <v>0.62455801654615672</v>
      </c>
      <c r="AF31">
        <f t="shared" si="17"/>
        <v>539.3058472876063</v>
      </c>
      <c r="AG31" s="2">
        <v>5.91E-2</v>
      </c>
      <c r="AH31" s="2">
        <v>8.1299999999999997E-2</v>
      </c>
      <c r="AI31" s="2">
        <v>0.1072</v>
      </c>
      <c r="AJ31" s="2">
        <v>0.13070000000000001</v>
      </c>
      <c r="AK31" s="2">
        <v>0.15970000000000001</v>
      </c>
      <c r="AL31" s="2">
        <v>0.17849999999999999</v>
      </c>
      <c r="AM31" s="2">
        <v>0.1923</v>
      </c>
      <c r="AN31" s="2">
        <v>0.20830000000000001</v>
      </c>
      <c r="AO31" s="2">
        <v>0.2087</v>
      </c>
      <c r="AP31">
        <f t="shared" si="119"/>
        <v>0.11553370005790385</v>
      </c>
      <c r="AQ31" s="2">
        <v>86</v>
      </c>
      <c r="AR31" s="2">
        <v>1317</v>
      </c>
      <c r="AS31" s="2">
        <v>472</v>
      </c>
      <c r="AT31" s="2">
        <v>874</v>
      </c>
      <c r="AU31" s="2">
        <v>320</v>
      </c>
      <c r="AV31" s="2">
        <v>247</v>
      </c>
      <c r="AW31" s="2">
        <v>117</v>
      </c>
      <c r="AX31" s="2">
        <v>17</v>
      </c>
      <c r="AY31" s="2">
        <v>4</v>
      </c>
      <c r="AZ31">
        <f t="shared" si="83"/>
        <v>3454</v>
      </c>
      <c r="BA31">
        <f t="shared" si="18"/>
        <v>1980</v>
      </c>
      <c r="BB31">
        <f t="shared" si="122"/>
        <v>0.5785032777590533</v>
      </c>
      <c r="BC31">
        <f t="shared" si="123"/>
        <v>0.34312572256592161</v>
      </c>
      <c r="BD31">
        <f t="shared" si="84"/>
        <v>0.47888691140776152</v>
      </c>
      <c r="BE31">
        <f t="shared" si="19"/>
        <v>7.3336518874886263</v>
      </c>
      <c r="BF31">
        <f t="shared" si="20"/>
        <v>2.6283095602844586</v>
      </c>
      <c r="BG31">
        <f t="shared" si="21"/>
        <v>4.866827448492832</v>
      </c>
      <c r="BH31">
        <f t="shared" si="22"/>
        <v>1.7819047866335314</v>
      </c>
      <c r="BI31">
        <f t="shared" si="23"/>
        <v>1.375407757182757</v>
      </c>
      <c r="BJ31">
        <f t="shared" si="24"/>
        <v>0.65150893761288498</v>
      </c>
      <c r="BK31">
        <f t="shared" si="25"/>
        <v>9.4663691789906343E-2</v>
      </c>
      <c r="BL31">
        <f t="shared" si="26"/>
        <v>2.2273809832919142E-2</v>
      </c>
      <c r="BM31" s="24">
        <f t="shared" si="85"/>
        <v>269.99606867695542</v>
      </c>
      <c r="BN31" s="24">
        <f t="shared" si="27"/>
        <v>261.68576847109824</v>
      </c>
      <c r="BO31" s="24">
        <f t="shared" si="28"/>
        <v>60.152179118049467</v>
      </c>
      <c r="BP31" s="24">
        <f t="shared" si="29"/>
        <v>112.31737158250544</v>
      </c>
      <c r="BQ31" s="24">
        <f t="shared" si="30"/>
        <v>42.752200752599308</v>
      </c>
      <c r="BR31" s="24">
        <f t="shared" si="31"/>
        <v>35.19647955632098</v>
      </c>
      <c r="BS31" s="24">
        <f t="shared" si="32"/>
        <v>5.3081128842427301</v>
      </c>
      <c r="BT31" s="24">
        <f t="shared" si="33"/>
        <v>0.26480422566919071</v>
      </c>
      <c r="BU31" s="23">
        <f t="shared" si="34"/>
        <v>6.2288267396743945E-2</v>
      </c>
      <c r="BV31">
        <f t="shared" si="86"/>
        <v>43.750052337747441</v>
      </c>
      <c r="BW31">
        <v>1.1223931450212721</v>
      </c>
      <c r="BX31" s="2">
        <v>62.308</v>
      </c>
      <c r="CJ31">
        <v>1980</v>
      </c>
      <c r="CK31">
        <f t="shared" si="88"/>
        <v>2051</v>
      </c>
      <c r="CL31">
        <f t="shared" si="89"/>
        <v>256.05343638678386</v>
      </c>
      <c r="CM31" s="9">
        <f t="shared" si="120"/>
        <v>0.23013164310092638</v>
      </c>
      <c r="CN31" s="9">
        <f t="shared" si="90"/>
        <v>0.42613359336908824</v>
      </c>
      <c r="CO31" s="9">
        <f t="shared" si="36"/>
        <v>0.15602145294978059</v>
      </c>
      <c r="CP31" s="9">
        <f t="shared" si="37"/>
        <v>0.12042905899561189</v>
      </c>
      <c r="CQ31" s="27">
        <f t="shared" si="38"/>
        <v>5.7045343734763533E-2</v>
      </c>
      <c r="CR31" s="27">
        <f t="shared" si="39"/>
        <v>8.2886396879570945E-3</v>
      </c>
      <c r="CS31" s="27">
        <f t="shared" si="40"/>
        <v>1.9502681618722574E-3</v>
      </c>
      <c r="CT31" s="29">
        <f t="shared" si="91"/>
        <v>0.23492041335928818</v>
      </c>
      <c r="CU31" s="9">
        <f t="shared" si="41"/>
        <v>0.43864817112957394</v>
      </c>
      <c r="CV31" s="9">
        <f t="shared" si="42"/>
        <v>0.16696593240802901</v>
      </c>
      <c r="CW31" s="9">
        <f t="shared" si="43"/>
        <v>0.1374575559421691</v>
      </c>
      <c r="CX31" s="9">
        <f t="shared" si="44"/>
        <v>2.0730488757137833E-2</v>
      </c>
      <c r="CY31" s="9">
        <f t="shared" si="45"/>
        <v>1.0341756369525472E-3</v>
      </c>
      <c r="CZ31" s="9">
        <f t="shared" si="46"/>
        <v>2.4326276684939245E-4</v>
      </c>
      <c r="DA31">
        <f t="shared" si="121"/>
        <v>-1.4970635711261113</v>
      </c>
      <c r="DB31">
        <f t="shared" si="47"/>
        <v>-1.4818574109734177</v>
      </c>
      <c r="DC31">
        <f t="shared" si="124"/>
        <v>100</v>
      </c>
      <c r="DD31">
        <f t="shared" si="92"/>
        <v>17.268936124928853</v>
      </c>
      <c r="DE31">
        <f t="shared" si="93"/>
        <v>156.71661586601641</v>
      </c>
      <c r="DF31">
        <f t="shared" si="49"/>
        <v>44.620214434331892</v>
      </c>
      <c r="DG31">
        <f t="shared" si="50"/>
        <v>98.729235156316903</v>
      </c>
      <c r="DH31">
        <f t="shared" si="51"/>
        <v>37.777139360859792</v>
      </c>
      <c r="DI31">
        <f t="shared" si="52"/>
        <v>31.356354044572043</v>
      </c>
      <c r="DJ31">
        <f t="shared" si="53"/>
        <v>3.48910606288797</v>
      </c>
      <c r="DK31">
        <f t="shared" si="54"/>
        <v>5.040892330289426E-4</v>
      </c>
      <c r="DL31">
        <f t="shared" si="55"/>
        <v>1.0000000000000286E-4</v>
      </c>
      <c r="DM31">
        <f t="shared" si="56"/>
        <v>1980</v>
      </c>
      <c r="DN31" s="9">
        <f t="shared" si="94"/>
        <v>3.1840672717064296E-3</v>
      </c>
      <c r="DO31" s="9">
        <f t="shared" si="57"/>
        <v>5.1667882026723316E-2</v>
      </c>
      <c r="DP31" s="9">
        <f t="shared" si="58"/>
        <v>8.1877419386776062E-2</v>
      </c>
      <c r="DQ31" s="9">
        <f t="shared" si="59"/>
        <v>8.1165796301770968E-2</v>
      </c>
      <c r="DR31" s="9">
        <f t="shared" si="60"/>
        <v>7.7938333854325942E-2</v>
      </c>
      <c r="DS31" s="9">
        <f t="shared" si="61"/>
        <v>7.2875211323994271E-2</v>
      </c>
      <c r="DT31" s="9">
        <f t="shared" si="62"/>
        <v>0.25071874205381722</v>
      </c>
      <c r="DU31" s="9">
        <f t="shared" si="63"/>
        <v>0.9970372184597317</v>
      </c>
      <c r="DV31" s="9">
        <f t="shared" si="64"/>
        <v>0.9975009032712614</v>
      </c>
      <c r="DW31">
        <f t="shared" si="95"/>
        <v>8.3660734924343991E-2</v>
      </c>
      <c r="DX31">
        <f t="shared" si="96"/>
        <v>1980</v>
      </c>
      <c r="DY31" s="9">
        <f t="shared" si="97"/>
        <v>3.805927923757594E-2</v>
      </c>
      <c r="DZ31" s="9">
        <f t="shared" si="98"/>
        <v>0.61758819204071747</v>
      </c>
      <c r="EA31" s="9">
        <f t="shared" si="99"/>
        <v>0.97868396041248484</v>
      </c>
      <c r="EB31" s="9">
        <f t="shared" si="100"/>
        <v>0.97017790215649857</v>
      </c>
      <c r="EC31" s="9">
        <f t="shared" si="101"/>
        <v>0.93159991870507797</v>
      </c>
      <c r="ED31" s="9">
        <f t="shared" si="102"/>
        <v>0.87108021929160351</v>
      </c>
      <c r="EE31" s="9">
        <f t="shared" si="103"/>
        <v>2.9968508199282136</v>
      </c>
      <c r="EF31" s="9">
        <f t="shared" si="104"/>
        <v>11.917624431118991</v>
      </c>
      <c r="EG31" s="9">
        <f t="shared" si="105"/>
        <v>11.923166873603497</v>
      </c>
      <c r="EI31">
        <f t="shared" si="106"/>
        <v>2051</v>
      </c>
      <c r="EJ31" s="8">
        <f t="shared" si="107"/>
        <v>2438.0916857760253</v>
      </c>
      <c r="EK31" s="8">
        <f t="shared" si="66"/>
        <v>5049.9778223910298</v>
      </c>
      <c r="EL31" s="8">
        <f t="shared" si="67"/>
        <v>1529.6660781016906</v>
      </c>
      <c r="EM31" s="8">
        <f t="shared" si="68"/>
        <v>1117.492889230361</v>
      </c>
      <c r="EN31" s="8">
        <f t="shared" si="69"/>
        <v>443.47508812091894</v>
      </c>
      <c r="EO31" s="8">
        <f t="shared" si="70"/>
        <v>33.505073450136891</v>
      </c>
      <c r="EP31" s="8">
        <f t="shared" si="71"/>
        <v>3.1780538303479458</v>
      </c>
      <c r="EQ31">
        <f t="shared" si="108"/>
        <v>10615.38669090051</v>
      </c>
      <c r="ES31" s="8">
        <f t="shared" si="109"/>
        <v>2519.7642037262594</v>
      </c>
      <c r="ET31" s="8">
        <f t="shared" si="72"/>
        <v>5206.6897501180219</v>
      </c>
      <c r="EU31" s="8">
        <f t="shared" si="73"/>
        <v>1585.6225087200039</v>
      </c>
      <c r="EV31" s="8">
        <f t="shared" si="74"/>
        <v>1161.9931021331613</v>
      </c>
      <c r="EW31" s="8">
        <f t="shared" si="75"/>
        <v>447.6526440743765</v>
      </c>
      <c r="EX31" s="8">
        <f t="shared" si="76"/>
        <v>28.605164976866668</v>
      </c>
      <c r="EY31" s="8">
        <f t="shared" si="77"/>
        <v>-1.9903497227847939</v>
      </c>
      <c r="EZ31">
        <f t="shared" si="110"/>
        <v>10948.337024025906</v>
      </c>
      <c r="FB31">
        <f t="shared" si="111"/>
        <v>13594.827757349281</v>
      </c>
      <c r="FC31">
        <f t="shared" si="112"/>
        <v>313.51018873397544</v>
      </c>
      <c r="FD31">
        <f t="shared" si="113"/>
        <v>14275.230622648032</v>
      </c>
      <c r="FE31">
        <f t="shared" si="114"/>
        <v>-33.942343439379329</v>
      </c>
      <c r="FG31">
        <f t="shared" si="115"/>
        <v>87.145570975724894</v>
      </c>
      <c r="FJ31">
        <v>47.413671698559511</v>
      </c>
    </row>
    <row r="32" spans="1:166" x14ac:dyDescent="0.3">
      <c r="D32">
        <v>1981</v>
      </c>
      <c r="E32">
        <f t="shared" si="78"/>
        <v>62.234262228599704</v>
      </c>
      <c r="F32">
        <f t="shared" si="79"/>
        <v>4.368930943039645E-2</v>
      </c>
      <c r="G32">
        <f t="shared" si="80"/>
        <v>0.40187881281990223</v>
      </c>
      <c r="H32">
        <f t="shared" si="81"/>
        <v>0.1347762337965277</v>
      </c>
      <c r="I32" s="2">
        <v>2.2162622285997031</v>
      </c>
      <c r="J32">
        <f t="shared" si="82"/>
        <v>2.2162622285997031</v>
      </c>
      <c r="K32" s="2">
        <v>8.0890000000000004</v>
      </c>
      <c r="L32">
        <f t="shared" si="116"/>
        <v>51.929000000000002</v>
      </c>
      <c r="M32" s="25">
        <f t="shared" si="117"/>
        <v>2.2164195996362497</v>
      </c>
      <c r="N32" s="25">
        <f t="shared" si="0"/>
        <v>22.806636460025178</v>
      </c>
      <c r="O32" s="25">
        <f t="shared" si="1"/>
        <v>19.787166280810577</v>
      </c>
      <c r="P32" s="25">
        <f t="shared" si="2"/>
        <v>7.6289805059943374</v>
      </c>
      <c r="Q32" s="25">
        <f t="shared" si="3"/>
        <v>9.8614611172221558</v>
      </c>
      <c r="R32" s="25">
        <f t="shared" si="4"/>
        <v>4.5613272920050356</v>
      </c>
      <c r="S32" s="25">
        <f t="shared" si="5"/>
        <v>1.8309553214386411</v>
      </c>
      <c r="T32" s="25">
        <f t="shared" si="6"/>
        <v>0.33728124342290761</v>
      </c>
      <c r="U32" s="25">
        <f t="shared" si="7"/>
        <v>0</v>
      </c>
      <c r="V32">
        <f t="shared" si="8"/>
        <v>69.030227820555083</v>
      </c>
      <c r="W32">
        <f t="shared" si="118"/>
        <v>14.228761699778811</v>
      </c>
      <c r="X32">
        <f t="shared" si="9"/>
        <v>146.41189575134717</v>
      </c>
      <c r="Y32">
        <f t="shared" si="10"/>
        <v>127.02778560961953</v>
      </c>
      <c r="Z32">
        <f t="shared" si="11"/>
        <v>48.975810198514026</v>
      </c>
      <c r="AA32">
        <f t="shared" si="12"/>
        <v>63.307678867131813</v>
      </c>
      <c r="AB32">
        <f t="shared" si="13"/>
        <v>29.282379150269438</v>
      </c>
      <c r="AC32">
        <f t="shared" si="14"/>
        <v>11.754194447643366</v>
      </c>
      <c r="AD32">
        <f t="shared" si="15"/>
        <v>2.1652463456185149</v>
      </c>
      <c r="AE32">
        <f t="shared" si="16"/>
        <v>0</v>
      </c>
      <c r="AF32">
        <f t="shared" si="17"/>
        <v>443.15375206992269</v>
      </c>
      <c r="AG32" s="2">
        <v>6.0999999999999999E-2</v>
      </c>
      <c r="AH32" s="2">
        <v>9.01E-2</v>
      </c>
      <c r="AI32" s="2">
        <v>0.1099</v>
      </c>
      <c r="AJ32" s="2">
        <v>0.13669999999999999</v>
      </c>
      <c r="AK32" s="2">
        <v>0.15090000000000001</v>
      </c>
      <c r="AL32" s="2">
        <v>0.17549999999999999</v>
      </c>
      <c r="AM32" s="2">
        <v>0.18029999999999999</v>
      </c>
      <c r="AN32" s="2">
        <v>0.18590000000000001</v>
      </c>
      <c r="AO32" s="2">
        <v>0.20519999999999999</v>
      </c>
      <c r="AP32">
        <f t="shared" si="119"/>
        <v>0.11718054909260121</v>
      </c>
      <c r="AQ32" s="2">
        <v>138</v>
      </c>
      <c r="AR32" s="2">
        <v>1420</v>
      </c>
      <c r="AS32" s="2">
        <v>1232</v>
      </c>
      <c r="AT32" s="2">
        <v>475</v>
      </c>
      <c r="AU32" s="2">
        <v>614</v>
      </c>
      <c r="AV32" s="2">
        <v>284</v>
      </c>
      <c r="AW32" s="2">
        <v>114</v>
      </c>
      <c r="AX32" s="2">
        <v>21</v>
      </c>
      <c r="AY32" s="2">
        <v>0</v>
      </c>
      <c r="AZ32">
        <f t="shared" si="83"/>
        <v>4298</v>
      </c>
      <c r="BA32">
        <f t="shared" si="18"/>
        <v>1981</v>
      </c>
      <c r="BB32">
        <f t="shared" si="122"/>
        <v>0.57580680402144546</v>
      </c>
      <c r="BC32">
        <f t="shared" si="123"/>
        <v>0.55778195269781827</v>
      </c>
      <c r="BD32">
        <f t="shared" si="84"/>
        <v>0.60726505642253625</v>
      </c>
      <c r="BE32">
        <f t="shared" si="19"/>
        <v>6.2486694211594305</v>
      </c>
      <c r="BF32">
        <f t="shared" si="20"/>
        <v>5.421380793569309</v>
      </c>
      <c r="BG32">
        <f t="shared" si="21"/>
        <v>2.0902239260920634</v>
      </c>
      <c r="BH32">
        <f t="shared" si="22"/>
        <v>2.7018894539379508</v>
      </c>
      <c r="BI32">
        <f t="shared" si="23"/>
        <v>1.2497338842318861</v>
      </c>
      <c r="BJ32">
        <f t="shared" si="24"/>
        <v>0.50165374226209525</v>
      </c>
      <c r="BK32">
        <f t="shared" si="25"/>
        <v>9.2409899890385949E-2</v>
      </c>
      <c r="BL32">
        <f t="shared" si="26"/>
        <v>0</v>
      </c>
      <c r="BM32" s="24">
        <f t="shared" si="85"/>
        <v>137.6314393676704</v>
      </c>
      <c r="BN32" s="24">
        <f t="shared" si="27"/>
        <v>193.13845070127806</v>
      </c>
      <c r="BO32" s="24">
        <f t="shared" si="28"/>
        <v>173.40559760307252</v>
      </c>
      <c r="BP32" s="24">
        <f t="shared" si="29"/>
        <v>37.967798535431562</v>
      </c>
      <c r="BQ32" s="24">
        <f t="shared" si="30"/>
        <v>63.559273470847899</v>
      </c>
      <c r="BR32" s="24">
        <f t="shared" si="31"/>
        <v>20.989271534163567</v>
      </c>
      <c r="BS32" s="24">
        <f t="shared" si="32"/>
        <v>14.313251755414704</v>
      </c>
      <c r="BT32" s="24">
        <f t="shared" si="33"/>
        <v>1.2252244471003702</v>
      </c>
      <c r="BU32" s="23">
        <f t="shared" si="34"/>
        <v>1E-4</v>
      </c>
      <c r="BV32">
        <f t="shared" si="86"/>
        <v>40.422530393770252</v>
      </c>
      <c r="BW32">
        <v>1.2147972058006926</v>
      </c>
      <c r="BX32" s="2">
        <v>51.929000000000002</v>
      </c>
      <c r="CJ32">
        <v>1981</v>
      </c>
      <c r="CK32">
        <f t="shared" si="88"/>
        <v>2740</v>
      </c>
      <c r="CL32">
        <f t="shared" si="89"/>
        <v>311.46051734603054</v>
      </c>
      <c r="CM32" s="9">
        <f t="shared" si="120"/>
        <v>0.44963503649635034</v>
      </c>
      <c r="CN32" s="9">
        <f t="shared" si="90"/>
        <v>0.17335766423357665</v>
      </c>
      <c r="CO32" s="9">
        <f t="shared" si="36"/>
        <v>0.22408759124087591</v>
      </c>
      <c r="CP32" s="9">
        <f t="shared" si="37"/>
        <v>0.10364963503649635</v>
      </c>
      <c r="CQ32" s="27">
        <f t="shared" si="38"/>
        <v>4.1605839416058395E-2</v>
      </c>
      <c r="CR32" s="27">
        <f t="shared" si="39"/>
        <v>7.6642335766423358E-3</v>
      </c>
      <c r="CS32" s="27">
        <f t="shared" si="40"/>
        <v>0</v>
      </c>
      <c r="CT32" s="29">
        <f t="shared" si="91"/>
        <v>0.55674985414096667</v>
      </c>
      <c r="CU32" s="9">
        <f t="shared" si="41"/>
        <v>0.12190244483941955</v>
      </c>
      <c r="CV32" s="9">
        <f t="shared" si="42"/>
        <v>0.20406847716185475</v>
      </c>
      <c r="CW32" s="9">
        <f t="shared" si="43"/>
        <v>6.7389830701541628E-2</v>
      </c>
      <c r="CX32" s="9">
        <f t="shared" si="44"/>
        <v>4.5955268672185433E-2</v>
      </c>
      <c r="CY32" s="9">
        <f t="shared" si="45"/>
        <v>3.9338034160495338E-3</v>
      </c>
      <c r="CZ32" s="9">
        <f t="shared" si="46"/>
        <v>3.2106798271609069E-7</v>
      </c>
      <c r="DA32">
        <f t="shared" si="121"/>
        <v>-1.4344610587045199</v>
      </c>
      <c r="DB32">
        <f t="shared" si="47"/>
        <v>-1.4269917958609442</v>
      </c>
      <c r="DC32">
        <f t="shared" si="124"/>
        <v>100</v>
      </c>
      <c r="DD32">
        <f t="shared" si="92"/>
        <v>8.6652087736314591</v>
      </c>
      <c r="DE32">
        <f t="shared" si="93"/>
        <v>106.60638105612503</v>
      </c>
      <c r="DF32">
        <f t="shared" si="49"/>
        <v>125.20522465537331</v>
      </c>
      <c r="DG32">
        <f t="shared" si="50"/>
        <v>28.248594103345159</v>
      </c>
      <c r="DH32">
        <f t="shared" si="51"/>
        <v>50.995922899687791</v>
      </c>
      <c r="DI32">
        <f t="shared" si="52"/>
        <v>15.178210357926645</v>
      </c>
      <c r="DJ32">
        <f t="shared" si="53"/>
        <v>11.980642691713969</v>
      </c>
      <c r="DK32">
        <f t="shared" si="54"/>
        <v>0.79553330378707665</v>
      </c>
      <c r="DL32">
        <f t="shared" si="55"/>
        <v>1E-4</v>
      </c>
      <c r="DM32">
        <f t="shared" si="56"/>
        <v>1981</v>
      </c>
      <c r="DN32" s="9">
        <f t="shared" si="94"/>
        <v>1.6175391027000052E-2</v>
      </c>
      <c r="DO32" s="9">
        <f t="shared" si="57"/>
        <v>0.12203254936577612</v>
      </c>
      <c r="DP32" s="9">
        <f t="shared" si="58"/>
        <v>0.11779181792566584</v>
      </c>
      <c r="DQ32" s="9">
        <f t="shared" si="59"/>
        <v>0.21263924858533759</v>
      </c>
      <c r="DR32" s="9">
        <f t="shared" si="60"/>
        <v>0.16204214618364193</v>
      </c>
      <c r="DS32" s="9">
        <f t="shared" si="61"/>
        <v>0.231075690469418</v>
      </c>
      <c r="DT32" s="9">
        <f t="shared" si="62"/>
        <v>0.1325665082125215</v>
      </c>
      <c r="DU32" s="9">
        <f t="shared" si="63"/>
        <v>0.29773738715979559</v>
      </c>
      <c r="DV32" s="9" t="str">
        <f t="shared" si="64"/>
        <v/>
      </c>
      <c r="DW32">
        <f t="shared" si="95"/>
        <v>0.14698295806912495</v>
      </c>
      <c r="DX32">
        <f t="shared" si="96"/>
        <v>1981</v>
      </c>
      <c r="DY32" s="9">
        <f t="shared" si="97"/>
        <v>0.11004943184905076</v>
      </c>
      <c r="DZ32" s="9">
        <f t="shared" si="98"/>
        <v>0.8302496491354131</v>
      </c>
      <c r="EA32" s="9">
        <f t="shared" si="99"/>
        <v>0.80139779109813025</v>
      </c>
      <c r="EB32" s="9">
        <f t="shared" si="100"/>
        <v>1.4466932178990097</v>
      </c>
      <c r="EC32" s="9">
        <f t="shared" si="101"/>
        <v>1.102455334362197</v>
      </c>
      <c r="ED32" s="9">
        <f t="shared" si="102"/>
        <v>1.5721257314793249</v>
      </c>
      <c r="EE32" s="9">
        <f t="shared" si="103"/>
        <v>0.90191754169334715</v>
      </c>
      <c r="EF32" s="9">
        <f t="shared" si="104"/>
        <v>2.0256592401669584</v>
      </c>
      <c r="EG32" s="9" t="str">
        <f t="shared" si="105"/>
        <v/>
      </c>
      <c r="EI32">
        <f t="shared" si="106"/>
        <v>2740</v>
      </c>
      <c r="EJ32" s="8">
        <f t="shared" si="107"/>
        <v>7539.8747887690924</v>
      </c>
      <c r="EK32" s="8">
        <f t="shared" si="66"/>
        <v>2456.5753032902471</v>
      </c>
      <c r="EL32" s="8">
        <f t="shared" si="67"/>
        <v>3332.0059576016529</v>
      </c>
      <c r="EM32" s="8">
        <f t="shared" si="68"/>
        <v>1324.0524027171766</v>
      </c>
      <c r="EN32" s="8">
        <f t="shared" si="69"/>
        <v>429.21439186665157</v>
      </c>
      <c r="EO32" s="8">
        <f t="shared" si="70"/>
        <v>45.380138898476908</v>
      </c>
      <c r="EP32" s="8">
        <f t="shared" si="71"/>
        <v>0</v>
      </c>
      <c r="EQ32">
        <f t="shared" si="108"/>
        <v>15127.102983143297</v>
      </c>
      <c r="ES32" s="8">
        <f t="shared" si="109"/>
        <v>7797.5400790279964</v>
      </c>
      <c r="ET32" s="8">
        <f t="shared" si="72"/>
        <v>2516.6593893085278</v>
      </c>
      <c r="EU32" s="8">
        <f t="shared" si="73"/>
        <v>3430.2378132818376</v>
      </c>
      <c r="EV32" s="8">
        <f t="shared" si="74"/>
        <v>1355.5319728571776</v>
      </c>
      <c r="EW32" s="8">
        <f t="shared" si="75"/>
        <v>446.75067213126249</v>
      </c>
      <c r="EX32" s="8">
        <f t="shared" si="76"/>
        <v>43.141525969709235</v>
      </c>
      <c r="EY32" s="8">
        <f t="shared" si="77"/>
        <v>0</v>
      </c>
      <c r="EZ32">
        <f t="shared" si="110"/>
        <v>15589.861452576512</v>
      </c>
      <c r="FB32">
        <f t="shared" si="111"/>
        <v>18953.930991853518</v>
      </c>
      <c r="FC32">
        <f t="shared" si="112"/>
        <v>453.94167622307157</v>
      </c>
      <c r="FD32">
        <f t="shared" si="113"/>
        <v>19899.994697378468</v>
      </c>
      <c r="FE32">
        <f t="shared" si="114"/>
        <v>-29.363559868663287</v>
      </c>
      <c r="FG32">
        <f t="shared" si="115"/>
        <v>116.09888726951731</v>
      </c>
      <c r="FJ32">
        <v>41.145191928947831</v>
      </c>
    </row>
    <row r="33" spans="4:166" x14ac:dyDescent="0.3">
      <c r="D33">
        <v>1982</v>
      </c>
      <c r="E33">
        <f t="shared" si="78"/>
        <v>41.180999336763975</v>
      </c>
      <c r="F33">
        <f t="shared" si="79"/>
        <v>5.6975106078389029E-2</v>
      </c>
      <c r="G33">
        <f t="shared" si="80"/>
        <v>0.41469668039006047</v>
      </c>
      <c r="H33">
        <f t="shared" si="81"/>
        <v>0.14080061585835257</v>
      </c>
      <c r="I33" s="2">
        <v>2.2109993367639782</v>
      </c>
      <c r="J33">
        <f t="shared" si="82"/>
        <v>2.2109993367639782</v>
      </c>
      <c r="K33" s="2">
        <v>5.4870000000000001</v>
      </c>
      <c r="L33">
        <f t="shared" si="116"/>
        <v>33.482999999999997</v>
      </c>
      <c r="M33" s="25">
        <f t="shared" si="117"/>
        <v>1.2499887875185645</v>
      </c>
      <c r="N33" s="25">
        <f t="shared" si="0"/>
        <v>9.4921023552190995</v>
      </c>
      <c r="O33" s="25">
        <f t="shared" si="1"/>
        <v>11.749894602674507</v>
      </c>
      <c r="P33" s="25">
        <f t="shared" si="2"/>
        <v>13.203006568164838</v>
      </c>
      <c r="Q33" s="25">
        <f t="shared" si="3"/>
        <v>2.9374736506686268</v>
      </c>
      <c r="R33" s="25">
        <f t="shared" si="4"/>
        <v>5.4687009453937199</v>
      </c>
      <c r="S33" s="25">
        <f t="shared" si="5"/>
        <v>1.3046757969725018</v>
      </c>
      <c r="T33" s="25">
        <f t="shared" si="6"/>
        <v>0.63280682368127328</v>
      </c>
      <c r="U33" s="25">
        <f t="shared" si="7"/>
        <v>0.12499887875185646</v>
      </c>
      <c r="V33">
        <f t="shared" si="8"/>
        <v>46.163648409044988</v>
      </c>
      <c r="W33">
        <f t="shared" si="118"/>
        <v>7.6277336563667033</v>
      </c>
      <c r="X33">
        <f t="shared" si="9"/>
        <v>57.923102453034645</v>
      </c>
      <c r="Y33">
        <f t="shared" si="10"/>
        <v>71.700696369847009</v>
      </c>
      <c r="Z33">
        <f t="shared" si="11"/>
        <v>80.567936745373302</v>
      </c>
      <c r="AA33">
        <f t="shared" si="12"/>
        <v>17.925174092461752</v>
      </c>
      <c r="AB33">
        <f t="shared" si="13"/>
        <v>33.371334746604326</v>
      </c>
      <c r="AC33">
        <f t="shared" si="14"/>
        <v>7.9614470038327454</v>
      </c>
      <c r="AD33">
        <f t="shared" si="15"/>
        <v>3.861540163535643</v>
      </c>
      <c r="AE33">
        <f t="shared" si="16"/>
        <v>0.76277336563667031</v>
      </c>
      <c r="AF33">
        <f t="shared" si="17"/>
        <v>281.70173859669279</v>
      </c>
      <c r="AG33" s="2">
        <v>7.0999999999999994E-2</v>
      </c>
      <c r="AH33" s="2">
        <v>8.9399999999999993E-2</v>
      </c>
      <c r="AI33" s="2">
        <v>0.10979999999999999</v>
      </c>
      <c r="AJ33" s="2">
        <v>0.12559999999999999</v>
      </c>
      <c r="AK33" s="2">
        <v>0.14230000000000001</v>
      </c>
      <c r="AL33" s="2">
        <v>0.15040000000000001</v>
      </c>
      <c r="AM33" s="2">
        <v>0.1714</v>
      </c>
      <c r="AN33" s="2">
        <v>0.1799</v>
      </c>
      <c r="AO33" s="2">
        <v>0.18609999999999999</v>
      </c>
      <c r="AP33">
        <f t="shared" si="119"/>
        <v>0.11885975630394315</v>
      </c>
      <c r="AQ33" s="2">
        <v>160</v>
      </c>
      <c r="AR33" s="2">
        <v>1215</v>
      </c>
      <c r="AS33" s="2">
        <v>1504</v>
      </c>
      <c r="AT33" s="2">
        <v>1690</v>
      </c>
      <c r="AU33" s="2">
        <v>376</v>
      </c>
      <c r="AV33" s="2">
        <v>700</v>
      </c>
      <c r="AW33" s="2">
        <v>167</v>
      </c>
      <c r="AX33" s="2">
        <v>81</v>
      </c>
      <c r="AY33" s="2">
        <v>16</v>
      </c>
      <c r="AZ33">
        <f t="shared" si="83"/>
        <v>5909</v>
      </c>
      <c r="BA33">
        <f t="shared" si="18"/>
        <v>1982</v>
      </c>
      <c r="BB33">
        <f t="shared" si="122"/>
        <v>0.51903577631295605</v>
      </c>
      <c r="BC33">
        <f t="shared" si="123"/>
        <v>0.59251854437019846</v>
      </c>
      <c r="BD33">
        <f t="shared" si="84"/>
        <v>0.50368587209148075</v>
      </c>
      <c r="BE33">
        <f t="shared" si="19"/>
        <v>3.8248645911946824</v>
      </c>
      <c r="BF33">
        <f t="shared" si="20"/>
        <v>4.7346471976599203</v>
      </c>
      <c r="BG33">
        <f t="shared" si="21"/>
        <v>5.3201820239662663</v>
      </c>
      <c r="BH33">
        <f t="shared" si="22"/>
        <v>1.1836617994149801</v>
      </c>
      <c r="BI33">
        <f t="shared" si="23"/>
        <v>2.2036256904002287</v>
      </c>
      <c r="BJ33">
        <f t="shared" si="24"/>
        <v>0.52572212899548321</v>
      </c>
      <c r="BK33">
        <f t="shared" si="25"/>
        <v>0.25499097274631222</v>
      </c>
      <c r="BL33">
        <f t="shared" si="26"/>
        <v>5.0368587209148087E-2</v>
      </c>
      <c r="BM33" s="24">
        <f t="shared" si="85"/>
        <v>97.726210761715819</v>
      </c>
      <c r="BN33" s="24">
        <f t="shared" si="27"/>
        <v>94.315222068309239</v>
      </c>
      <c r="BO33" s="24">
        <f t="shared" si="28"/>
        <v>114.79710735237998</v>
      </c>
      <c r="BP33" s="24">
        <f t="shared" si="29"/>
        <v>103.68274953570543</v>
      </c>
      <c r="BQ33" s="24">
        <f t="shared" si="30"/>
        <v>17.538092913427452</v>
      </c>
      <c r="BR33" s="24">
        <f t="shared" si="31"/>
        <v>26.995507963288169</v>
      </c>
      <c r="BS33" s="24">
        <f t="shared" si="32"/>
        <v>6.495194888813737</v>
      </c>
      <c r="BT33" s="24">
        <f t="shared" si="33"/>
        <v>3.8598783898901252</v>
      </c>
      <c r="BU33" s="23">
        <f t="shared" si="34"/>
        <v>0.17546746596100454</v>
      </c>
      <c r="BV33">
        <f t="shared" si="86"/>
        <v>31.108410847395774</v>
      </c>
      <c r="BW33">
        <v>1.2108104095878487</v>
      </c>
      <c r="BX33" s="2">
        <v>33.482999999999997</v>
      </c>
      <c r="CJ33">
        <v>1982</v>
      </c>
      <c r="CK33">
        <f t="shared" si="88"/>
        <v>4534</v>
      </c>
      <c r="CL33">
        <f t="shared" si="89"/>
        <v>273.54399850946589</v>
      </c>
      <c r="CM33" s="9">
        <f t="shared" si="120"/>
        <v>0.33171592412880457</v>
      </c>
      <c r="CN33" s="9">
        <f t="shared" si="90"/>
        <v>0.37273930304367003</v>
      </c>
      <c r="CO33" s="9">
        <f t="shared" si="36"/>
        <v>8.2928981032201143E-2</v>
      </c>
      <c r="CP33" s="9">
        <f t="shared" si="37"/>
        <v>0.15438906043228937</v>
      </c>
      <c r="CQ33" s="27">
        <f t="shared" si="38"/>
        <v>3.6832818703131889E-2</v>
      </c>
      <c r="CR33" s="27">
        <f t="shared" si="39"/>
        <v>1.7865019850022056E-2</v>
      </c>
      <c r="CS33" s="27">
        <f t="shared" si="40"/>
        <v>3.5288928098808998E-3</v>
      </c>
      <c r="CT33" s="29">
        <f t="shared" si="91"/>
        <v>0.41966596956214147</v>
      </c>
      <c r="CU33" s="9">
        <f t="shared" si="41"/>
        <v>0.37903500022179254</v>
      </c>
      <c r="CV33" s="9">
        <f t="shared" si="42"/>
        <v>6.4114339956248587E-2</v>
      </c>
      <c r="CW33" s="9">
        <f t="shared" si="43"/>
        <v>9.8687992097746563E-2</v>
      </c>
      <c r="CX33" s="9">
        <f t="shared" si="44"/>
        <v>2.3744607537382958E-2</v>
      </c>
      <c r="CY33" s="9">
        <f t="shared" si="45"/>
        <v>1.4110630870801413E-2</v>
      </c>
      <c r="CZ33" s="9">
        <f t="shared" si="46"/>
        <v>6.4145975388647596E-4</v>
      </c>
      <c r="DA33">
        <f t="shared" si="121"/>
        <v>-1.474797996963779</v>
      </c>
      <c r="DB33">
        <f t="shared" si="47"/>
        <v>-1.4641409649702393</v>
      </c>
      <c r="DC33">
        <f t="shared" si="124"/>
        <v>100</v>
      </c>
      <c r="DD33">
        <f t="shared" si="92"/>
        <v>6.1689482451412534</v>
      </c>
      <c r="DE33">
        <f t="shared" si="93"/>
        <v>52.625337354873714</v>
      </c>
      <c r="DF33">
        <f t="shared" si="49"/>
        <v>83.059998916825734</v>
      </c>
      <c r="DG33">
        <f t="shared" si="50"/>
        <v>85.15956094357432</v>
      </c>
      <c r="DH33">
        <f t="shared" si="51"/>
        <v>13.416957463343843</v>
      </c>
      <c r="DI33">
        <f t="shared" si="52"/>
        <v>19.323181327494218</v>
      </c>
      <c r="DJ33">
        <f t="shared" si="53"/>
        <v>4.6647969628457524</v>
      </c>
      <c r="DK33">
        <f t="shared" si="54"/>
        <v>2.9720805934625396</v>
      </c>
      <c r="DL33">
        <f t="shared" si="55"/>
        <v>1.0000000000000286E-4</v>
      </c>
      <c r="DM33">
        <f t="shared" si="56"/>
        <v>1982</v>
      </c>
      <c r="DN33" s="9">
        <f t="shared" si="94"/>
        <v>1.285698750302631E-2</v>
      </c>
      <c r="DO33" s="9">
        <f t="shared" si="57"/>
        <v>0.10489628530442813</v>
      </c>
      <c r="DP33" s="9">
        <f t="shared" si="58"/>
        <v>0.10675660516907508</v>
      </c>
      <c r="DQ33" s="9">
        <f t="shared" si="59"/>
        <v>0.13422795787217648</v>
      </c>
      <c r="DR33" s="9">
        <f t="shared" si="60"/>
        <v>0.17961331887306067</v>
      </c>
      <c r="DS33" s="9">
        <f t="shared" si="61"/>
        <v>0.22058433826035936</v>
      </c>
      <c r="DT33" s="9">
        <f t="shared" si="62"/>
        <v>0.21855796139225933</v>
      </c>
      <c r="DU33" s="9">
        <f t="shared" si="63"/>
        <v>0.1755413555141348</v>
      </c>
      <c r="DV33" s="9">
        <f t="shared" si="64"/>
        <v>0.99920063232382472</v>
      </c>
      <c r="DW33">
        <f t="shared" si="95"/>
        <v>0.13661992500276043</v>
      </c>
      <c r="DX33">
        <f t="shared" si="96"/>
        <v>1982</v>
      </c>
      <c r="DY33" s="9">
        <f t="shared" si="97"/>
        <v>9.4107704295449818E-2</v>
      </c>
      <c r="DZ33" s="9">
        <f t="shared" si="98"/>
        <v>0.76779639062390548</v>
      </c>
      <c r="EA33" s="9">
        <f t="shared" si="99"/>
        <v>0.78141314429002973</v>
      </c>
      <c r="EB33" s="9">
        <f t="shared" si="100"/>
        <v>0.98249181347057812</v>
      </c>
      <c r="EC33" s="9">
        <f t="shared" si="101"/>
        <v>1.314693437794169</v>
      </c>
      <c r="ED33" s="9">
        <f t="shared" si="102"/>
        <v>1.6145839507370716</v>
      </c>
      <c r="EE33" s="9">
        <f t="shared" si="103"/>
        <v>1.5997517301216739</v>
      </c>
      <c r="EF33" s="9">
        <f t="shared" si="104"/>
        <v>1.284888390259239</v>
      </c>
      <c r="EG33" s="9">
        <f t="shared" si="105"/>
        <v>7.3137255221274327</v>
      </c>
      <c r="EI33">
        <f t="shared" si="106"/>
        <v>4534</v>
      </c>
      <c r="EJ33" s="8">
        <f t="shared" si="107"/>
        <v>9503.6657264759779</v>
      </c>
      <c r="EK33" s="8">
        <f t="shared" si="66"/>
        <v>10875.532865126759</v>
      </c>
      <c r="EL33" s="8">
        <f t="shared" si="67"/>
        <v>1857.4094726506532</v>
      </c>
      <c r="EM33" s="8">
        <f t="shared" si="68"/>
        <v>3889.950832278721</v>
      </c>
      <c r="EN33" s="8">
        <f t="shared" si="69"/>
        <v>691.1834011144108</v>
      </c>
      <c r="EO33" s="8">
        <f t="shared" si="70"/>
        <v>278.06757344036617</v>
      </c>
      <c r="EP33" s="8">
        <f t="shared" si="71"/>
        <v>30.671860106080675</v>
      </c>
      <c r="EQ33">
        <f t="shared" si="108"/>
        <v>27126.481731192969</v>
      </c>
      <c r="ES33" s="8">
        <f t="shared" si="109"/>
        <v>9824.6923366084229</v>
      </c>
      <c r="ET33" s="8">
        <f t="shared" si="72"/>
        <v>11180.799412353683</v>
      </c>
      <c r="EU33" s="8">
        <f t="shared" si="73"/>
        <v>1907.9260937130891</v>
      </c>
      <c r="EV33" s="8">
        <f t="shared" si="74"/>
        <v>3974.0036797468051</v>
      </c>
      <c r="EW33" s="8">
        <f t="shared" si="75"/>
        <v>707.51844894511555</v>
      </c>
      <c r="EX33" s="8">
        <f t="shared" si="76"/>
        <v>285.51466248318053</v>
      </c>
      <c r="EY33" s="8">
        <f t="shared" si="77"/>
        <v>26.25147671282167</v>
      </c>
      <c r="EZ33">
        <f t="shared" si="110"/>
        <v>27906.706110563122</v>
      </c>
      <c r="FB33">
        <f t="shared" si="111"/>
        <v>33644.506110888316</v>
      </c>
      <c r="FC33">
        <f t="shared" si="112"/>
        <v>852.03958273336309</v>
      </c>
      <c r="FD33">
        <f t="shared" si="113"/>
        <v>35314.861513636846</v>
      </c>
      <c r="FE33">
        <f t="shared" si="114"/>
        <v>-38.09144064501379</v>
      </c>
      <c r="FG33">
        <f t="shared" si="115"/>
        <v>191.48676743071263</v>
      </c>
      <c r="FJ33">
        <v>32.157730927889475</v>
      </c>
    </row>
    <row r="34" spans="4:166" x14ac:dyDescent="0.3">
      <c r="D34">
        <v>1983</v>
      </c>
      <c r="E34">
        <f t="shared" si="78"/>
        <v>27.685063038099951</v>
      </c>
      <c r="F34">
        <f t="shared" ref="F34:F65" si="125">J34/(J34+K34+BV34)</f>
        <v>7.2539966157112959E-2</v>
      </c>
      <c r="G34">
        <f t="shared" ref="G34:G65" si="126">-LN(Su)*Relm-LN(1-F34)</f>
        <v>0.39702851707944098</v>
      </c>
      <c r="H34">
        <f t="shared" ref="H34:H65" si="127">K34/(E34-J34)</f>
        <v>0.33831768326363132</v>
      </c>
      <c r="I34" s="2">
        <v>2.3390630380999502</v>
      </c>
      <c r="J34">
        <f t="shared" ref="J34:J65" si="128">I34*SSLQmult</f>
        <v>2.3390630380999502</v>
      </c>
      <c r="K34" s="2">
        <v>8.5749999999999993</v>
      </c>
      <c r="L34">
        <f t="shared" ref="L34:L65" si="129">BX34/qspawn</f>
        <v>16.771000000000001</v>
      </c>
      <c r="M34" s="25">
        <f t="shared" ref="M34:M65" si="130">$K34/$AP34*AQ34/$AZ34</f>
        <v>2.3290955413551395</v>
      </c>
      <c r="N34" s="25">
        <f t="shared" ref="N34:N65" si="131">$K34/$AP34*AR34/$AZ34</f>
        <v>12.50810568505538</v>
      </c>
      <c r="O34" s="25">
        <f t="shared" ref="O34:O65" si="132">$K34/$AP34*AS34/$AZ34</f>
        <v>13.491501580294218</v>
      </c>
      <c r="P34" s="25">
        <f t="shared" ref="P34:P65" si="133">$K34/$AP34*AT34/$AZ34</f>
        <v>14.45764491596746</v>
      </c>
      <c r="Q34" s="25">
        <f t="shared" ref="Q34:Q65" si="134">$K34/$AP34*AU34/$AZ34</f>
        <v>14.181603962917961</v>
      </c>
      <c r="R34" s="25">
        <f t="shared" ref="R34:R65" si="135">$K34/$AP34*AV34/$AZ34</f>
        <v>3.0882081622412594</v>
      </c>
      <c r="S34" s="25">
        <f t="shared" ref="S34:S65" si="136">$K34/$AP34*AW34/$AZ34</f>
        <v>3.9508361405209409</v>
      </c>
      <c r="T34" s="25">
        <f t="shared" ref="T34:T65" si="137">$K34/$AP34*AX34/$AZ34</f>
        <v>0.6210921443613705</v>
      </c>
      <c r="U34" s="25">
        <f t="shared" ref="U34:U65" si="138">$K34/$AP34*AY34/$AZ34</f>
        <v>0.51757678696780884</v>
      </c>
      <c r="V34">
        <f t="shared" si="8"/>
        <v>65.145664919681536</v>
      </c>
      <c r="W34">
        <f t="shared" ref="W34:W65" si="139">$L34/$AP34*AQ34/$AZ34/spq</f>
        <v>4.5552491340019881</v>
      </c>
      <c r="X34">
        <f t="shared" ref="X34:X65" si="140">$L34/$AP34*AR34/$AZ34/spq</f>
        <v>24.463374978899569</v>
      </c>
      <c r="Y34">
        <f t="shared" ref="Y34:Y65" si="141">$L34/$AP34*AS34/$AZ34/spq</f>
        <v>26.386702391033744</v>
      </c>
      <c r="Z34">
        <f t="shared" ref="Z34:Z65" si="142">$L34/$AP34*AT34/$AZ34/spq</f>
        <v>28.27628721699012</v>
      </c>
      <c r="AA34">
        <f t="shared" ref="AA34:AA65" si="143">$L34/$AP34*AU34/$AZ34/spq</f>
        <v>27.736405838145441</v>
      </c>
      <c r="AB34">
        <f t="shared" ref="AB34:AB65" si="144">$L34/$AP34*AV34/$AZ34/spq</f>
        <v>6.0399229258248592</v>
      </c>
      <c r="AC34">
        <f t="shared" ref="AC34:AC65" si="145">$L34/$AP34*AW34/$AZ34/spq</f>
        <v>7.7270522347144839</v>
      </c>
      <c r="AD34">
        <f t="shared" ref="AD34:AD65" si="146">$L34/$AP34*AX34/$AZ34/spq</f>
        <v>1.2147331024005303</v>
      </c>
      <c r="AE34">
        <f t="shared" ref="AE34:AE65" si="147">$L34/$AP34*AY34/$AZ34/spq</f>
        <v>1.0122775853337751</v>
      </c>
      <c r="AF34">
        <f t="shared" si="17"/>
        <v>127.41200540734449</v>
      </c>
      <c r="AG34" s="2">
        <v>6.1100000000000002E-2</v>
      </c>
      <c r="AH34" s="2">
        <v>9.3799999999999994E-2</v>
      </c>
      <c r="AI34" s="2">
        <v>0.11899999999999999</v>
      </c>
      <c r="AJ34" s="2">
        <v>0.14050000000000001</v>
      </c>
      <c r="AK34" s="2">
        <v>0.15529999999999999</v>
      </c>
      <c r="AL34" s="2">
        <v>0.16600000000000001</v>
      </c>
      <c r="AM34" s="2">
        <v>0.17380000000000001</v>
      </c>
      <c r="AN34" s="2">
        <v>0.19539999999999999</v>
      </c>
      <c r="AO34" s="2">
        <v>0.19239999999999999</v>
      </c>
      <c r="AP34">
        <f t="shared" si="119"/>
        <v>0.13162809851694915</v>
      </c>
      <c r="AQ34" s="2">
        <v>135</v>
      </c>
      <c r="AR34" s="2">
        <v>725</v>
      </c>
      <c r="AS34" s="2">
        <v>782</v>
      </c>
      <c r="AT34" s="2">
        <v>838</v>
      </c>
      <c r="AU34" s="2">
        <v>822</v>
      </c>
      <c r="AV34" s="2">
        <v>179</v>
      </c>
      <c r="AW34" s="2">
        <v>229</v>
      </c>
      <c r="AX34" s="2">
        <v>36</v>
      </c>
      <c r="AY34" s="2">
        <v>30</v>
      </c>
      <c r="AZ34">
        <f t="shared" si="83"/>
        <v>3776</v>
      </c>
      <c r="BA34">
        <f t="shared" ref="BA34:BA65" si="148">D34</f>
        <v>1983</v>
      </c>
      <c r="BB34">
        <f t="shared" si="122"/>
        <v>0.68271305277619387</v>
      </c>
      <c r="BC34">
        <f t="shared" si="123"/>
        <v>0.42970214639130583</v>
      </c>
      <c r="BD34">
        <f t="shared" ref="BD34:BD65" si="149">$J34/$AP34*AQ34/$AZ34</f>
        <v>0.63532376594602935</v>
      </c>
      <c r="BE34">
        <f t="shared" ref="BE34:BE65" si="150">$J34/$AP34*AR34/$AZ34</f>
        <v>3.411923928228676</v>
      </c>
      <c r="BF34">
        <f t="shared" ref="BF34:BF65" si="151">$J34/$AP34*AS34/$AZ34</f>
        <v>3.6801717405169998</v>
      </c>
      <c r="BG34">
        <f t="shared" ref="BG34:BG65" si="152">$J34/$AP34*AT34/$AZ34</f>
        <v>3.9437134508353529</v>
      </c>
      <c r="BH34">
        <f t="shared" ref="BH34:BH65" si="153">$J34/$AP34*AU34/$AZ34</f>
        <v>3.8684158193158233</v>
      </c>
      <c r="BI34">
        <f t="shared" ref="BI34:BI65" si="154">$J34/$AP34*AV34/$AZ34</f>
        <v>0.84239225262473527</v>
      </c>
      <c r="BJ34">
        <f t="shared" ref="BJ34:BJ65" si="155">$J34/$AP34*AW34/$AZ34</f>
        <v>1.0776973511232646</v>
      </c>
      <c r="BK34">
        <f t="shared" ref="BK34:BK65" si="156">$J34/$AP34*AX34/$AZ34</f>
        <v>0.16941967091894117</v>
      </c>
      <c r="BL34">
        <f t="shared" ref="BL34:BL65" si="157">$J34/$AP34*AY34/$AZ34</f>
        <v>0.14118305909911763</v>
      </c>
      <c r="BM34" s="24">
        <f t="shared" ref="BM34:BM65" si="158">(BN35*EXP(Relm*BZ$5)+M34+BD34)+0.0001</f>
        <v>125.17230624956501</v>
      </c>
      <c r="BN34" s="24">
        <f t="shared" ref="BN34:BN65" si="159">(BO35*EXP(Relm*CA$5)+N34+BE34)+0.0001</f>
        <v>67.223772604466959</v>
      </c>
      <c r="BO34" s="24">
        <f t="shared" ref="BO34:BO65" si="160">(BP35*EXP(Relm*CB$5)+O34+BF34)+0.0001</f>
        <v>56.7350562561803</v>
      </c>
      <c r="BP34" s="24">
        <f t="shared" ref="BP34:BP65" si="161">(BQ35*EXP(Relm*CC$5)+P34+BG34)+0.0001</f>
        <v>68.862843300381655</v>
      </c>
      <c r="BQ34" s="24">
        <f t="shared" ref="BQ34:BQ65" si="162">(BR35*EXP(Relm*CD$5)+Q34+BH34)+0.0001</f>
        <v>52.954071445052087</v>
      </c>
      <c r="BR34" s="24">
        <f t="shared" ref="BR34:BR65" si="163">(BS35*EXP(Relm*CE$5)+R34+BI34)+0.0001</f>
        <v>7.1172840234328323</v>
      </c>
      <c r="BS34" s="24">
        <f t="shared" ref="BS34:BS65" si="164">(BT35*EXP(Relm*CF$5)+S34+BJ34)+0.0001</f>
        <v>8.2920257123423511</v>
      </c>
      <c r="BT34" s="24">
        <f t="shared" ref="BT34:BT65" si="165">(BU35*EXP(Relm*CG$5)+T34+BK34)+0.0001</f>
        <v>1.5084639076621305</v>
      </c>
      <c r="BU34" s="23">
        <f t="shared" ref="BU34:BU65" si="166">(U34+BL34)+0.0001</f>
        <v>0.65885984606692649</v>
      </c>
      <c r="BV34">
        <f t="shared" ref="BV34:BV65" si="167">SUMPRODUCT(DD34:DL34,AG34:AO34)</f>
        <v>21.331100035643658</v>
      </c>
      <c r="BW34">
        <v>1.0941241466508351</v>
      </c>
      <c r="BX34" s="2">
        <v>16.771000000000001</v>
      </c>
      <c r="CJ34">
        <v>1983</v>
      </c>
      <c r="CK34">
        <f t="shared" ref="CK34:CK65" si="168">SUM(AS34:AY34)</f>
        <v>2916</v>
      </c>
      <c r="CL34">
        <f t="shared" ref="CL34:CL65" si="169">SUM(BO34:BU34)</f>
        <v>196.1286044911183</v>
      </c>
      <c r="CM34" s="9">
        <f t="shared" ref="CM34:CM65" si="170">AS34/$CK34</f>
        <v>0.26817558299039779</v>
      </c>
      <c r="CN34" s="9">
        <f t="shared" ref="CN34:CN65" si="171">AT34/$CK34</f>
        <v>0.28737997256515774</v>
      </c>
      <c r="CO34" s="9">
        <f t="shared" ref="CO34:CO65" si="172">AU34/$CK34</f>
        <v>0.28189300411522633</v>
      </c>
      <c r="CP34" s="9">
        <f t="shared" ref="CP34:CP65" si="173">AV34/$CK34</f>
        <v>6.1385459533607682E-2</v>
      </c>
      <c r="CQ34" s="27">
        <f t="shared" si="38"/>
        <v>7.8532235939643341E-2</v>
      </c>
      <c r="CR34" s="27">
        <f t="shared" si="39"/>
        <v>1.2345679012345678E-2</v>
      </c>
      <c r="CS34" s="27">
        <f t="shared" si="40"/>
        <v>1.0288065843621399E-2</v>
      </c>
      <c r="CT34" s="29">
        <f t="shared" ref="CT34:CT65" si="174">BO34/$CL34</f>
        <v>0.28927476643902572</v>
      </c>
      <c r="CU34" s="9">
        <f t="shared" ref="CU34:CU65" si="175">BP34/$CL34</f>
        <v>0.35111065761700311</v>
      </c>
      <c r="CV34" s="9">
        <f t="shared" ref="CV34:CV65" si="176">BQ34/$CL34</f>
        <v>0.26999667683583667</v>
      </c>
      <c r="CW34" s="9">
        <f t="shared" ref="CW34:CW65" si="177">BR34/$CL34</f>
        <v>3.6288862819880717E-2</v>
      </c>
      <c r="CX34" s="9">
        <f t="shared" ref="CX34:CX65" si="178">BS34/$CL34</f>
        <v>4.2278512784288208E-2</v>
      </c>
      <c r="CY34" s="9">
        <f t="shared" ref="CY34:CY65" si="179">BT34/$CL34</f>
        <v>7.6911978830219094E-3</v>
      </c>
      <c r="CZ34" s="9">
        <f t="shared" ref="CZ34:CZ65" si="180">BU34/$CL34</f>
        <v>3.3593256209435937E-3</v>
      </c>
      <c r="DA34">
        <f t="shared" ref="DA34:DA65" si="181">SUMPRODUCT(CM34:CS34,LN(CT34:CZ34+0.000001))</f>
        <v>-1.5732107206549022</v>
      </c>
      <c r="DB34">
        <f t="shared" ref="DB34:DB65" si="182">SUMPRODUCT(CM34:CS34,LN(CT34:CZ34+0.001))</f>
        <v>-1.5627423454270479</v>
      </c>
      <c r="DC34">
        <f t="shared" si="124"/>
        <v>100</v>
      </c>
      <c r="DD34">
        <f t="shared" ref="DD34:DD65" si="183">BZ$2*(BM34-BD34-M34)</f>
        <v>7.8553111162221096</v>
      </c>
      <c r="DE34">
        <f t="shared" ref="DE34:DE65" si="184">CA$2*(BN34-BE34-N34)</f>
        <v>33.332530168898749</v>
      </c>
      <c r="DF34">
        <f t="shared" ref="DF34:DF65" si="185">CB$2*(BO34-BF34-O34)</f>
        <v>33.425376759373407</v>
      </c>
      <c r="DG34">
        <f t="shared" ref="DG34:DG65" si="186">CC$2*(BP34-BG34-P34)</f>
        <v>50.461484933578845</v>
      </c>
      <c r="DH34">
        <f t="shared" ref="DH34:DH65" si="187">CD$2*(BQ34-BH34-Q34)</f>
        <v>34.904051662818304</v>
      </c>
      <c r="DI34">
        <f t="shared" ref="DI34:DI65" si="188">CE$2*(BR34-BI34-R34)</f>
        <v>3.1866836085668373</v>
      </c>
      <c r="DJ34">
        <f t="shared" ref="DJ34:DJ65" si="189">CF$2*(BS34-BJ34-S34)</f>
        <v>3.2634922206981458</v>
      </c>
      <c r="DK34">
        <f t="shared" ref="DK34:DK65" si="190">CG$2*(BT34-BK34-T34)</f>
        <v>0.7179520923818189</v>
      </c>
      <c r="DL34">
        <f t="shared" ref="DL34:DL65" si="191">CH$2*(BU34-BL34-U34)</f>
        <v>9.9999999999988987E-5</v>
      </c>
      <c r="DM34">
        <f t="shared" ref="DM34:DM65" si="192">D34</f>
        <v>1983</v>
      </c>
      <c r="DN34" s="9">
        <f t="shared" ref="DN34:DN65" si="193">IF(AND(M34&gt;0,BM34&gt;M34+BD34),M34/(BM34-BD34),"")</f>
        <v>1.8702039305163811E-2</v>
      </c>
      <c r="DO34" s="9">
        <f t="shared" ref="DO34:DO65" si="194">IF(AND(N34&gt;0,BN34&gt;N34+BE34),N34/(BN34-BE34),"")</f>
        <v>0.1960154100615023</v>
      </c>
      <c r="DP34" s="9">
        <f t="shared" ref="DP34:DP65" si="195">IF(AND(O34&gt;0,BO34&gt;O34+BF34),O34/(BO34-BF34),"")</f>
        <v>0.25429329841083992</v>
      </c>
      <c r="DQ34" s="9">
        <f t="shared" ref="DQ34:DQ65" si="196">IF(AND(P34&gt;0,BP34&gt;P34+BG34),P34/(BP34-BG34),"")</f>
        <v>0.2227023829412664</v>
      </c>
      <c r="DR34" s="9">
        <f t="shared" ref="DR34:DR65" si="197">IF(AND(Q34&gt;0,BQ34&gt;Q34+BH34),Q34/(BQ34-BH34),"")</f>
        <v>0.28891544346577613</v>
      </c>
      <c r="DS34" s="9">
        <f t="shared" ref="DS34:DS65" si="198">IF(AND(R34&gt;0,BR34&gt;R34+BI34),R34/(BR34-BI34),"")</f>
        <v>0.4921532155515651</v>
      </c>
      <c r="DT34" s="9">
        <f t="shared" ref="DT34:DT65" si="199">IF(AND(S34&gt;0,BS34&gt;S34+BJ34),S34/(BS34-BJ34),"")</f>
        <v>0.54763741580696823</v>
      </c>
      <c r="DU34" s="9">
        <f t="shared" ref="DU34:DU65" si="200">IF(AND(T34&gt;0,BT34&gt;T34+BK34),T34/(BT34-BK34),"")</f>
        <v>0.46383243160956722</v>
      </c>
      <c r="DV34" s="9">
        <f t="shared" ref="DV34:DV65" si="201">IF(AND(U34&gt;0,BU34&gt;U34+BL34),U34/(BU34-BL34),"")</f>
        <v>0.99980682927549114</v>
      </c>
      <c r="DW34">
        <f t="shared" ref="DW34:DW65" si="202">SUM(O34:U34)/(SUM(BO34:BU34)-SUM(BF34:BL34))</f>
        <v>0.27580546112046272</v>
      </c>
      <c r="DX34">
        <f t="shared" si="96"/>
        <v>1983</v>
      </c>
      <c r="DY34" s="9">
        <f t="shared" si="97"/>
        <v>6.7808807081580505E-2</v>
      </c>
      <c r="DZ34" s="9">
        <f t="shared" si="98"/>
        <v>0.71070169990538812</v>
      </c>
      <c r="EA34" s="9">
        <f t="shared" si="99"/>
        <v>0.92200240480290196</v>
      </c>
      <c r="EB34" s="9">
        <f t="shared" si="100"/>
        <v>0.80746183210635325</v>
      </c>
      <c r="EC34" s="9">
        <f t="shared" si="101"/>
        <v>1.0475334400270899</v>
      </c>
      <c r="ED34" s="9">
        <f t="shared" si="102"/>
        <v>1.7844215758171982</v>
      </c>
      <c r="EE34" s="9">
        <f t="shared" si="103"/>
        <v>1.9855930828279658</v>
      </c>
      <c r="EF34" s="9">
        <f t="shared" si="104"/>
        <v>1.6817376629354721</v>
      </c>
      <c r="EG34" s="9">
        <f t="shared" si="105"/>
        <v>3.6250436275400961</v>
      </c>
      <c r="EI34">
        <f t="shared" ref="EI34:EI65" si="203">CK34</f>
        <v>2916</v>
      </c>
      <c r="EJ34" s="8">
        <f t="shared" ref="EJ34:EJ65" si="204">GAMMALN($EI34*CM34+1)</f>
        <v>4431.8203795742693</v>
      </c>
      <c r="EK34" s="8">
        <f t="shared" ref="EK34:EK65" si="205">GAMMALN($EI34*CN34+1)</f>
        <v>4806.8777152305456</v>
      </c>
      <c r="EL34" s="8">
        <f t="shared" ref="EL34:EL65" si="206">GAMMALN($EI34*CO34+1)</f>
        <v>4699.3255148456583</v>
      </c>
      <c r="EM34" s="8">
        <f t="shared" ref="EM34:EM65" si="207">GAMMALN($EI34*CP34+1)</f>
        <v>753.05515623048416</v>
      </c>
      <c r="EN34" s="8">
        <f t="shared" ref="EN34:EN65" si="208">GAMMALN($EI34*CQ34+1)</f>
        <v>1018.9585022496902</v>
      </c>
      <c r="EO34" s="8">
        <f t="shared" ref="EO34:EO65" si="209">GAMMALN($EI34*CR34+1)</f>
        <v>95.719694542143202</v>
      </c>
      <c r="EP34" s="8">
        <f t="shared" ref="EP34:EP65" si="210">GAMMALN($EI34*CS34+1)</f>
        <v>74.658236348830158</v>
      </c>
      <c r="EQ34">
        <f t="shared" si="108"/>
        <v>15880.415199021623</v>
      </c>
      <c r="ES34" s="8">
        <f t="shared" ref="ES34:ES65" si="211">GAMMALN($EI34*CM34+theta_dm*$EI34*CT34)-GAMMALN(theta_dm*$EI34*CT34)</f>
        <v>4576.7714701138093</v>
      </c>
      <c r="ET34" s="8">
        <f t="shared" ref="ET34:ET65" si="212">GAMMALN($EI34*CN34+theta_dm*$EI34*CU34)-GAMMALN(theta_dm*$EI34*CU34)</f>
        <v>4978.6210644772118</v>
      </c>
      <c r="EU34" s="8">
        <f t="shared" ref="EU34:EU65" si="213">GAMMALN($EI34*CO34+theta_dm*$EI34*CV34)-GAMMALN(theta_dm*$EI34*CV34)</f>
        <v>4838.1638493995451</v>
      </c>
      <c r="EV34" s="8">
        <f t="shared" ref="EV34:EV65" si="214">GAMMALN($EI34*CP34+theta_dm*$EI34*CW34)-GAMMALN(theta_dm*$EI34*CW34)</f>
        <v>769.3402104891137</v>
      </c>
      <c r="EW34" s="8">
        <f t="shared" ref="EW34:EW65" si="215">GAMMALN($EI34*CQ34+theta_dm*$EI34*CX34)-GAMMALN(theta_dm*$EI34*CX34)</f>
        <v>1039.1513087828762</v>
      </c>
      <c r="EX34" s="8">
        <f t="shared" ref="EX34:EX65" si="216">GAMMALN($EI34*CR34+theta_dm*$EI34*CY34)-GAMMALN(theta_dm*$EI34*CY34)</f>
        <v>95.65183698666641</v>
      </c>
      <c r="EY34" s="8">
        <f t="shared" ref="EY34:EY65" si="217">GAMMALN($EI34*CS34+theta_dm*$EI34*CZ34)-GAMMALN(theta_dm*$EI34*CZ34)</f>
        <v>71.990754464161228</v>
      </c>
      <c r="EZ34">
        <f t="shared" si="110"/>
        <v>16369.690494713383</v>
      </c>
      <c r="FB34">
        <f t="shared" si="111"/>
        <v>20352.662910720577</v>
      </c>
      <c r="FC34">
        <f t="shared" ref="FC34:FC65" si="218">GAMMALN(theta_dm*$EI34)</f>
        <v>491.12668922078512</v>
      </c>
      <c r="FD34">
        <f t="shared" ref="FD34:FD65" si="219">GAMMALN($EI34+theta_dm*$EI34)</f>
        <v>21367.906396394614</v>
      </c>
      <c r="FE34">
        <f t="shared" ref="FE34:FE65" si="220">FB34-EQ34+FC34-FD34+EZ34</f>
        <v>-34.841500761491261</v>
      </c>
      <c r="FG34">
        <f t="shared" ref="FG34:FG65" si="221">(1+theta_dm*$EI34)/(1+theta_dm)</f>
        <v>123.49479970450636</v>
      </c>
      <c r="FJ34">
        <v>23.582078137518415</v>
      </c>
    </row>
    <row r="35" spans="4:166" x14ac:dyDescent="0.3">
      <c r="D35">
        <v>1984</v>
      </c>
      <c r="E35">
        <f t="shared" si="78"/>
        <v>33.060539614052445</v>
      </c>
      <c r="F35">
        <f t="shared" si="125"/>
        <v>8.9388645960670088E-2</v>
      </c>
      <c r="G35">
        <f t="shared" si="126"/>
        <v>0.40740875226710477</v>
      </c>
      <c r="H35">
        <f t="shared" si="127"/>
        <v>0.21446042461598672</v>
      </c>
      <c r="I35" s="2">
        <v>2.397539614052449</v>
      </c>
      <c r="J35">
        <f t="shared" si="128"/>
        <v>2.397539614052449</v>
      </c>
      <c r="K35" s="2">
        <v>6.5759999999999996</v>
      </c>
      <c r="L35">
        <f t="shared" si="129"/>
        <v>24.087</v>
      </c>
      <c r="M35" s="25">
        <f t="shared" si="130"/>
        <v>11.994567374860358</v>
      </c>
      <c r="N35" s="25">
        <f t="shared" si="131"/>
        <v>17.291044878590832</v>
      </c>
      <c r="O35" s="25">
        <f t="shared" si="132"/>
        <v>6.4015949472569327</v>
      </c>
      <c r="P35" s="25">
        <f t="shared" si="133"/>
        <v>5.3234315877189227</v>
      </c>
      <c r="Q35" s="25">
        <f t="shared" si="134"/>
        <v>6.886768459049037</v>
      </c>
      <c r="R35" s="25">
        <f t="shared" si="135"/>
        <v>5.1751841257824465</v>
      </c>
      <c r="S35" s="25">
        <f t="shared" si="136"/>
        <v>0.90296181361308303</v>
      </c>
      <c r="T35" s="25">
        <f t="shared" si="137"/>
        <v>0.71428322569393132</v>
      </c>
      <c r="U35" s="25">
        <f t="shared" si="138"/>
        <v>0.1347704199422512</v>
      </c>
      <c r="V35">
        <f t="shared" si="8"/>
        <v>54.82460683250779</v>
      </c>
      <c r="W35">
        <f t="shared" si="139"/>
        <v>43.934480589759957</v>
      </c>
      <c r="X35">
        <f t="shared" si="140"/>
        <v>63.334762468159568</v>
      </c>
      <c r="Y35">
        <f t="shared" si="141"/>
        <v>23.448177842849411</v>
      </c>
      <c r="Z35">
        <f t="shared" si="142"/>
        <v>19.499011048264251</v>
      </c>
      <c r="AA35">
        <f t="shared" si="143"/>
        <v>25.225302900412736</v>
      </c>
      <c r="AB35">
        <f t="shared" si="144"/>
        <v>18.956000614008786</v>
      </c>
      <c r="AC35">
        <f t="shared" si="145"/>
        <v>3.3074271904650749</v>
      </c>
      <c r="AD35">
        <f t="shared" si="146"/>
        <v>2.6163230014126713</v>
      </c>
      <c r="AE35">
        <f t="shared" si="147"/>
        <v>0.49364584932314554</v>
      </c>
      <c r="AF35">
        <f t="shared" si="17"/>
        <v>200.81513150465557</v>
      </c>
      <c r="AG35" s="2">
        <v>6.8400000000000002E-2</v>
      </c>
      <c r="AH35" s="2">
        <v>0.1003</v>
      </c>
      <c r="AI35" s="2">
        <v>0.1298</v>
      </c>
      <c r="AJ35" s="2">
        <v>0.15310000000000001</v>
      </c>
      <c r="AK35" s="2">
        <v>0.16550000000000001</v>
      </c>
      <c r="AL35" s="2">
        <v>0.17510000000000001</v>
      </c>
      <c r="AM35" s="2">
        <v>0.18490000000000001</v>
      </c>
      <c r="AN35" s="2">
        <v>0.18909999999999999</v>
      </c>
      <c r="AO35" s="2">
        <v>0.2031</v>
      </c>
      <c r="AP35">
        <f t="shared" si="119"/>
        <v>0.11994614060963618</v>
      </c>
      <c r="AQ35" s="2">
        <v>890</v>
      </c>
      <c r="AR35" s="2">
        <v>1283</v>
      </c>
      <c r="AS35" s="2">
        <v>475</v>
      </c>
      <c r="AT35" s="2">
        <v>395</v>
      </c>
      <c r="AU35" s="2">
        <v>511</v>
      </c>
      <c r="AV35" s="2">
        <v>384</v>
      </c>
      <c r="AW35" s="2">
        <v>67</v>
      </c>
      <c r="AX35" s="2">
        <v>53</v>
      </c>
      <c r="AY35" s="2">
        <v>10</v>
      </c>
      <c r="AZ35">
        <f t="shared" si="83"/>
        <v>4068</v>
      </c>
      <c r="BA35">
        <f t="shared" si="148"/>
        <v>1984</v>
      </c>
      <c r="BB35">
        <f t="shared" ref="BB35:BB66" si="222">-LN((SUM(Z35:AE35)+SUM(P35:U35))/SUM(Y34:AD34))</f>
        <v>8.7357610084767556E-2</v>
      </c>
      <c r="BC35">
        <f t="shared" si="123"/>
        <v>0.62638107516590824</v>
      </c>
      <c r="BD35">
        <f t="shared" si="149"/>
        <v>4.3730916111083946</v>
      </c>
      <c r="BE35">
        <f t="shared" si="150"/>
        <v>6.3041309405079442</v>
      </c>
      <c r="BF35">
        <f t="shared" si="151"/>
        <v>2.3339533879511092</v>
      </c>
      <c r="BG35">
        <f t="shared" si="152"/>
        <v>1.9408665015593434</v>
      </c>
      <c r="BH35">
        <f t="shared" si="153"/>
        <v>2.5108424868274035</v>
      </c>
      <c r="BI35">
        <f t="shared" si="154"/>
        <v>1.8868170546804757</v>
      </c>
      <c r="BJ35">
        <f t="shared" si="155"/>
        <v>0.32921026735310382</v>
      </c>
      <c r="BK35">
        <f t="shared" si="156"/>
        <v>0.26042006223454484</v>
      </c>
      <c r="BL35">
        <f t="shared" si="157"/>
        <v>4.9135860798970719E-2</v>
      </c>
      <c r="BM35" s="24">
        <f t="shared" si="158"/>
        <v>252.47854242682251</v>
      </c>
      <c r="BN35" s="24">
        <f t="shared" si="159"/>
        <v>88.588302787863086</v>
      </c>
      <c r="BO35" s="24">
        <f t="shared" si="160"/>
        <v>37.189959601924102</v>
      </c>
      <c r="BP35" s="24">
        <f t="shared" si="161"/>
        <v>28.679384314652633</v>
      </c>
      <c r="BQ35" s="24">
        <f t="shared" si="162"/>
        <v>32.848085465680199</v>
      </c>
      <c r="BR35" s="24">
        <f t="shared" si="163"/>
        <v>19.682142625048456</v>
      </c>
      <c r="BS35" s="24">
        <f t="shared" si="164"/>
        <v>1.4836025528524213</v>
      </c>
      <c r="BT35" s="24">
        <f t="shared" si="165"/>
        <v>1.1766032768731565</v>
      </c>
      <c r="BU35" s="23">
        <f t="shared" si="166"/>
        <v>0.18400628074122191</v>
      </c>
      <c r="BV35">
        <f t="shared" si="167"/>
        <v>17.847983279440502</v>
      </c>
      <c r="BW35">
        <v>1.0670764268491366</v>
      </c>
      <c r="BX35" s="2">
        <v>24.087</v>
      </c>
      <c r="CJ35">
        <v>1984</v>
      </c>
      <c r="CK35">
        <f t="shared" si="168"/>
        <v>1895</v>
      </c>
      <c r="CL35">
        <f t="shared" si="169"/>
        <v>121.24378411777218</v>
      </c>
      <c r="CM35" s="9">
        <f t="shared" si="170"/>
        <v>0.25065963060686014</v>
      </c>
      <c r="CN35" s="9">
        <f t="shared" si="171"/>
        <v>0.20844327176781002</v>
      </c>
      <c r="CO35" s="9">
        <f t="shared" si="172"/>
        <v>0.26965699208443272</v>
      </c>
      <c r="CP35" s="9">
        <f t="shared" si="173"/>
        <v>0.20263852242744063</v>
      </c>
      <c r="CQ35" s="27">
        <f t="shared" si="38"/>
        <v>3.5356200527704489E-2</v>
      </c>
      <c r="CR35" s="27">
        <f t="shared" si="39"/>
        <v>2.7968337730870714E-2</v>
      </c>
      <c r="CS35" s="27">
        <f t="shared" si="40"/>
        <v>5.2770448548812663E-3</v>
      </c>
      <c r="CT35" s="29">
        <f t="shared" si="174"/>
        <v>0.30673704118141853</v>
      </c>
      <c r="CU35" s="9">
        <f t="shared" si="175"/>
        <v>0.23654313104244942</v>
      </c>
      <c r="CV35" s="9">
        <f t="shared" si="176"/>
        <v>0.27092593409797128</v>
      </c>
      <c r="CW35" s="9">
        <f t="shared" si="177"/>
        <v>0.16233527160394365</v>
      </c>
      <c r="CX35" s="9">
        <f t="shared" si="178"/>
        <v>1.2236524648647547E-2</v>
      </c>
      <c r="CY35" s="9">
        <f t="shared" si="179"/>
        <v>9.7044420498311329E-3</v>
      </c>
      <c r="CZ35" s="9">
        <f t="shared" si="180"/>
        <v>1.5176553757385561E-3</v>
      </c>
      <c r="DA35">
        <f t="shared" si="181"/>
        <v>-1.6368416953794587</v>
      </c>
      <c r="DB35">
        <f t="shared" si="182"/>
        <v>-1.6247303274295242</v>
      </c>
      <c r="DC35">
        <f t="shared" si="124"/>
        <v>100</v>
      </c>
      <c r="DD35">
        <f t="shared" si="183"/>
        <v>15.176798271867765</v>
      </c>
      <c r="DE35">
        <f t="shared" si="184"/>
        <v>42.22665324496343</v>
      </c>
      <c r="DF35">
        <f t="shared" si="185"/>
        <v>24.039891093485707</v>
      </c>
      <c r="DG35">
        <f t="shared" si="186"/>
        <v>21.415086225374367</v>
      </c>
      <c r="DH35">
        <f t="shared" si="187"/>
        <v>23.450474519803759</v>
      </c>
      <c r="DI35">
        <f t="shared" si="188"/>
        <v>12.620141444585535</v>
      </c>
      <c r="DJ35">
        <f t="shared" si="189"/>
        <v>0.25143047188623435</v>
      </c>
      <c r="DK35">
        <f t="shared" si="190"/>
        <v>0.20189998894468031</v>
      </c>
      <c r="DL35">
        <f t="shared" si="191"/>
        <v>9.9999999999988987E-5</v>
      </c>
      <c r="DM35">
        <f t="shared" si="192"/>
        <v>1984</v>
      </c>
      <c r="DN35" s="9">
        <f t="shared" si="193"/>
        <v>4.8344634652019769E-2</v>
      </c>
      <c r="DO35" s="9">
        <f t="shared" si="194"/>
        <v>0.21013816497621612</v>
      </c>
      <c r="DP35" s="9">
        <f t="shared" si="195"/>
        <v>0.1836583029036378</v>
      </c>
      <c r="DQ35" s="9">
        <f t="shared" si="196"/>
        <v>0.19909224680779242</v>
      </c>
      <c r="DR35" s="9">
        <f t="shared" si="197"/>
        <v>0.22700706401862561</v>
      </c>
      <c r="DS35" s="9">
        <f t="shared" si="198"/>
        <v>0.29081705222634097</v>
      </c>
      <c r="DT35" s="9">
        <f t="shared" si="199"/>
        <v>0.78219668041398827</v>
      </c>
      <c r="DU35" s="9">
        <f t="shared" si="200"/>
        <v>0.77962924258078692</v>
      </c>
      <c r="DV35" s="9">
        <f t="shared" si="201"/>
        <v>0.99925854757445842</v>
      </c>
      <c r="DW35">
        <f t="shared" si="202"/>
        <v>0.22816416854412241</v>
      </c>
      <c r="DX35">
        <f t="shared" si="96"/>
        <v>1984</v>
      </c>
      <c r="DY35" s="9">
        <f t="shared" ref="DY35:DY66" si="223">IF(AND($DW35&gt;0,DN35&lt;&gt;""),DN35/$DW35,"")</f>
        <v>0.21188530592028904</v>
      </c>
      <c r="DZ35" s="9">
        <f t="shared" ref="DZ35:DZ66" si="224">IF(AND($DW35&gt;0,DO35&lt;&gt;""),DO35/$DW35,"")</f>
        <v>0.92099546706686142</v>
      </c>
      <c r="EA35" s="9">
        <f t="shared" si="99"/>
        <v>0.80493928593403097</v>
      </c>
      <c r="EB35" s="9">
        <f t="shared" si="100"/>
        <v>0.87258331611912121</v>
      </c>
      <c r="EC35" s="9">
        <f t="shared" si="101"/>
        <v>0.99492863172653223</v>
      </c>
      <c r="ED35" s="9">
        <f t="shared" si="102"/>
        <v>1.2745956303393131</v>
      </c>
      <c r="EE35" s="9">
        <f t="shared" si="103"/>
        <v>3.4282187488292095</v>
      </c>
      <c r="EF35" s="9">
        <f t="shared" si="104"/>
        <v>3.4169661588647831</v>
      </c>
      <c r="EG35" s="9">
        <f t="shared" si="105"/>
        <v>4.3795594810112428</v>
      </c>
      <c r="EI35">
        <f t="shared" si="203"/>
        <v>1895</v>
      </c>
      <c r="EJ35" s="8">
        <f t="shared" si="204"/>
        <v>2456.5753032902467</v>
      </c>
      <c r="EK35" s="8">
        <f t="shared" si="205"/>
        <v>1970.5684695220173</v>
      </c>
      <c r="EL35" s="8">
        <f t="shared" si="206"/>
        <v>2679.8221470013091</v>
      </c>
      <c r="EM35" s="8">
        <f t="shared" si="207"/>
        <v>1904.9412170170256</v>
      </c>
      <c r="EN35" s="8">
        <f t="shared" si="208"/>
        <v>217.73693411395425</v>
      </c>
      <c r="EO35" s="8">
        <f t="shared" si="209"/>
        <v>160.33112821663093</v>
      </c>
      <c r="EP35" s="8">
        <f t="shared" si="210"/>
        <v>15.104412573075518</v>
      </c>
      <c r="EQ35">
        <f t="shared" si="108"/>
        <v>9405.0796117342579</v>
      </c>
      <c r="ES35" s="8">
        <f t="shared" si="211"/>
        <v>2551.8265111684536</v>
      </c>
      <c r="ET35" s="8">
        <f t="shared" si="212"/>
        <v>2044.2669403392936</v>
      </c>
      <c r="EU35" s="8">
        <f t="shared" si="213"/>
        <v>2767.5170297249492</v>
      </c>
      <c r="EV35" s="8">
        <f t="shared" si="214"/>
        <v>1958.2614848299984</v>
      </c>
      <c r="EW35" s="8">
        <f t="shared" si="215"/>
        <v>217.818900264256</v>
      </c>
      <c r="EX35" s="8">
        <f t="shared" si="216"/>
        <v>159.41647826259489</v>
      </c>
      <c r="EY35" s="8">
        <f t="shared" si="217"/>
        <v>11.076962350102319</v>
      </c>
      <c r="EZ35">
        <f t="shared" si="110"/>
        <v>9710.1843069396473</v>
      </c>
      <c r="FB35">
        <f t="shared" si="111"/>
        <v>12411.208422261154</v>
      </c>
      <c r="FC35">
        <f t="shared" si="218"/>
        <v>283.0270164426417</v>
      </c>
      <c r="FD35">
        <f t="shared" si="219"/>
        <v>13032.781041964792</v>
      </c>
      <c r="FE35">
        <f t="shared" si="220"/>
        <v>-33.440908055606997</v>
      </c>
      <c r="FG35">
        <f t="shared" si="221"/>
        <v>80.590103135620936</v>
      </c>
      <c r="FJ35">
        <v>19.486706812932781</v>
      </c>
    </row>
    <row r="36" spans="4:166" x14ac:dyDescent="0.3">
      <c r="D36">
        <v>1985</v>
      </c>
      <c r="E36">
        <f t="shared" si="78"/>
        <v>32.253254477981194</v>
      </c>
      <c r="F36">
        <f t="shared" si="125"/>
        <v>8.6580501385818368E-2</v>
      </c>
      <c r="G36">
        <f t="shared" si="126"/>
        <v>0.40283374374207259</v>
      </c>
      <c r="H36">
        <f t="shared" si="127"/>
        <v>5.9795753829615696E-3</v>
      </c>
      <c r="I36" s="2">
        <v>2.4852544779811971</v>
      </c>
      <c r="J36">
        <f t="shared" si="128"/>
        <v>2.4852544779811971</v>
      </c>
      <c r="K36" s="2">
        <v>0.17799999999999999</v>
      </c>
      <c r="L36">
        <f t="shared" si="129"/>
        <v>29.59</v>
      </c>
      <c r="M36" s="25">
        <f t="shared" si="130"/>
        <v>0.38390659344121625</v>
      </c>
      <c r="N36" s="25">
        <f t="shared" si="131"/>
        <v>0.86417221232783725</v>
      </c>
      <c r="O36" s="25">
        <f t="shared" si="132"/>
        <v>0.22738690660661676</v>
      </c>
      <c r="P36" s="25">
        <f t="shared" si="133"/>
        <v>5.8121316935323568E-2</v>
      </c>
      <c r="Q36" s="25">
        <f t="shared" si="134"/>
        <v>4.2316397417823295E-2</v>
      </c>
      <c r="R36" s="25">
        <f t="shared" si="135"/>
        <v>5.0473775233307309E-2</v>
      </c>
      <c r="S36" s="25">
        <f t="shared" si="136"/>
        <v>2.7021314013790782E-2</v>
      </c>
      <c r="T36" s="25">
        <f t="shared" si="137"/>
        <v>2.0393444538710022E-3</v>
      </c>
      <c r="U36" s="25">
        <f t="shared" si="138"/>
        <v>3.568852794274254E-3</v>
      </c>
      <c r="V36">
        <f t="shared" si="8"/>
        <v>1.6590067132240607</v>
      </c>
      <c r="W36">
        <f t="shared" si="139"/>
        <v>63.819079213065109</v>
      </c>
      <c r="X36">
        <f t="shared" si="140"/>
        <v>143.65649304932984</v>
      </c>
      <c r="Y36">
        <f t="shared" si="141"/>
        <v>37.799879587021302</v>
      </c>
      <c r="Z36">
        <f t="shared" si="142"/>
        <v>9.6618526298664307</v>
      </c>
      <c r="AA36">
        <f t="shared" si="143"/>
        <v>7.0345067392887168</v>
      </c>
      <c r="AB36">
        <f t="shared" si="144"/>
        <v>8.3905562311997954</v>
      </c>
      <c r="AC36">
        <f t="shared" si="145"/>
        <v>4.4919139419554464</v>
      </c>
      <c r="AD36">
        <f t="shared" si="146"/>
        <v>0.33901237297776948</v>
      </c>
      <c r="AE36">
        <f t="shared" si="147"/>
        <v>0.59327165271109661</v>
      </c>
      <c r="AF36">
        <f t="shared" si="17"/>
        <v>275.78656541741555</v>
      </c>
      <c r="AG36" s="2">
        <v>6.9000000000000006E-2</v>
      </c>
      <c r="AH36" s="2">
        <v>0.1014</v>
      </c>
      <c r="AI36" s="2">
        <v>0.13519999999999999</v>
      </c>
      <c r="AJ36" s="2">
        <v>0.16070000000000001</v>
      </c>
      <c r="AK36" s="2">
        <v>0.18190000000000001</v>
      </c>
      <c r="AL36" s="2">
        <v>0.18629999999999999</v>
      </c>
      <c r="AM36" s="2">
        <v>0.20710000000000001</v>
      </c>
      <c r="AN36" s="2">
        <v>0.18479999999999999</v>
      </c>
      <c r="AO36" s="2">
        <v>0.20369999999999999</v>
      </c>
      <c r="AP36">
        <f t="shared" si="119"/>
        <v>0.10729311616472033</v>
      </c>
      <c r="AQ36" s="2">
        <v>753</v>
      </c>
      <c r="AR36" s="2">
        <v>1695</v>
      </c>
      <c r="AS36" s="2">
        <v>446</v>
      </c>
      <c r="AT36" s="2">
        <v>114</v>
      </c>
      <c r="AU36" s="2">
        <v>83</v>
      </c>
      <c r="AV36" s="2">
        <v>99</v>
      </c>
      <c r="AW36" s="2">
        <v>53</v>
      </c>
      <c r="AX36" s="2">
        <v>4</v>
      </c>
      <c r="AY36" s="2">
        <v>7</v>
      </c>
      <c r="AZ36">
        <f t="shared" si="83"/>
        <v>3254</v>
      </c>
      <c r="BA36">
        <f t="shared" si="148"/>
        <v>1985</v>
      </c>
      <c r="BB36">
        <f t="shared" si="222"/>
        <v>1.1090725626367632</v>
      </c>
      <c r="BC36">
        <f t="shared" si="123"/>
        <v>0.48333725755258694</v>
      </c>
      <c r="BD36">
        <f t="shared" si="149"/>
        <v>5.3601437105409522</v>
      </c>
      <c r="BE36">
        <f t="shared" si="150"/>
        <v>12.065662137273458</v>
      </c>
      <c r="BF36">
        <f t="shared" si="151"/>
        <v>3.1747995948223973</v>
      </c>
      <c r="BG36">
        <f t="shared" si="152"/>
        <v>0.81149586055998491</v>
      </c>
      <c r="BH36">
        <f t="shared" si="153"/>
        <v>0.59082593356560298</v>
      </c>
      <c r="BI36">
        <f t="shared" si="154"/>
        <v>0.70472008943367104</v>
      </c>
      <c r="BJ36">
        <f t="shared" si="155"/>
        <v>0.37727439131297541</v>
      </c>
      <c r="BK36">
        <f t="shared" si="156"/>
        <v>2.8473538967017011E-2</v>
      </c>
      <c r="BL36">
        <f t="shared" si="157"/>
        <v>4.9828693192279769E-2</v>
      </c>
      <c r="BM36" s="24">
        <f t="shared" si="158"/>
        <v>302.56554781701601</v>
      </c>
      <c r="BN36" s="24">
        <f t="shared" si="159"/>
        <v>172.52315362691942</v>
      </c>
      <c r="BO36" s="24">
        <f t="shared" si="160"/>
        <v>47.489580158118756</v>
      </c>
      <c r="BP36" s="24">
        <f t="shared" si="161"/>
        <v>20.79120420709442</v>
      </c>
      <c r="BQ36" s="24">
        <f t="shared" si="162"/>
        <v>14.088925833602568</v>
      </c>
      <c r="BR36" s="24">
        <f t="shared" si="163"/>
        <v>13.41214286621326</v>
      </c>
      <c r="BS36" s="24">
        <f t="shared" si="164"/>
        <v>5.9877072859985256</v>
      </c>
      <c r="BT36" s="24">
        <f t="shared" si="165"/>
        <v>9.2930494682400486E-2</v>
      </c>
      <c r="BU36" s="23">
        <f t="shared" si="166"/>
        <v>5.3497545986554026E-2</v>
      </c>
      <c r="BV36">
        <f t="shared" si="167"/>
        <v>26.041297219016421</v>
      </c>
      <c r="BW36">
        <v>1.0619889515665961</v>
      </c>
      <c r="BX36" s="2">
        <v>29.59</v>
      </c>
      <c r="CJ36">
        <v>1985</v>
      </c>
      <c r="CK36">
        <f t="shared" si="168"/>
        <v>806</v>
      </c>
      <c r="CL36">
        <f t="shared" si="169"/>
        <v>101.9159883916965</v>
      </c>
      <c r="CM36" s="9">
        <f t="shared" si="170"/>
        <v>0.5533498759305211</v>
      </c>
      <c r="CN36" s="9">
        <f t="shared" si="171"/>
        <v>0.14143920595533499</v>
      </c>
      <c r="CO36" s="9">
        <f t="shared" si="172"/>
        <v>0.10297766749379653</v>
      </c>
      <c r="CP36" s="9">
        <f t="shared" si="173"/>
        <v>0.12282878411910669</v>
      </c>
      <c r="CQ36" s="27">
        <f t="shared" si="38"/>
        <v>6.5756823821339946E-2</v>
      </c>
      <c r="CR36" s="27">
        <f t="shared" si="39"/>
        <v>4.9627791563275434E-3</v>
      </c>
      <c r="CS36" s="27">
        <f t="shared" si="40"/>
        <v>8.6848635235732014E-3</v>
      </c>
      <c r="CT36" s="29">
        <f t="shared" si="174"/>
        <v>0.46596791050684566</v>
      </c>
      <c r="CU36" s="9">
        <f t="shared" si="175"/>
        <v>0.20400336134882996</v>
      </c>
      <c r="CV36" s="9">
        <f t="shared" si="176"/>
        <v>0.1382405847790458</v>
      </c>
      <c r="CW36" s="9">
        <f t="shared" si="177"/>
        <v>0.13159998816540938</v>
      </c>
      <c r="CX36" s="9">
        <f t="shared" si="178"/>
        <v>5.8751402802333687E-2</v>
      </c>
      <c r="CY36" s="9">
        <f t="shared" si="179"/>
        <v>9.1183430734379162E-4</v>
      </c>
      <c r="CZ36" s="9">
        <f t="shared" si="180"/>
        <v>5.2491809019155505E-4</v>
      </c>
      <c r="DA36">
        <f t="shared" si="181"/>
        <v>-1.3869443760996942</v>
      </c>
      <c r="DB36">
        <f t="shared" si="182"/>
        <v>-1.3693750186904023</v>
      </c>
      <c r="DC36">
        <f t="shared" si="124"/>
        <v>100</v>
      </c>
      <c r="DD36">
        <f t="shared" si="183"/>
        <v>19.079171298079853</v>
      </c>
      <c r="DE36">
        <f t="shared" si="184"/>
        <v>103.68929866345495</v>
      </c>
      <c r="DF36">
        <f t="shared" si="185"/>
        <v>37.247516111577333</v>
      </c>
      <c r="DG36">
        <f t="shared" si="186"/>
        <v>19.921587029599113</v>
      </c>
      <c r="DH36">
        <f t="shared" si="187"/>
        <v>13.455783502619143</v>
      </c>
      <c r="DI36">
        <f t="shared" si="188"/>
        <v>12.656949001546282</v>
      </c>
      <c r="DJ36">
        <f t="shared" si="189"/>
        <v>5.5834115806717595</v>
      </c>
      <c r="DK36">
        <f t="shared" si="190"/>
        <v>6.2417611261512469E-2</v>
      </c>
      <c r="DL36">
        <f t="shared" si="191"/>
        <v>1.0000000000000373E-4</v>
      </c>
      <c r="DM36">
        <f t="shared" si="192"/>
        <v>1985</v>
      </c>
      <c r="DN36" s="9">
        <f t="shared" si="193"/>
        <v>1.2917214429374244E-3</v>
      </c>
      <c r="DO36" s="9">
        <f t="shared" si="194"/>
        <v>5.3856769435012683E-3</v>
      </c>
      <c r="DP36" s="9">
        <f t="shared" si="195"/>
        <v>5.1311752809388737E-3</v>
      </c>
      <c r="DQ36" s="9">
        <f t="shared" si="196"/>
        <v>2.9090172853001106E-3</v>
      </c>
      <c r="DR36" s="9">
        <f t="shared" si="197"/>
        <v>3.1349892007916914E-3</v>
      </c>
      <c r="DS36" s="9">
        <f t="shared" si="198"/>
        <v>3.9719914981925829E-3</v>
      </c>
      <c r="DT36" s="9">
        <f t="shared" si="199"/>
        <v>4.8162618680256501E-3</v>
      </c>
      <c r="DU36" s="9">
        <f t="shared" si="200"/>
        <v>3.1638857765420136E-2</v>
      </c>
      <c r="DV36" s="9">
        <f t="shared" si="201"/>
        <v>0.97274352349157556</v>
      </c>
      <c r="DW36">
        <f t="shared" si="202"/>
        <v>4.2725516319970201E-3</v>
      </c>
      <c r="DX36">
        <f t="shared" si="96"/>
        <v>1985</v>
      </c>
      <c r="DY36" s="9">
        <f t="shared" si="223"/>
        <v>0.30233021252774533</v>
      </c>
      <c r="DZ36" s="9">
        <f t="shared" si="224"/>
        <v>1.2605293996140583</v>
      </c>
      <c r="EA36" s="9">
        <f t="shared" si="99"/>
        <v>1.2009627320853526</v>
      </c>
      <c r="EB36" s="9">
        <f t="shared" si="100"/>
        <v>0.68086182119241379</v>
      </c>
      <c r="EC36" s="9">
        <f t="shared" si="101"/>
        <v>0.73375103938214448</v>
      </c>
      <c r="ED36" s="9">
        <f t="shared" si="102"/>
        <v>0.92965324712437625</v>
      </c>
      <c r="EE36" s="9">
        <f t="shared" si="103"/>
        <v>1.1272565630235569</v>
      </c>
      <c r="EF36" s="9">
        <f t="shared" si="104"/>
        <v>7.4051434577121578</v>
      </c>
      <c r="EG36" s="9">
        <f t="shared" si="105"/>
        <v>227.67273687384522</v>
      </c>
      <c r="EI36">
        <f t="shared" si="203"/>
        <v>806</v>
      </c>
      <c r="EJ36" s="8">
        <f t="shared" si="204"/>
        <v>2278.7115374561708</v>
      </c>
      <c r="EK36" s="8">
        <f t="shared" si="205"/>
        <v>429.21439186665157</v>
      </c>
      <c r="EL36" s="8">
        <f t="shared" si="206"/>
        <v>286.89313329542699</v>
      </c>
      <c r="EM36" s="8">
        <f t="shared" si="207"/>
        <v>359.1342053695754</v>
      </c>
      <c r="EN36" s="8">
        <f t="shared" si="208"/>
        <v>160.33112821663093</v>
      </c>
      <c r="EO36" s="8">
        <f t="shared" si="209"/>
        <v>3.1780538303479458</v>
      </c>
      <c r="EP36" s="8">
        <f t="shared" si="210"/>
        <v>8.5251613610654129</v>
      </c>
      <c r="EQ36">
        <f t="shared" si="108"/>
        <v>3525.987611395869</v>
      </c>
      <c r="ES36" s="8">
        <f t="shared" si="211"/>
        <v>2344.1866173652838</v>
      </c>
      <c r="ET36" s="8">
        <f t="shared" si="212"/>
        <v>451.85064313096046</v>
      </c>
      <c r="EU36" s="8">
        <f t="shared" si="213"/>
        <v>301.17409342207429</v>
      </c>
      <c r="EV36" s="8">
        <f t="shared" si="214"/>
        <v>373.33510234248524</v>
      </c>
      <c r="EW36" s="8">
        <f t="shared" si="215"/>
        <v>164.59427544476705</v>
      </c>
      <c r="EX36" s="8">
        <f t="shared" si="216"/>
        <v>-1.5844255983420714</v>
      </c>
      <c r="EY36" s="8">
        <f t="shared" si="217"/>
        <v>2.6376555749498762</v>
      </c>
      <c r="EZ36">
        <f t="shared" si="110"/>
        <v>3636.1939616821787</v>
      </c>
      <c r="FB36">
        <f t="shared" si="111"/>
        <v>4592.0845802560279</v>
      </c>
      <c r="FC36">
        <f t="shared" si="218"/>
        <v>89.841973414166731</v>
      </c>
      <c r="FD36">
        <f t="shared" si="219"/>
        <v>4822.7382817612934</v>
      </c>
      <c r="FE36">
        <f t="shared" si="220"/>
        <v>-30.605377804788986</v>
      </c>
      <c r="FG36">
        <f t="shared" si="221"/>
        <v>34.827894944126115</v>
      </c>
      <c r="FJ36">
        <v>25.725547052439548</v>
      </c>
    </row>
    <row r="37" spans="4:166" x14ac:dyDescent="0.3">
      <c r="D37">
        <v>1986</v>
      </c>
      <c r="E37">
        <f t="shared" si="78"/>
        <v>42.29096934190995</v>
      </c>
      <c r="F37">
        <f t="shared" si="125"/>
        <v>6.550495734348076E-2</v>
      </c>
      <c r="G37">
        <f t="shared" si="126"/>
        <v>0.38105545986878825</v>
      </c>
      <c r="H37">
        <f t="shared" si="127"/>
        <v>5.1362102824915653E-3</v>
      </c>
      <c r="I37" s="2">
        <v>2.5729693419099458</v>
      </c>
      <c r="J37">
        <f t="shared" si="128"/>
        <v>2.5729693419099458</v>
      </c>
      <c r="K37" s="2">
        <v>0.20400000000000001</v>
      </c>
      <c r="L37">
        <f t="shared" si="129"/>
        <v>39.514000000000003</v>
      </c>
      <c r="M37" s="25">
        <f t="shared" si="130"/>
        <v>6.353161009031455E-2</v>
      </c>
      <c r="N37" s="25">
        <f t="shared" si="131"/>
        <v>0.84735790782878129</v>
      </c>
      <c r="O37" s="25">
        <f t="shared" si="132"/>
        <v>0.49894570217425371</v>
      </c>
      <c r="P37" s="25">
        <f t="shared" si="133"/>
        <v>0.13920301828705861</v>
      </c>
      <c r="Q37" s="25">
        <f t="shared" si="134"/>
        <v>5.260579179452797E-2</v>
      </c>
      <c r="R37" s="25">
        <f t="shared" si="135"/>
        <v>3.7633374129931549E-2</v>
      </c>
      <c r="S37" s="25">
        <f t="shared" si="136"/>
        <v>2.9540175392311858E-2</v>
      </c>
      <c r="T37" s="25">
        <f t="shared" si="137"/>
        <v>9.7118384851436253E-3</v>
      </c>
      <c r="U37" s="25">
        <f t="shared" si="138"/>
        <v>1.2139798106429532E-3</v>
      </c>
      <c r="V37">
        <f t="shared" si="8"/>
        <v>1.6797433979929661</v>
      </c>
      <c r="W37">
        <f t="shared" si="139"/>
        <v>12.305823730924947</v>
      </c>
      <c r="X37">
        <f t="shared" si="140"/>
        <v>164.12990377424737</v>
      </c>
      <c r="Y37">
        <f t="shared" si="141"/>
        <v>96.643825861340488</v>
      </c>
      <c r="Z37">
        <f t="shared" si="142"/>
        <v>26.963078748013896</v>
      </c>
      <c r="AA37">
        <f t="shared" si="143"/>
        <v>10.189535573377345</v>
      </c>
      <c r="AB37">
        <f t="shared" si="144"/>
        <v>7.2894369871084068</v>
      </c>
      <c r="AC37">
        <f t="shared" si="145"/>
        <v>5.721816129665739</v>
      </c>
      <c r="AD37">
        <f t="shared" si="146"/>
        <v>1.8811450289312019</v>
      </c>
      <c r="AE37">
        <f t="shared" si="147"/>
        <v>0.23514312861640024</v>
      </c>
      <c r="AF37">
        <f t="shared" si="17"/>
        <v>325.3597089622258</v>
      </c>
      <c r="AG37" s="2">
        <v>6.83E-2</v>
      </c>
      <c r="AH37" s="2">
        <v>0.1028</v>
      </c>
      <c r="AI37" s="2">
        <v>0.13109999999999999</v>
      </c>
      <c r="AJ37" s="2">
        <v>0.16009999999999999</v>
      </c>
      <c r="AK37" s="2">
        <v>0.18090000000000001</v>
      </c>
      <c r="AL37" s="2">
        <v>0.19189999999999999</v>
      </c>
      <c r="AM37" s="2">
        <v>0.19839999999999999</v>
      </c>
      <c r="AN37" s="2">
        <v>0.20449999999999999</v>
      </c>
      <c r="AO37" s="2">
        <v>0.22170000000000001</v>
      </c>
      <c r="AP37">
        <f t="shared" si="119"/>
        <v>0.12144712117562033</v>
      </c>
      <c r="AQ37" s="2">
        <v>157</v>
      </c>
      <c r="AR37" s="2">
        <v>2094</v>
      </c>
      <c r="AS37" s="2">
        <v>1233</v>
      </c>
      <c r="AT37" s="2">
        <v>344</v>
      </c>
      <c r="AU37" s="2">
        <v>130</v>
      </c>
      <c r="AV37" s="2">
        <v>93</v>
      </c>
      <c r="AW37" s="2">
        <v>73</v>
      </c>
      <c r="AX37" s="2">
        <v>24</v>
      </c>
      <c r="AY37" s="2">
        <v>3</v>
      </c>
      <c r="AZ37">
        <f t="shared" si="83"/>
        <v>4151</v>
      </c>
      <c r="BA37">
        <f t="shared" si="148"/>
        <v>1986</v>
      </c>
      <c r="BB37">
        <f t="shared" si="222"/>
        <v>0.25358159993623003</v>
      </c>
      <c r="BC37">
        <f t="shared" si="123"/>
        <v>0.6163023713016299</v>
      </c>
      <c r="BD37">
        <f t="shared" si="149"/>
        <v>0.80129845590468574</v>
      </c>
      <c r="BE37">
        <f t="shared" si="150"/>
        <v>10.687381953276509</v>
      </c>
      <c r="BF37">
        <f t="shared" si="151"/>
        <v>6.292999975353359</v>
      </c>
      <c r="BG37">
        <f t="shared" si="152"/>
        <v>1.7557112664408399</v>
      </c>
      <c r="BH37">
        <f t="shared" si="153"/>
        <v>0.66349553673636397</v>
      </c>
      <c r="BI37">
        <f t="shared" si="154"/>
        <v>0.47465449935755266</v>
      </c>
      <c r="BJ37">
        <f t="shared" si="155"/>
        <v>0.37257826293657365</v>
      </c>
      <c r="BK37">
        <f t="shared" si="156"/>
        <v>0.12249148370517489</v>
      </c>
      <c r="BL37">
        <f t="shared" si="157"/>
        <v>1.5311435463146861E-2</v>
      </c>
      <c r="BM37" s="24">
        <f t="shared" si="158"/>
        <v>132.62174571850829</v>
      </c>
      <c r="BN37" s="24">
        <f t="shared" si="159"/>
        <v>217.20831937739263</v>
      </c>
      <c r="BO37" s="24">
        <f t="shared" si="160"/>
        <v>116.78731800907912</v>
      </c>
      <c r="BP37" s="24">
        <f t="shared" si="161"/>
        <v>32.262252793438385</v>
      </c>
      <c r="BQ37" s="24">
        <f t="shared" si="162"/>
        <v>13.132541759210167</v>
      </c>
      <c r="BR37" s="24">
        <f t="shared" si="163"/>
        <v>7.7163343160343087</v>
      </c>
      <c r="BS37" s="24">
        <f t="shared" si="164"/>
        <v>6.0265554085089876</v>
      </c>
      <c r="BT37" s="24">
        <f t="shared" si="165"/>
        <v>2.0742687166859306</v>
      </c>
      <c r="BU37" s="23">
        <f t="shared" si="166"/>
        <v>1.6625415273789815E-2</v>
      </c>
      <c r="BV37">
        <f t="shared" si="167"/>
        <v>36.502032526885486</v>
      </c>
      <c r="BW37">
        <v>1.0655012932606727</v>
      </c>
      <c r="BX37" s="2">
        <v>39.514000000000003</v>
      </c>
      <c r="CJ37">
        <v>1986</v>
      </c>
      <c r="CK37">
        <f t="shared" si="168"/>
        <v>1900</v>
      </c>
      <c r="CL37">
        <f t="shared" si="169"/>
        <v>178.01589641823068</v>
      </c>
      <c r="CM37" s="9">
        <f t="shared" si="170"/>
        <v>0.64894736842105261</v>
      </c>
      <c r="CN37" s="9">
        <f t="shared" si="171"/>
        <v>0.18105263157894738</v>
      </c>
      <c r="CO37" s="9">
        <f t="shared" si="172"/>
        <v>6.8421052631578952E-2</v>
      </c>
      <c r="CP37" s="9">
        <f t="shared" si="173"/>
        <v>4.8947368421052628E-2</v>
      </c>
      <c r="CQ37" s="27">
        <f t="shared" si="38"/>
        <v>3.8421052631578946E-2</v>
      </c>
      <c r="CR37" s="27">
        <f t="shared" si="39"/>
        <v>1.2631578947368421E-2</v>
      </c>
      <c r="CS37" s="27">
        <f t="shared" si="40"/>
        <v>1.5789473684210526E-3</v>
      </c>
      <c r="CT37" s="29">
        <f t="shared" si="174"/>
        <v>0.65604993912846354</v>
      </c>
      <c r="CU37" s="9">
        <f t="shared" si="175"/>
        <v>0.18123242610671927</v>
      </c>
      <c r="CV37" s="9">
        <f t="shared" si="176"/>
        <v>7.377173625189383E-2</v>
      </c>
      <c r="CW37" s="9">
        <f t="shared" si="177"/>
        <v>4.3346321712222524E-2</v>
      </c>
      <c r="CX37" s="9">
        <f t="shared" si="178"/>
        <v>3.3854029498299375E-2</v>
      </c>
      <c r="CY37" s="9">
        <f t="shared" si="179"/>
        <v>1.1652154433515544E-2</v>
      </c>
      <c r="CZ37" s="9">
        <f t="shared" si="180"/>
        <v>9.339286888587776E-5</v>
      </c>
      <c r="DA37">
        <f t="shared" si="181"/>
        <v>-1.1157068202081943</v>
      </c>
      <c r="DB37">
        <f t="shared" si="182"/>
        <v>-1.1056645198490886</v>
      </c>
      <c r="DC37">
        <f t="shared" si="124"/>
        <v>100</v>
      </c>
      <c r="DD37">
        <f t="shared" si="183"/>
        <v>8.4691061277681712</v>
      </c>
      <c r="DE37">
        <f t="shared" si="184"/>
        <v>133.62808236721162</v>
      </c>
      <c r="DF37">
        <f t="shared" si="185"/>
        <v>92.930292841131305</v>
      </c>
      <c r="DG37">
        <f t="shared" si="186"/>
        <v>30.367338508710485</v>
      </c>
      <c r="DH37">
        <f t="shared" si="187"/>
        <v>12.416440430679275</v>
      </c>
      <c r="DI37">
        <f t="shared" si="188"/>
        <v>7.204046442546824</v>
      </c>
      <c r="DJ37">
        <f t="shared" si="189"/>
        <v>5.6244369701801018</v>
      </c>
      <c r="DK37">
        <f t="shared" si="190"/>
        <v>1.9420653944956121</v>
      </c>
      <c r="DL37">
        <f t="shared" si="191"/>
        <v>1.0000000000000048E-4</v>
      </c>
      <c r="DM37">
        <f t="shared" si="192"/>
        <v>1986</v>
      </c>
      <c r="DN37" s="9">
        <f t="shared" si="193"/>
        <v>4.8195565566358045E-4</v>
      </c>
      <c r="DO37" s="9">
        <f t="shared" si="194"/>
        <v>4.1030121129492442E-3</v>
      </c>
      <c r="DP37" s="9">
        <f t="shared" si="195"/>
        <v>4.5155779143499705E-3</v>
      </c>
      <c r="DQ37" s="9">
        <f t="shared" si="196"/>
        <v>4.5630547193908338E-3</v>
      </c>
      <c r="DR37" s="9">
        <f t="shared" si="197"/>
        <v>4.2189106412736689E-3</v>
      </c>
      <c r="DS37" s="9">
        <f t="shared" si="198"/>
        <v>5.1967741025039822E-3</v>
      </c>
      <c r="DT37" s="9">
        <f t="shared" si="199"/>
        <v>5.2246718781742054E-3</v>
      </c>
      <c r="DU37" s="9">
        <f t="shared" si="200"/>
        <v>4.9758949541140506E-3</v>
      </c>
      <c r="DV37" s="9">
        <f t="shared" si="201"/>
        <v>0.92389532990535927</v>
      </c>
      <c r="DW37">
        <f t="shared" si="202"/>
        <v>4.5678471280113393E-3</v>
      </c>
      <c r="DX37">
        <f t="shared" si="96"/>
        <v>1986</v>
      </c>
      <c r="DY37" s="9">
        <f t="shared" si="223"/>
        <v>0.10551046087074394</v>
      </c>
      <c r="DZ37" s="9">
        <f t="shared" si="224"/>
        <v>0.89823761565670746</v>
      </c>
      <c r="EA37" s="9">
        <f t="shared" si="99"/>
        <v>0.98855714471247536</v>
      </c>
      <c r="EB37" s="9">
        <f t="shared" si="100"/>
        <v>0.99895083865851875</v>
      </c>
      <c r="EC37" s="9">
        <f t="shared" si="101"/>
        <v>0.92361029671989403</v>
      </c>
      <c r="ED37" s="9">
        <f t="shared" si="102"/>
        <v>1.1376856442142915</v>
      </c>
      <c r="EE37" s="9">
        <f t="shared" si="103"/>
        <v>1.1437930674463752</v>
      </c>
      <c r="EF37" s="9">
        <f t="shared" si="104"/>
        <v>1.0893304470721985</v>
      </c>
      <c r="EG37" s="9">
        <f t="shared" si="105"/>
        <v>202.26056258314119</v>
      </c>
      <c r="EI37">
        <f t="shared" si="203"/>
        <v>1900</v>
      </c>
      <c r="EJ37" s="8">
        <f t="shared" si="204"/>
        <v>7546.9919942722563</v>
      </c>
      <c r="EK37" s="8">
        <f t="shared" si="205"/>
        <v>1669.0202317463345</v>
      </c>
      <c r="EL37" s="8">
        <f t="shared" si="206"/>
        <v>506.13282534203483</v>
      </c>
      <c r="EM37" s="8">
        <f t="shared" si="207"/>
        <v>331.71788719692847</v>
      </c>
      <c r="EN37" s="8">
        <f t="shared" si="208"/>
        <v>243.26884900298273</v>
      </c>
      <c r="EO37" s="8">
        <f t="shared" si="209"/>
        <v>54.784729398112319</v>
      </c>
      <c r="EP37" s="8">
        <f t="shared" si="210"/>
        <v>1.791759469228055</v>
      </c>
      <c r="EQ37">
        <f t="shared" si="108"/>
        <v>10353.708276427877</v>
      </c>
      <c r="ES37" s="8">
        <f t="shared" si="211"/>
        <v>7767.1694554568439</v>
      </c>
      <c r="ET37" s="8">
        <f t="shared" si="212"/>
        <v>1726.2346162419715</v>
      </c>
      <c r="EU37" s="8">
        <f t="shared" si="213"/>
        <v>526.27043449218559</v>
      </c>
      <c r="EV37" s="8">
        <f t="shared" si="214"/>
        <v>342.28295955853741</v>
      </c>
      <c r="EW37" s="8">
        <f t="shared" si="215"/>
        <v>250.58405203855131</v>
      </c>
      <c r="EX37" s="8">
        <f t="shared" si="216"/>
        <v>54.675091513076566</v>
      </c>
      <c r="EY37" s="8">
        <f t="shared" si="217"/>
        <v>-4.1509270454295164</v>
      </c>
      <c r="EZ37">
        <f t="shared" si="110"/>
        <v>10663.065682255736</v>
      </c>
      <c r="FB37">
        <f t="shared" si="111"/>
        <v>12448.951200769041</v>
      </c>
      <c r="FC37">
        <f t="shared" si="218"/>
        <v>283.99549060823642</v>
      </c>
      <c r="FD37">
        <f t="shared" si="219"/>
        <v>13072.400805117501</v>
      </c>
      <c r="FE37">
        <f t="shared" si="220"/>
        <v>-30.096707912363854</v>
      </c>
      <c r="FG37">
        <f t="shared" si="221"/>
        <v>80.800214284342218</v>
      </c>
      <c r="FJ37">
        <v>32.715510770582327</v>
      </c>
    </row>
    <row r="38" spans="4:166" x14ac:dyDescent="0.3">
      <c r="D38">
        <v>1987</v>
      </c>
      <c r="E38">
        <f t="shared" si="78"/>
        <v>35.502389295398316</v>
      </c>
      <c r="F38">
        <f t="shared" si="125"/>
        <v>5.5780221596773732E-2</v>
      </c>
      <c r="G38">
        <f t="shared" si="126"/>
        <v>0.30639482191602019</v>
      </c>
      <c r="H38">
        <f t="shared" si="127"/>
        <v>0.48591119785313486</v>
      </c>
      <c r="I38" s="2">
        <v>2.7103892953983175</v>
      </c>
      <c r="J38">
        <f t="shared" si="128"/>
        <v>2.7103892953983175</v>
      </c>
      <c r="K38" s="2">
        <v>15.933999999999999</v>
      </c>
      <c r="L38">
        <f t="shared" si="129"/>
        <v>16.858000000000001</v>
      </c>
      <c r="M38" s="25">
        <f t="shared" si="130"/>
        <v>16.748710152480278</v>
      </c>
      <c r="N38" s="25">
        <f t="shared" si="131"/>
        <v>17.916712307850613</v>
      </c>
      <c r="O38" s="25">
        <f t="shared" si="132"/>
        <v>38.764448892385275</v>
      </c>
      <c r="P38" s="25">
        <f t="shared" si="133"/>
        <v>29.773036073685336</v>
      </c>
      <c r="Q38" s="25">
        <f t="shared" si="134"/>
        <v>8.2862039701744532</v>
      </c>
      <c r="R38" s="25">
        <f t="shared" si="135"/>
        <v>2.9089865001676274</v>
      </c>
      <c r="S38" s="25">
        <f t="shared" si="136"/>
        <v>1.7850598978301349</v>
      </c>
      <c r="T38" s="25">
        <f t="shared" si="137"/>
        <v>1.2341154849195994</v>
      </c>
      <c r="U38" s="25">
        <f t="shared" si="138"/>
        <v>0.44075553032842835</v>
      </c>
      <c r="V38">
        <f t="shared" si="8"/>
        <v>117.85802880982175</v>
      </c>
      <c r="W38">
        <f t="shared" si="139"/>
        <v>17.719954546913051</v>
      </c>
      <c r="X38">
        <f t="shared" si="140"/>
        <v>18.955688219263568</v>
      </c>
      <c r="Y38">
        <f t="shared" si="141"/>
        <v>41.012368484236923</v>
      </c>
      <c r="Z38">
        <f t="shared" si="142"/>
        <v>31.499550780104645</v>
      </c>
      <c r="AA38">
        <f t="shared" si="143"/>
        <v>8.7667143547885615</v>
      </c>
      <c r="AB38">
        <f t="shared" si="144"/>
        <v>3.0776763160427927</v>
      </c>
      <c r="AC38">
        <f t="shared" si="145"/>
        <v>1.8885741030262593</v>
      </c>
      <c r="AD38">
        <f t="shared" si="146"/>
        <v>1.3056808613514881</v>
      </c>
      <c r="AE38">
        <f t="shared" si="147"/>
        <v>0.46631459333981712</v>
      </c>
      <c r="AF38">
        <f t="shared" si="17"/>
        <v>124.69252225906712</v>
      </c>
      <c r="AG38" s="2">
        <v>6.88E-2</v>
      </c>
      <c r="AH38" s="2">
        <v>0.1022</v>
      </c>
      <c r="AI38" s="2">
        <v>0.13669999999999999</v>
      </c>
      <c r="AJ38" s="2">
        <v>0.1633</v>
      </c>
      <c r="AK38" s="2">
        <v>0.18099999999999999</v>
      </c>
      <c r="AL38" s="2">
        <v>0.2</v>
      </c>
      <c r="AM38" s="2">
        <v>0.20300000000000001</v>
      </c>
      <c r="AN38" s="2">
        <v>0.20499999999999999</v>
      </c>
      <c r="AO38" s="2">
        <v>0.21010000000000001</v>
      </c>
      <c r="AP38">
        <f t="shared" si="119"/>
        <v>0.13519655946148093</v>
      </c>
      <c r="AQ38" s="2">
        <v>760</v>
      </c>
      <c r="AR38" s="2">
        <v>813</v>
      </c>
      <c r="AS38" s="2">
        <v>1759</v>
      </c>
      <c r="AT38" s="2">
        <v>1351</v>
      </c>
      <c r="AU38" s="2">
        <v>376</v>
      </c>
      <c r="AV38" s="2">
        <v>132</v>
      </c>
      <c r="AW38" s="2">
        <v>81</v>
      </c>
      <c r="AX38" s="2">
        <v>56</v>
      </c>
      <c r="AY38" s="2">
        <v>20</v>
      </c>
      <c r="AZ38">
        <f t="shared" si="83"/>
        <v>5348</v>
      </c>
      <c r="BA38">
        <f t="shared" si="148"/>
        <v>1987</v>
      </c>
      <c r="BB38">
        <f t="shared" si="222"/>
        <v>0.48625295133189617</v>
      </c>
      <c r="BC38">
        <f t="shared" si="123"/>
        <v>8.1847346925650419E-2</v>
      </c>
      <c r="BD38">
        <f t="shared" si="149"/>
        <v>2.84897230507165</v>
      </c>
      <c r="BE38">
        <f t="shared" si="150"/>
        <v>3.047650636872699</v>
      </c>
      <c r="BF38">
        <f t="shared" si="151"/>
        <v>6.5938714271329379</v>
      </c>
      <c r="BG38">
        <f t="shared" si="152"/>
        <v>5.0644231370418415</v>
      </c>
      <c r="BH38">
        <f t="shared" si="153"/>
        <v>1.4094915614565005</v>
      </c>
      <c r="BI38">
        <f t="shared" si="154"/>
        <v>0.4948215056177076</v>
      </c>
      <c r="BJ38">
        <f t="shared" si="155"/>
        <v>0.30364046935632055</v>
      </c>
      <c r="BK38">
        <f t="shared" si="156"/>
        <v>0.20992427511054262</v>
      </c>
      <c r="BL38">
        <f t="shared" si="157"/>
        <v>7.4972955396622368E-2</v>
      </c>
      <c r="BM38" s="24">
        <f t="shared" si="158"/>
        <v>555.30342165196976</v>
      </c>
      <c r="BN38" s="24">
        <f>(BO39*EXP(Relm*CA$5)+N38+BE38)+0.0001</f>
        <v>96.317633761731855</v>
      </c>
      <c r="BO38" s="24">
        <f t="shared" si="160"/>
        <v>150.35262332687486</v>
      </c>
      <c r="BP38" s="24">
        <f t="shared" si="161"/>
        <v>80.409383783936661</v>
      </c>
      <c r="BQ38" s="24">
        <f t="shared" si="162"/>
        <v>19.990966974402518</v>
      </c>
      <c r="BR38" s="24">
        <f t="shared" si="163"/>
        <v>7.1072269288576067</v>
      </c>
      <c r="BS38" s="24">
        <f t="shared" si="164"/>
        <v>3.421749589431037</v>
      </c>
      <c r="BT38" s="24">
        <f t="shared" si="165"/>
        <v>2.0826785653286968</v>
      </c>
      <c r="BU38" s="23">
        <f t="shared" si="166"/>
        <v>0.51582848572505069</v>
      </c>
      <c r="BV38">
        <f t="shared" si="167"/>
        <v>29.946118555059623</v>
      </c>
      <c r="BW38">
        <v>0.84680087781570701</v>
      </c>
      <c r="BX38" s="2">
        <v>16.858000000000001</v>
      </c>
      <c r="CJ38">
        <v>1987</v>
      </c>
      <c r="CK38">
        <f t="shared" si="168"/>
        <v>3775</v>
      </c>
      <c r="CL38">
        <f t="shared" si="169"/>
        <v>263.88045765455638</v>
      </c>
      <c r="CM38" s="9">
        <f t="shared" si="170"/>
        <v>0.46596026490066222</v>
      </c>
      <c r="CN38" s="9">
        <f t="shared" si="171"/>
        <v>0.35788079470198675</v>
      </c>
      <c r="CO38" s="9">
        <f t="shared" si="172"/>
        <v>9.9602649006622523E-2</v>
      </c>
      <c r="CP38" s="9">
        <f t="shared" si="173"/>
        <v>3.4966887417218546E-2</v>
      </c>
      <c r="CQ38" s="27">
        <f t="shared" si="38"/>
        <v>2.1456953642384105E-2</v>
      </c>
      <c r="CR38" s="27">
        <f t="shared" si="39"/>
        <v>1.4834437086092715E-2</v>
      </c>
      <c r="CS38" s="27">
        <f t="shared" si="40"/>
        <v>5.2980132450331126E-3</v>
      </c>
      <c r="CT38" s="29">
        <f t="shared" si="174"/>
        <v>0.56977551374304569</v>
      </c>
      <c r="CU38" s="9">
        <f t="shared" si="175"/>
        <v>0.3047189795661181</v>
      </c>
      <c r="CV38" s="9">
        <f t="shared" si="176"/>
        <v>7.575766372427821E-2</v>
      </c>
      <c r="CW38" s="9">
        <f t="shared" si="177"/>
        <v>2.6933509938661754E-2</v>
      </c>
      <c r="CX38" s="9">
        <f t="shared" si="178"/>
        <v>1.296704431940322E-2</v>
      </c>
      <c r="CY38" s="9">
        <f t="shared" si="179"/>
        <v>7.8925077811374464E-3</v>
      </c>
      <c r="CZ38" s="9">
        <f t="shared" si="180"/>
        <v>1.9547809273558155E-3</v>
      </c>
      <c r="DA38">
        <f t="shared" si="181"/>
        <v>-1.2688810508154127</v>
      </c>
      <c r="DB38">
        <f t="shared" si="182"/>
        <v>-1.2587688257783418</v>
      </c>
      <c r="DC38">
        <f t="shared" si="124"/>
        <v>100</v>
      </c>
      <c r="DD38">
        <f t="shared" si="183"/>
        <v>34.434236229826908</v>
      </c>
      <c r="DE38">
        <f t="shared" si="184"/>
        <v>48.957737318791729</v>
      </c>
      <c r="DF38">
        <f t="shared" si="185"/>
        <v>88.705107481374895</v>
      </c>
      <c r="DG38">
        <f t="shared" si="186"/>
        <v>45.571924573209486</v>
      </c>
      <c r="DH38">
        <f t="shared" si="187"/>
        <v>10.295271442771563</v>
      </c>
      <c r="DI38">
        <f t="shared" si="188"/>
        <v>3.7034189230722716</v>
      </c>
      <c r="DJ38">
        <f t="shared" si="189"/>
        <v>1.3330492222445816</v>
      </c>
      <c r="DK38">
        <f t="shared" si="190"/>
        <v>0.63863880529855477</v>
      </c>
      <c r="DL38">
        <f t="shared" si="191"/>
        <v>9.9999999999988987E-5</v>
      </c>
      <c r="DM38">
        <f t="shared" si="192"/>
        <v>1987</v>
      </c>
      <c r="DN38" s="9">
        <f t="shared" si="193"/>
        <v>3.0316906981707376E-2</v>
      </c>
      <c r="DO38" s="9">
        <f t="shared" si="194"/>
        <v>0.192095159745722</v>
      </c>
      <c r="DP38" s="9">
        <f t="shared" si="195"/>
        <v>0.26964931442518225</v>
      </c>
      <c r="DQ38" s="9">
        <f t="shared" si="196"/>
        <v>0.39515630266524493</v>
      </c>
      <c r="DR38" s="9">
        <f t="shared" si="197"/>
        <v>0.44593896803271715</v>
      </c>
      <c r="DS38" s="9">
        <f t="shared" si="198"/>
        <v>0.43992863624842637</v>
      </c>
      <c r="DT38" s="9">
        <f t="shared" si="199"/>
        <v>0.5724815357928722</v>
      </c>
      <c r="DU38" s="9">
        <f t="shared" si="200"/>
        <v>0.6589841984961301</v>
      </c>
      <c r="DV38" s="9">
        <f t="shared" si="201"/>
        <v>0.99977316832131946</v>
      </c>
      <c r="DW38">
        <f t="shared" si="202"/>
        <v>0.33313112335704359</v>
      </c>
      <c r="DX38">
        <f t="shared" si="96"/>
        <v>1987</v>
      </c>
      <c r="DY38" s="9">
        <f t="shared" si="223"/>
        <v>9.100592786466935E-2</v>
      </c>
      <c r="DZ38" s="9">
        <f t="shared" si="224"/>
        <v>0.57663528345815374</v>
      </c>
      <c r="EA38" s="9">
        <f t="shared" si="99"/>
        <v>0.80943897318227231</v>
      </c>
      <c r="EB38" s="9">
        <f t="shared" si="100"/>
        <v>1.1861884854322782</v>
      </c>
      <c r="EC38" s="9">
        <f t="shared" si="101"/>
        <v>1.3386289564868072</v>
      </c>
      <c r="ED38" s="9">
        <f t="shared" si="102"/>
        <v>1.3205870163530751</v>
      </c>
      <c r="EE38" s="9">
        <f t="shared" si="103"/>
        <v>1.7184870930816554</v>
      </c>
      <c r="EF38" s="9">
        <f t="shared" si="104"/>
        <v>1.9781526020606708</v>
      </c>
      <c r="EG38" s="9">
        <f t="shared" si="105"/>
        <v>3.0011400863610742</v>
      </c>
      <c r="EI38">
        <f t="shared" si="203"/>
        <v>3775</v>
      </c>
      <c r="EJ38" s="8">
        <f t="shared" si="204"/>
        <v>11389.784046274341</v>
      </c>
      <c r="EK38" s="8">
        <f t="shared" si="205"/>
        <v>8392.3423569691167</v>
      </c>
      <c r="EL38" s="8">
        <f t="shared" si="206"/>
        <v>1857.4094726506532</v>
      </c>
      <c r="EM38" s="8">
        <f t="shared" si="207"/>
        <v>515.89082458782252</v>
      </c>
      <c r="EN38" s="8">
        <f t="shared" si="208"/>
        <v>278.06757344036617</v>
      </c>
      <c r="EO38" s="8">
        <f t="shared" si="209"/>
        <v>172.35279713916282</v>
      </c>
      <c r="EP38" s="8">
        <f t="shared" si="210"/>
        <v>42.335616460753485</v>
      </c>
      <c r="EQ38">
        <f t="shared" si="108"/>
        <v>22648.182687522214</v>
      </c>
      <c r="ES38" s="8">
        <f t="shared" si="211"/>
        <v>11756.496976873937</v>
      </c>
      <c r="ET38" s="8">
        <f t="shared" si="212"/>
        <v>8603.4266690296863</v>
      </c>
      <c r="EU38" s="8">
        <f t="shared" si="213"/>
        <v>1907.2105366865101</v>
      </c>
      <c r="EV38" s="8">
        <f t="shared" si="214"/>
        <v>530.44476812122548</v>
      </c>
      <c r="EW38" s="8">
        <f t="shared" si="215"/>
        <v>283.05514914402198</v>
      </c>
      <c r="EX38" s="8">
        <f t="shared" si="216"/>
        <v>173.70122474354224</v>
      </c>
      <c r="EY38" s="8">
        <f t="shared" si="217"/>
        <v>39.288026294212855</v>
      </c>
      <c r="EZ38">
        <f t="shared" si="110"/>
        <v>23293.62335089314</v>
      </c>
      <c r="FB38">
        <f t="shared" si="111"/>
        <v>27321.524661292897</v>
      </c>
      <c r="FC38">
        <f t="shared" si="218"/>
        <v>678.87192654207422</v>
      </c>
      <c r="FD38">
        <f t="shared" si="219"/>
        <v>28680.692435879871</v>
      </c>
      <c r="FE38">
        <f t="shared" si="220"/>
        <v>-34.8551846739756</v>
      </c>
      <c r="FG38">
        <f t="shared" si="221"/>
        <v>159.59189505482232</v>
      </c>
      <c r="FJ38">
        <v>24.822012290937256</v>
      </c>
    </row>
    <row r="39" spans="4:166" x14ac:dyDescent="0.3">
      <c r="D39">
        <v>1988</v>
      </c>
      <c r="E39">
        <f t="shared" si="78"/>
        <v>58.714399069767438</v>
      </c>
      <c r="F39">
        <f t="shared" si="125"/>
        <v>4.7111024955377917E-2</v>
      </c>
      <c r="G39">
        <f t="shared" si="126"/>
        <v>0.30982278716543749</v>
      </c>
      <c r="H39">
        <f t="shared" si="127"/>
        <v>0.17374834721080659</v>
      </c>
      <c r="I39" s="2">
        <v>2.7483990697674416</v>
      </c>
      <c r="J39">
        <f t="shared" si="128"/>
        <v>2.7483990697674416</v>
      </c>
      <c r="K39" s="2">
        <v>9.7240000000000002</v>
      </c>
      <c r="L39">
        <f t="shared" si="129"/>
        <v>46.241999999999997</v>
      </c>
      <c r="M39" s="25">
        <f t="shared" si="130"/>
        <v>1.8411326637076251</v>
      </c>
      <c r="N39" s="25">
        <f t="shared" si="131"/>
        <v>44.100428986714057</v>
      </c>
      <c r="O39" s="25">
        <f t="shared" si="132"/>
        <v>5.8414994461090091</v>
      </c>
      <c r="P39" s="25">
        <f t="shared" si="133"/>
        <v>12.569827190967242</v>
      </c>
      <c r="Q39" s="25">
        <f t="shared" si="134"/>
        <v>8.5116237803865591</v>
      </c>
      <c r="R39" s="25">
        <f t="shared" si="135"/>
        <v>2.6315665821580194</v>
      </c>
      <c r="S39" s="25">
        <f t="shared" si="136"/>
        <v>0.67476066209179986</v>
      </c>
      <c r="T39" s="25">
        <f t="shared" si="137"/>
        <v>0.37593808316543131</v>
      </c>
      <c r="U39" s="25">
        <f t="shared" si="138"/>
        <v>0.17350988453789137</v>
      </c>
      <c r="V39">
        <f t="shared" si="8"/>
        <v>76.720287279837635</v>
      </c>
      <c r="W39">
        <f t="shared" si="139"/>
        <v>8.755415120852323</v>
      </c>
      <c r="X39">
        <f t="shared" si="140"/>
        <v>209.71740407277161</v>
      </c>
      <c r="Y39">
        <f t="shared" si="141"/>
        <v>27.778961064065488</v>
      </c>
      <c r="Z39">
        <f t="shared" si="142"/>
        <v>59.775190144457746</v>
      </c>
      <c r="AA39">
        <f t="shared" si="143"/>
        <v>40.476604982788487</v>
      </c>
      <c r="AB39">
        <f t="shared" si="144"/>
        <v>12.514284439752274</v>
      </c>
      <c r="AC39">
        <f t="shared" si="145"/>
        <v>3.2087908819877629</v>
      </c>
      <c r="AD39">
        <f t="shared" si="146"/>
        <v>1.7877549199646106</v>
      </c>
      <c r="AE39">
        <f t="shared" si="147"/>
        <v>0.82511765536828174</v>
      </c>
      <c r="AF39">
        <f t="shared" si="17"/>
        <v>364.83952328200854</v>
      </c>
      <c r="AG39" s="2">
        <v>6.7900000000000002E-2</v>
      </c>
      <c r="AH39" s="2">
        <v>0.1033</v>
      </c>
      <c r="AI39" s="2">
        <v>0.13020000000000001</v>
      </c>
      <c r="AJ39" s="2">
        <v>0.15970000000000001</v>
      </c>
      <c r="AK39" s="2">
        <v>0.17749999999999999</v>
      </c>
      <c r="AL39" s="2">
        <v>0.19520000000000001</v>
      </c>
      <c r="AM39" s="2">
        <v>0.2019</v>
      </c>
      <c r="AN39" s="2">
        <v>0.20619999999999999</v>
      </c>
      <c r="AO39" s="2">
        <v>0.21440000000000001</v>
      </c>
      <c r="AP39">
        <f t="shared" si="119"/>
        <v>0.12674613644930266</v>
      </c>
      <c r="AQ39" s="2">
        <v>191</v>
      </c>
      <c r="AR39" s="2">
        <v>4575</v>
      </c>
      <c r="AS39" s="2">
        <v>606</v>
      </c>
      <c r="AT39" s="2">
        <v>1304</v>
      </c>
      <c r="AU39" s="2">
        <v>883</v>
      </c>
      <c r="AV39" s="2">
        <v>273</v>
      </c>
      <c r="AW39" s="2">
        <v>70</v>
      </c>
      <c r="AX39" s="2">
        <v>39</v>
      </c>
      <c r="AY39" s="2">
        <v>18</v>
      </c>
      <c r="AZ39">
        <f t="shared" si="83"/>
        <v>7959</v>
      </c>
      <c r="BA39">
        <f t="shared" si="148"/>
        <v>1988</v>
      </c>
      <c r="BB39">
        <f t="shared" si="222"/>
        <v>-0.4942925104911749</v>
      </c>
      <c r="BC39">
        <f t="shared" si="123"/>
        <v>0.10920409946429505</v>
      </c>
      <c r="BD39">
        <f t="shared" si="149"/>
        <v>0.52037919583016135</v>
      </c>
      <c r="BE39">
        <f t="shared" si="150"/>
        <v>12.464580214256483</v>
      </c>
      <c r="BF39">
        <f t="shared" si="151"/>
        <v>1.65104603493758</v>
      </c>
      <c r="BG39">
        <f t="shared" si="152"/>
        <v>3.5527459233640335</v>
      </c>
      <c r="BH39">
        <f t="shared" si="153"/>
        <v>2.4057320938116886</v>
      </c>
      <c r="BI39">
        <f t="shared" si="154"/>
        <v>0.7437880652441573</v>
      </c>
      <c r="BJ39">
        <f t="shared" si="155"/>
        <v>0.19071488852414289</v>
      </c>
      <c r="BK39">
        <f t="shared" si="156"/>
        <v>0.10625543789202248</v>
      </c>
      <c r="BL39">
        <f t="shared" si="157"/>
        <v>4.9040971334779603E-2</v>
      </c>
      <c r="BM39" s="24">
        <f t="shared" si="158"/>
        <v>171.76828848991212</v>
      </c>
      <c r="BN39" s="24">
        <f t="shared" si="159"/>
        <v>417.62601518267485</v>
      </c>
      <c r="BO39" s="24">
        <f t="shared" si="160"/>
        <v>58.743911128151915</v>
      </c>
      <c r="BP39" s="24">
        <f t="shared" si="161"/>
        <v>81.851500919761236</v>
      </c>
      <c r="BQ39" s="24">
        <f t="shared" si="162"/>
        <v>32.688390508504533</v>
      </c>
      <c r="BR39" s="24">
        <f t="shared" si="163"/>
        <v>6.6080345848379904</v>
      </c>
      <c r="BS39" s="24">
        <f t="shared" si="164"/>
        <v>2.0494279697232867</v>
      </c>
      <c r="BT39" s="24">
        <f t="shared" si="165"/>
        <v>0.60523214476483855</v>
      </c>
      <c r="BU39" s="23">
        <f t="shared" si="166"/>
        <v>0.22265085587267097</v>
      </c>
      <c r="BV39">
        <f t="shared" si="167"/>
        <v>45.866367118627714</v>
      </c>
      <c r="BW39">
        <v>0.88954045627063039</v>
      </c>
      <c r="BX39" s="2">
        <v>46.241999999999997</v>
      </c>
      <c r="CJ39">
        <v>1988</v>
      </c>
      <c r="CK39">
        <f t="shared" si="168"/>
        <v>3193</v>
      </c>
      <c r="CL39">
        <f t="shared" si="169"/>
        <v>182.76914811161649</v>
      </c>
      <c r="CM39" s="9">
        <f t="shared" si="170"/>
        <v>0.18979016598809897</v>
      </c>
      <c r="CN39" s="9">
        <f t="shared" si="171"/>
        <v>0.40839336047604136</v>
      </c>
      <c r="CO39" s="9">
        <f t="shared" si="172"/>
        <v>0.27654243658001881</v>
      </c>
      <c r="CP39" s="9">
        <f t="shared" si="173"/>
        <v>8.5499530222361411E-2</v>
      </c>
      <c r="CQ39" s="27">
        <f t="shared" si="38"/>
        <v>2.1922956467272159E-2</v>
      </c>
      <c r="CR39" s="27">
        <f t="shared" si="39"/>
        <v>1.2214218603194488E-2</v>
      </c>
      <c r="CS39" s="27">
        <f t="shared" si="40"/>
        <v>5.6373316630128406E-3</v>
      </c>
      <c r="CT39" s="29">
        <f t="shared" si="174"/>
        <v>0.32141043351735277</v>
      </c>
      <c r="CU39" s="9">
        <f t="shared" si="175"/>
        <v>0.44784090622217493</v>
      </c>
      <c r="CV39" s="9">
        <f t="shared" si="176"/>
        <v>0.17885070235454534</v>
      </c>
      <c r="CW39" s="9">
        <f t="shared" si="177"/>
        <v>3.6155087732873202E-2</v>
      </c>
      <c r="CX39" s="9">
        <f t="shared" si="178"/>
        <v>1.1213205242231079E-2</v>
      </c>
      <c r="CY39" s="9">
        <f t="shared" si="179"/>
        <v>3.3114568351285708E-3</v>
      </c>
      <c r="CZ39" s="9">
        <f t="shared" si="180"/>
        <v>1.2182080956940219E-3</v>
      </c>
      <c r="DA39">
        <f t="shared" si="181"/>
        <v>-1.5093363923379006</v>
      </c>
      <c r="DB39">
        <f t="shared" si="182"/>
        <v>-1.4955024782011781</v>
      </c>
      <c r="DC39">
        <f t="shared" si="124"/>
        <v>100</v>
      </c>
      <c r="DD39">
        <f t="shared" si="183"/>
        <v>10.889173922601529</v>
      </c>
      <c r="DE39">
        <f t="shared" si="184"/>
        <v>234.5847724359302</v>
      </c>
      <c r="DF39">
        <f t="shared" si="185"/>
        <v>43.300043603081775</v>
      </c>
      <c r="DG39">
        <f t="shared" si="186"/>
        <v>65.728927805429961</v>
      </c>
      <c r="DH39">
        <f t="shared" si="187"/>
        <v>21.771034634306282</v>
      </c>
      <c r="DI39">
        <f t="shared" si="188"/>
        <v>3.2326799374358139</v>
      </c>
      <c r="DJ39">
        <f t="shared" si="189"/>
        <v>1.1839524191073438</v>
      </c>
      <c r="DK39">
        <f t="shared" si="190"/>
        <v>0.12303862370738478</v>
      </c>
      <c r="DL39">
        <f t="shared" si="191"/>
        <v>9.9999999999988987E-5</v>
      </c>
      <c r="DM39">
        <f t="shared" si="192"/>
        <v>1988</v>
      </c>
      <c r="DN39" s="9">
        <f t="shared" si="193"/>
        <v>1.075127089899749E-2</v>
      </c>
      <c r="DO39" s="9">
        <f t="shared" si="194"/>
        <v>0.10884656134696435</v>
      </c>
      <c r="DP39" s="9">
        <f t="shared" si="195"/>
        <v>0.10231575235489959</v>
      </c>
      <c r="DQ39" s="9">
        <f t="shared" si="196"/>
        <v>0.16053674405864593</v>
      </c>
      <c r="DR39" s="9">
        <f t="shared" si="197"/>
        <v>0.28107254204131576</v>
      </c>
      <c r="DS39" s="9">
        <f t="shared" si="198"/>
        <v>0.44874760523203339</v>
      </c>
      <c r="DT39" s="9">
        <f t="shared" si="199"/>
        <v>0.36302572404369149</v>
      </c>
      <c r="DU39" s="9">
        <f t="shared" si="200"/>
        <v>0.75341810146110477</v>
      </c>
      <c r="DV39" s="9">
        <f t="shared" si="201"/>
        <v>0.9994239959304958</v>
      </c>
      <c r="DW39">
        <f t="shared" si="202"/>
        <v>0.17681827211051004</v>
      </c>
      <c r="DX39">
        <f t="shared" si="96"/>
        <v>1988</v>
      </c>
      <c r="DY39" s="9">
        <f t="shared" si="223"/>
        <v>6.0804071721038133E-2</v>
      </c>
      <c r="DZ39" s="9">
        <f t="shared" si="224"/>
        <v>0.61558435136690004</v>
      </c>
      <c r="EA39" s="9">
        <f t="shared" si="99"/>
        <v>0.57864920369176009</v>
      </c>
      <c r="EB39" s="9">
        <f t="shared" si="100"/>
        <v>0.90791942564799932</v>
      </c>
      <c r="EC39" s="9">
        <f t="shared" si="101"/>
        <v>1.5896125365688882</v>
      </c>
      <c r="ED39" s="9">
        <f t="shared" si="102"/>
        <v>2.5379028981324376</v>
      </c>
      <c r="EE39" s="9">
        <f t="shared" si="103"/>
        <v>2.0531007328066369</v>
      </c>
      <c r="EF39" s="9">
        <f t="shared" si="104"/>
        <v>4.2609742334221226</v>
      </c>
      <c r="EG39" s="9">
        <f t="shared" si="105"/>
        <v>5.6522664993913274</v>
      </c>
      <c r="EI39">
        <f t="shared" si="203"/>
        <v>3193</v>
      </c>
      <c r="EJ39" s="8">
        <f t="shared" si="204"/>
        <v>3280.691787597983</v>
      </c>
      <c r="EK39" s="8">
        <f t="shared" si="205"/>
        <v>8054.3476305129016</v>
      </c>
      <c r="EL39" s="8">
        <f t="shared" si="206"/>
        <v>5110.9868476420361</v>
      </c>
      <c r="EM39" s="8">
        <f t="shared" si="207"/>
        <v>1262.10977976646</v>
      </c>
      <c r="EN39" s="8">
        <f t="shared" si="208"/>
        <v>230.43904356577693</v>
      </c>
      <c r="EO39" s="8">
        <f t="shared" si="209"/>
        <v>106.63176026064345</v>
      </c>
      <c r="EP39" s="8">
        <f t="shared" si="210"/>
        <v>36.395445208033053</v>
      </c>
      <c r="EQ39">
        <f t="shared" si="108"/>
        <v>18081.602294553832</v>
      </c>
      <c r="ES39" s="8">
        <f t="shared" si="211"/>
        <v>3438.9195807519682</v>
      </c>
      <c r="ET39" s="8">
        <f t="shared" si="212"/>
        <v>8302.8472886354775</v>
      </c>
      <c r="EU39" s="8">
        <f t="shared" si="213"/>
        <v>5219.5202676056078</v>
      </c>
      <c r="EV39" s="8">
        <f t="shared" si="214"/>
        <v>1281.6691795189395</v>
      </c>
      <c r="EW39" s="8">
        <f t="shared" si="215"/>
        <v>232.98532801039622</v>
      </c>
      <c r="EX39" s="8">
        <f t="shared" si="216"/>
        <v>104.01741936352343</v>
      </c>
      <c r="EY39" s="8">
        <f t="shared" si="217"/>
        <v>32.302336810473911</v>
      </c>
      <c r="EZ39">
        <f t="shared" si="110"/>
        <v>18612.261400696389</v>
      </c>
      <c r="FB39">
        <f t="shared" si="111"/>
        <v>22575.364126066619</v>
      </c>
      <c r="FC39">
        <f t="shared" si="218"/>
        <v>550.5884193708257</v>
      </c>
      <c r="FD39">
        <f t="shared" si="219"/>
        <v>23700.428349409918</v>
      </c>
      <c r="FE39">
        <f t="shared" si="220"/>
        <v>-43.816697829915938</v>
      </c>
      <c r="FG39">
        <f t="shared" si="221"/>
        <v>135.13495734366529</v>
      </c>
      <c r="FJ39">
        <v>50.945462174691706</v>
      </c>
    </row>
    <row r="40" spans="4:166" x14ac:dyDescent="0.3">
      <c r="D40">
        <v>1989</v>
      </c>
      <c r="E40">
        <f t="shared" si="78"/>
        <v>63.813875645719946</v>
      </c>
      <c r="F40">
        <f t="shared" si="125"/>
        <v>4.8582215559944165E-2</v>
      </c>
      <c r="G40">
        <f t="shared" si="126"/>
        <v>0.31918343961893297</v>
      </c>
      <c r="H40">
        <f t="shared" si="127"/>
        <v>0.21782746242234496</v>
      </c>
      <c r="I40" s="2">
        <v>2.8068756457199404</v>
      </c>
      <c r="J40">
        <f t="shared" si="128"/>
        <v>2.8068756457199404</v>
      </c>
      <c r="K40" s="2">
        <v>13.289</v>
      </c>
      <c r="L40">
        <f t="shared" si="129"/>
        <v>47.718000000000004</v>
      </c>
      <c r="M40" s="25">
        <f t="shared" si="130"/>
        <v>2.4437804072241009</v>
      </c>
      <c r="N40" s="25">
        <f t="shared" si="131"/>
        <v>15.13135265842868</v>
      </c>
      <c r="O40" s="25">
        <f t="shared" si="132"/>
        <v>61.764039059294056</v>
      </c>
      <c r="P40" s="25">
        <f t="shared" si="133"/>
        <v>6.9965767823265343</v>
      </c>
      <c r="Q40" s="25">
        <f t="shared" si="134"/>
        <v>9.7081687410272508</v>
      </c>
      <c r="R40" s="25">
        <f t="shared" si="135"/>
        <v>4.9377754803500666</v>
      </c>
      <c r="S40" s="25">
        <f t="shared" si="136"/>
        <v>0.75321998852797623</v>
      </c>
      <c r="T40" s="25">
        <f t="shared" si="137"/>
        <v>0.23433510754203707</v>
      </c>
      <c r="U40" s="25">
        <f t="shared" si="138"/>
        <v>3.3476443934576723E-2</v>
      </c>
      <c r="V40">
        <f t="shared" si="8"/>
        <v>102.00272466865528</v>
      </c>
      <c r="W40">
        <f t="shared" si="139"/>
        <v>8.7751007202889344</v>
      </c>
      <c r="X40">
        <f t="shared" si="140"/>
        <v>54.333500350282172</v>
      </c>
      <c r="Y40">
        <f t="shared" si="141"/>
        <v>221.78165519086414</v>
      </c>
      <c r="Z40">
        <f t="shared" si="142"/>
        <v>25.123233569046402</v>
      </c>
      <c r="AA40">
        <f t="shared" si="143"/>
        <v>34.859989162791656</v>
      </c>
      <c r="AB40">
        <f t="shared" si="144"/>
        <v>17.73051172935093</v>
      </c>
      <c r="AC40">
        <f t="shared" si="145"/>
        <v>2.7046543315959042</v>
      </c>
      <c r="AD40">
        <f t="shared" si="146"/>
        <v>0.8414480142742814</v>
      </c>
      <c r="AE40">
        <f t="shared" si="147"/>
        <v>0.1202068591820402</v>
      </c>
      <c r="AF40">
        <f t="shared" si="17"/>
        <v>366.27029992767649</v>
      </c>
      <c r="AG40" s="2">
        <v>6.4399999999999999E-2</v>
      </c>
      <c r="AH40" s="2">
        <v>9.6799999999999997E-2</v>
      </c>
      <c r="AI40" s="2">
        <v>0.127</v>
      </c>
      <c r="AJ40" s="2">
        <v>0.14879999999999999</v>
      </c>
      <c r="AK40" s="2">
        <v>0.17069999999999999</v>
      </c>
      <c r="AL40" s="2">
        <v>0.1875</v>
      </c>
      <c r="AM40" s="2">
        <v>0.1933</v>
      </c>
      <c r="AN40" s="2">
        <v>0.1966</v>
      </c>
      <c r="AO40" s="2">
        <v>0.21199999999999999</v>
      </c>
      <c r="AP40">
        <f t="shared" si="119"/>
        <v>0.13028083360682635</v>
      </c>
      <c r="AQ40" s="2">
        <v>146</v>
      </c>
      <c r="AR40" s="2">
        <v>904</v>
      </c>
      <c r="AS40" s="2">
        <v>3690</v>
      </c>
      <c r="AT40" s="2">
        <v>418</v>
      </c>
      <c r="AU40" s="2">
        <v>580</v>
      </c>
      <c r="AV40" s="2">
        <v>295</v>
      </c>
      <c r="AW40" s="2">
        <v>45</v>
      </c>
      <c r="AX40" s="2">
        <v>14</v>
      </c>
      <c r="AY40" s="2">
        <v>2</v>
      </c>
      <c r="AZ40">
        <f t="shared" si="83"/>
        <v>6094</v>
      </c>
      <c r="BA40">
        <f t="shared" si="148"/>
        <v>1989</v>
      </c>
      <c r="BB40">
        <f t="shared" si="222"/>
        <v>0.33565185755216387</v>
      </c>
      <c r="BC40">
        <f t="shared" si="123"/>
        <v>1.2756571518537782E-2</v>
      </c>
      <c r="BD40">
        <f t="shared" si="149"/>
        <v>0.51617034453494526</v>
      </c>
      <c r="BE40">
        <f t="shared" si="150"/>
        <v>3.1960136401341814</v>
      </c>
      <c r="BF40">
        <f t="shared" si="151"/>
        <v>13.04567514612293</v>
      </c>
      <c r="BG40">
        <f t="shared" si="152"/>
        <v>1.4778027672301854</v>
      </c>
      <c r="BH40">
        <f t="shared" si="153"/>
        <v>2.0505397248648509</v>
      </c>
      <c r="BI40">
        <f t="shared" si="154"/>
        <v>1.0429469290260878</v>
      </c>
      <c r="BJ40">
        <f t="shared" si="155"/>
        <v>0.15909359934296258</v>
      </c>
      <c r="BK40">
        <f t="shared" si="156"/>
        <v>4.9495786462255012E-2</v>
      </c>
      <c r="BL40">
        <f t="shared" si="157"/>
        <v>7.0708266374650032E-3</v>
      </c>
      <c r="BM40" s="24">
        <f t="shared" si="158"/>
        <v>164.86892902509302</v>
      </c>
      <c r="BN40" s="24">
        <f t="shared" si="159"/>
        <v>130.41690625332365</v>
      </c>
      <c r="BO40" s="24">
        <f t="shared" si="160"/>
        <v>277.96098278875718</v>
      </c>
      <c r="BP40" s="24">
        <f t="shared" si="161"/>
        <v>39.455537645936474</v>
      </c>
      <c r="BQ40" s="24">
        <f t="shared" si="162"/>
        <v>46.362813122009129</v>
      </c>
      <c r="BR40" s="24">
        <f t="shared" si="163"/>
        <v>13.664598658578228</v>
      </c>
      <c r="BS40" s="24">
        <f t="shared" si="164"/>
        <v>1.7362875769289798</v>
      </c>
      <c r="BT40" s="24">
        <f t="shared" si="165"/>
        <v>0.51653479678863479</v>
      </c>
      <c r="BU40" s="23">
        <f t="shared" si="166"/>
        <v>4.0647270572041733E-2</v>
      </c>
      <c r="BV40">
        <f t="shared" si="167"/>
        <v>41.679909451125205</v>
      </c>
      <c r="BW40">
        <v>0.91611973321038065</v>
      </c>
      <c r="BX40" s="2">
        <v>47.718000000000004</v>
      </c>
      <c r="CJ40">
        <v>1989</v>
      </c>
      <c r="CK40">
        <f t="shared" si="168"/>
        <v>5044</v>
      </c>
      <c r="CL40">
        <f t="shared" si="169"/>
        <v>379.7374018595707</v>
      </c>
      <c r="CM40" s="9">
        <f t="shared" si="170"/>
        <v>0.73156225218080884</v>
      </c>
      <c r="CN40" s="9">
        <f t="shared" si="171"/>
        <v>8.2870737509912765E-2</v>
      </c>
      <c r="CO40" s="9">
        <f t="shared" si="172"/>
        <v>0.11498810467882632</v>
      </c>
      <c r="CP40" s="9">
        <f t="shared" si="173"/>
        <v>5.8485329103885805E-2</v>
      </c>
      <c r="CQ40" s="27">
        <f t="shared" si="38"/>
        <v>8.9214908802537664E-3</v>
      </c>
      <c r="CR40" s="27">
        <f t="shared" si="39"/>
        <v>2.7755749405233942E-3</v>
      </c>
      <c r="CS40" s="27">
        <f t="shared" si="40"/>
        <v>3.9651070578905631E-4</v>
      </c>
      <c r="CT40" s="29">
        <f t="shared" si="174"/>
        <v>0.7319821050746772</v>
      </c>
      <c r="CU40" s="9">
        <f t="shared" si="175"/>
        <v>0.10390216358126182</v>
      </c>
      <c r="CV40" s="9">
        <f t="shared" si="176"/>
        <v>0.12209177419703944</v>
      </c>
      <c r="CW40" s="9">
        <f t="shared" si="177"/>
        <v>3.5984337048873272E-2</v>
      </c>
      <c r="CX40" s="9">
        <f t="shared" si="178"/>
        <v>4.5723375375361893E-3</v>
      </c>
      <c r="CY40" s="9">
        <f t="shared" si="179"/>
        <v>1.3602420890309157E-3</v>
      </c>
      <c r="CZ40" s="9">
        <f t="shared" si="180"/>
        <v>1.0704047158113056E-4</v>
      </c>
      <c r="DA40">
        <f t="shared" si="181"/>
        <v>-0.92215259212471579</v>
      </c>
      <c r="DB40">
        <f t="shared" si="182"/>
        <v>-0.91361046281113611</v>
      </c>
      <c r="DC40">
        <f t="shared" si="124"/>
        <v>100</v>
      </c>
      <c r="DD40">
        <f t="shared" si="183"/>
        <v>10.407228442199953</v>
      </c>
      <c r="DE40">
        <f t="shared" si="184"/>
        <v>72.825641060968138</v>
      </c>
      <c r="DF40">
        <f t="shared" si="185"/>
        <v>171.63364676462689</v>
      </c>
      <c r="DG40">
        <f t="shared" si="186"/>
        <v>30.981158096379751</v>
      </c>
      <c r="DH40">
        <f t="shared" si="187"/>
        <v>34.60410465611703</v>
      </c>
      <c r="DI40">
        <f t="shared" si="188"/>
        <v>7.6838762492020747</v>
      </c>
      <c r="DJ40">
        <f t="shared" si="189"/>
        <v>0.82397398905804109</v>
      </c>
      <c r="DK40">
        <f t="shared" si="190"/>
        <v>0.23270390278434272</v>
      </c>
      <c r="DL40">
        <f t="shared" si="191"/>
        <v>1.000000000000098E-4</v>
      </c>
      <c r="DM40">
        <f t="shared" si="192"/>
        <v>1989</v>
      </c>
      <c r="DN40" s="9">
        <f t="shared" si="193"/>
        <v>1.4869117055551957E-2</v>
      </c>
      <c r="DO40" s="9">
        <f t="shared" si="194"/>
        <v>0.1189376394680315</v>
      </c>
      <c r="DP40" s="9">
        <f t="shared" si="195"/>
        <v>0.23314635763748531</v>
      </c>
      <c r="DQ40" s="9">
        <f t="shared" si="196"/>
        <v>0.18422838551778509</v>
      </c>
      <c r="DR40" s="9">
        <f t="shared" si="197"/>
        <v>0.21908532324710059</v>
      </c>
      <c r="DS40" s="9">
        <f t="shared" si="198"/>
        <v>0.39121468300292545</v>
      </c>
      <c r="DT40" s="9">
        <f t="shared" si="199"/>
        <v>0.47756965803332646</v>
      </c>
      <c r="DU40" s="9">
        <f t="shared" si="200"/>
        <v>0.50174632602590774</v>
      </c>
      <c r="DV40" s="9">
        <f t="shared" si="201"/>
        <v>0.99702172153206992</v>
      </c>
      <c r="DW40">
        <f t="shared" si="202"/>
        <v>0.23328675648944702</v>
      </c>
      <c r="DX40">
        <f t="shared" si="96"/>
        <v>1989</v>
      </c>
      <c r="DY40" s="9">
        <f t="shared" si="223"/>
        <v>6.3737510346947523E-2</v>
      </c>
      <c r="DZ40" s="9">
        <f t="shared" si="224"/>
        <v>0.50983451121629264</v>
      </c>
      <c r="EA40" s="9">
        <f t="shared" si="99"/>
        <v>0.99939817050022695</v>
      </c>
      <c r="EB40" s="9">
        <f t="shared" si="100"/>
        <v>0.78970786121808356</v>
      </c>
      <c r="EC40" s="9">
        <f t="shared" si="101"/>
        <v>0.93912456302255265</v>
      </c>
      <c r="ED40" s="9">
        <f t="shared" si="102"/>
        <v>1.6769691039903607</v>
      </c>
      <c r="EE40" s="9">
        <f t="shared" si="103"/>
        <v>2.0471357449514276</v>
      </c>
      <c r="EF40" s="9">
        <f t="shared" si="104"/>
        <v>2.1507707234491247</v>
      </c>
      <c r="EG40" s="9">
        <f t="shared" si="105"/>
        <v>4.2738033505865616</v>
      </c>
      <c r="EI40">
        <f t="shared" si="203"/>
        <v>5044</v>
      </c>
      <c r="EJ40" s="8">
        <f t="shared" si="204"/>
        <v>26622.404261642849</v>
      </c>
      <c r="EK40" s="8">
        <f t="shared" si="205"/>
        <v>2108.7681174068184</v>
      </c>
      <c r="EL40" s="8">
        <f t="shared" si="206"/>
        <v>3114.656896316591</v>
      </c>
      <c r="EM40" s="8">
        <f t="shared" si="207"/>
        <v>1386.4204388173889</v>
      </c>
      <c r="EN40" s="8">
        <f t="shared" si="208"/>
        <v>129.12393363912724</v>
      </c>
      <c r="EO40" s="8">
        <f t="shared" si="209"/>
        <v>25.191221182738683</v>
      </c>
      <c r="EP40" s="8">
        <f t="shared" si="210"/>
        <v>0.6931471805599454</v>
      </c>
      <c r="EQ40">
        <f t="shared" si="108"/>
        <v>33387.258016186075</v>
      </c>
      <c r="ES40" s="8">
        <f t="shared" si="211"/>
        <v>27287.539141854777</v>
      </c>
      <c r="ET40" s="8">
        <f t="shared" si="212"/>
        <v>2193.6400055638492</v>
      </c>
      <c r="EU40" s="8">
        <f t="shared" si="213"/>
        <v>3219.4731789340722</v>
      </c>
      <c r="EV40" s="8">
        <f t="shared" si="214"/>
        <v>1417.6569935427563</v>
      </c>
      <c r="EW40" s="8">
        <f t="shared" si="215"/>
        <v>129.17509395071943</v>
      </c>
      <c r="EX40" s="8">
        <f t="shared" si="216"/>
        <v>22.246451575332074</v>
      </c>
      <c r="EY40" s="8">
        <f t="shared" si="217"/>
        <v>-3.7195672312261006</v>
      </c>
      <c r="EZ40">
        <f t="shared" si="110"/>
        <v>34266.011298190278</v>
      </c>
      <c r="FB40">
        <f t="shared" si="111"/>
        <v>37966.09742449881</v>
      </c>
      <c r="FC40">
        <f t="shared" si="218"/>
        <v>971.60581548246489</v>
      </c>
      <c r="FD40">
        <f t="shared" si="219"/>
        <v>39848.767991731969</v>
      </c>
      <c r="FE40">
        <f t="shared" si="220"/>
        <v>-32.311469746491639</v>
      </c>
      <c r="FG40">
        <f t="shared" si="221"/>
        <v>212.91810460028321</v>
      </c>
      <c r="FJ40">
        <v>43.681017393475841</v>
      </c>
    </row>
    <row r="41" spans="4:166" x14ac:dyDescent="0.3">
      <c r="D41">
        <v>1990</v>
      </c>
      <c r="E41">
        <f t="shared" si="78"/>
        <v>59.684352221672441</v>
      </c>
      <c r="F41">
        <f t="shared" si="125"/>
        <v>5.5443380277642215E-2</v>
      </c>
      <c r="G41">
        <f t="shared" si="126"/>
        <v>0.34262456479413816</v>
      </c>
      <c r="H41">
        <f t="shared" si="127"/>
        <v>0.17333990390538376</v>
      </c>
      <c r="I41" s="2">
        <v>2.8653522216724392</v>
      </c>
      <c r="J41">
        <f t="shared" si="128"/>
        <v>2.8653522216724392</v>
      </c>
      <c r="K41" s="2">
        <v>9.8490000000000002</v>
      </c>
      <c r="L41">
        <f t="shared" si="129"/>
        <v>46.97</v>
      </c>
      <c r="M41" s="25">
        <f t="shared" si="130"/>
        <v>0.31657354047263803</v>
      </c>
      <c r="N41" s="25">
        <f t="shared" si="131"/>
        <v>17.862422192728847</v>
      </c>
      <c r="O41" s="25">
        <f t="shared" si="132"/>
        <v>8.4803336296306657</v>
      </c>
      <c r="P41" s="25">
        <f t="shared" si="133"/>
        <v>33.959707068882985</v>
      </c>
      <c r="Q41" s="25">
        <f t="shared" si="134"/>
        <v>3.3000393309874991</v>
      </c>
      <c r="R41" s="25">
        <f t="shared" si="135"/>
        <v>4.3360981907161325</v>
      </c>
      <c r="S41" s="25">
        <f t="shared" si="136"/>
        <v>1.3046667122508717</v>
      </c>
      <c r="T41" s="25">
        <f t="shared" si="137"/>
        <v>0.18226961421151885</v>
      </c>
      <c r="U41" s="25">
        <f t="shared" si="138"/>
        <v>5.7558825540479641E-2</v>
      </c>
      <c r="V41">
        <f t="shared" si="8"/>
        <v>69.799669105421657</v>
      </c>
      <c r="W41">
        <f t="shared" si="139"/>
        <v>1.509743039496376</v>
      </c>
      <c r="X41">
        <f t="shared" si="140"/>
        <v>85.186107258856126</v>
      </c>
      <c r="Y41">
        <f t="shared" si="141"/>
        <v>40.442813542872621</v>
      </c>
      <c r="Z41">
        <f t="shared" si="142"/>
        <v>161.95425332779305</v>
      </c>
      <c r="AA41">
        <f t="shared" si="143"/>
        <v>15.73792744202283</v>
      </c>
      <c r="AB41">
        <f t="shared" si="144"/>
        <v>20.678904662192785</v>
      </c>
      <c r="AC41">
        <f t="shared" si="145"/>
        <v>6.221971314288095</v>
      </c>
      <c r="AD41">
        <f t="shared" si="146"/>
        <v>0.86924599243730738</v>
      </c>
      <c r="AE41">
        <f t="shared" si="147"/>
        <v>0.27449873445388656</v>
      </c>
      <c r="AF41">
        <f t="shared" si="17"/>
        <v>332.87546531441313</v>
      </c>
      <c r="AG41" s="2">
        <v>6.2E-2</v>
      </c>
      <c r="AH41" s="2">
        <v>0.1008</v>
      </c>
      <c r="AI41" s="2">
        <v>0.1295</v>
      </c>
      <c r="AJ41" s="2">
        <v>0.1542</v>
      </c>
      <c r="AK41" s="2">
        <v>0.1721</v>
      </c>
      <c r="AL41" s="2">
        <v>0.18809999999999999</v>
      </c>
      <c r="AM41" s="2">
        <v>0.1993</v>
      </c>
      <c r="AN41" s="2">
        <v>0.21479999999999999</v>
      </c>
      <c r="AO41" s="2">
        <v>0.19670000000000001</v>
      </c>
      <c r="AP41">
        <f t="shared" si="119"/>
        <v>0.14110382078064873</v>
      </c>
      <c r="AQ41" s="2">
        <v>33</v>
      </c>
      <c r="AR41" s="2">
        <v>1862</v>
      </c>
      <c r="AS41" s="2">
        <v>884</v>
      </c>
      <c r="AT41" s="2">
        <v>3540</v>
      </c>
      <c r="AU41" s="2">
        <v>344</v>
      </c>
      <c r="AV41" s="2">
        <v>452</v>
      </c>
      <c r="AW41" s="2">
        <v>136</v>
      </c>
      <c r="AX41" s="2">
        <v>19</v>
      </c>
      <c r="AY41" s="2">
        <v>6</v>
      </c>
      <c r="AZ41">
        <f t="shared" si="83"/>
        <v>7276</v>
      </c>
      <c r="BA41">
        <f t="shared" si="148"/>
        <v>1990</v>
      </c>
      <c r="BB41">
        <f t="shared" si="222"/>
        <v>0.19691036749462437</v>
      </c>
      <c r="BC41">
        <f t="shared" si="123"/>
        <v>0.33495927658879432</v>
      </c>
      <c r="BD41">
        <f t="shared" si="149"/>
        <v>9.2100182507460979E-2</v>
      </c>
      <c r="BE41">
        <f t="shared" si="150"/>
        <v>5.1966830251179497</v>
      </c>
      <c r="BF41">
        <f t="shared" si="151"/>
        <v>2.4671685253513789</v>
      </c>
      <c r="BG41">
        <f t="shared" si="152"/>
        <v>9.8798377598912683</v>
      </c>
      <c r="BH41">
        <f t="shared" si="153"/>
        <v>0.96007462977474467</v>
      </c>
      <c r="BI41">
        <f t="shared" si="154"/>
        <v>1.2614934088900716</v>
      </c>
      <c r="BJ41">
        <f t="shared" si="155"/>
        <v>0.37956438851559676</v>
      </c>
      <c r="BK41">
        <f t="shared" si="156"/>
        <v>5.3027377807326012E-2</v>
      </c>
      <c r="BL41">
        <f t="shared" si="157"/>
        <v>1.6745487728629268E-2</v>
      </c>
      <c r="BM41" s="24">
        <f t="shared" si="158"/>
        <v>145.34101643485891</v>
      </c>
      <c r="BN41" s="24">
        <f t="shared" si="159"/>
        <v>123.67439432756476</v>
      </c>
      <c r="BO41" s="24">
        <f t="shared" si="160"/>
        <v>85.619724778268164</v>
      </c>
      <c r="BP41" s="24">
        <f t="shared" si="161"/>
        <v>155.1773936020133</v>
      </c>
      <c r="BQ41" s="24">
        <f t="shared" si="162"/>
        <v>21.62622804119421</v>
      </c>
      <c r="BR41" s="24">
        <f t="shared" si="163"/>
        <v>21.419142490294988</v>
      </c>
      <c r="BS41" s="24">
        <f t="shared" si="164"/>
        <v>4.0511816376627614</v>
      </c>
      <c r="BT41" s="24">
        <f t="shared" si="165"/>
        <v>0.35067125791501347</v>
      </c>
      <c r="BU41" s="23">
        <f t="shared" si="166"/>
        <v>7.4404313269108915E-2</v>
      </c>
      <c r="BV41">
        <f t="shared" si="167"/>
        <v>38.966339094832755</v>
      </c>
      <c r="BW41">
        <v>0.97122497074567726</v>
      </c>
      <c r="BX41" s="2">
        <v>46.97</v>
      </c>
      <c r="CJ41">
        <v>1990</v>
      </c>
      <c r="CK41">
        <f t="shared" si="168"/>
        <v>5381</v>
      </c>
      <c r="CL41">
        <f t="shared" si="169"/>
        <v>288.3187461206175</v>
      </c>
      <c r="CM41" s="9">
        <f t="shared" si="170"/>
        <v>0.16428173202007063</v>
      </c>
      <c r="CN41" s="9">
        <f t="shared" si="171"/>
        <v>0.65787028433376693</v>
      </c>
      <c r="CO41" s="9">
        <f t="shared" si="172"/>
        <v>6.3928637799665483E-2</v>
      </c>
      <c r="CP41" s="9">
        <f t="shared" si="173"/>
        <v>8.3999256643746509E-2</v>
      </c>
      <c r="CQ41" s="27">
        <f t="shared" si="38"/>
        <v>2.5274112618472403E-2</v>
      </c>
      <c r="CR41" s="27">
        <f t="shared" si="39"/>
        <v>3.5309422040512915E-3</v>
      </c>
      <c r="CS41" s="27">
        <f t="shared" si="40"/>
        <v>1.1150343802267236E-3</v>
      </c>
      <c r="CT41" s="29">
        <f t="shared" si="174"/>
        <v>0.29696204610451982</v>
      </c>
      <c r="CU41" s="9">
        <f t="shared" si="175"/>
        <v>0.53821472134557347</v>
      </c>
      <c r="CV41" s="9">
        <f t="shared" si="176"/>
        <v>7.5008053871554112E-2</v>
      </c>
      <c r="CW41" s="9">
        <f t="shared" si="177"/>
        <v>7.4289801750644188E-2</v>
      </c>
      <c r="CX41" s="9">
        <f t="shared" si="178"/>
        <v>1.4051051803506244E-2</v>
      </c>
      <c r="CY41" s="9">
        <f t="shared" si="179"/>
        <v>1.2162624270303636E-3</v>
      </c>
      <c r="CZ41" s="9">
        <f t="shared" si="180"/>
        <v>2.5806269717190721E-4</v>
      </c>
      <c r="DA41">
        <f t="shared" si="181"/>
        <v>-1.1316721781405383</v>
      </c>
      <c r="DB41">
        <f t="shared" si="182"/>
        <v>-1.1223190015961133</v>
      </c>
      <c r="DC41">
        <f t="shared" si="124"/>
        <v>100</v>
      </c>
      <c r="DD41">
        <f t="shared" si="183"/>
        <v>9.3159997385651891</v>
      </c>
      <c r="DE41">
        <f t="shared" si="184"/>
        <v>65.370711066413307</v>
      </c>
      <c r="DF41">
        <f t="shared" si="185"/>
        <v>63.087304205520923</v>
      </c>
      <c r="DG41">
        <f t="shared" si="186"/>
        <v>111.33784877323905</v>
      </c>
      <c r="DH41">
        <f t="shared" si="187"/>
        <v>17.366114080431966</v>
      </c>
      <c r="DI41">
        <f t="shared" si="188"/>
        <v>15.821550890688783</v>
      </c>
      <c r="DJ41">
        <f t="shared" si="189"/>
        <v>2.3669505368962929</v>
      </c>
      <c r="DK41">
        <f t="shared" si="190"/>
        <v>0.11537426589616859</v>
      </c>
      <c r="DL41">
        <f t="shared" si="191"/>
        <v>1.0000000000000286E-4</v>
      </c>
      <c r="DM41">
        <f t="shared" si="192"/>
        <v>1990</v>
      </c>
      <c r="DN41" s="9">
        <f t="shared" si="193"/>
        <v>2.1795242858998819E-3</v>
      </c>
      <c r="DO41" s="9">
        <f t="shared" si="194"/>
        <v>0.1507660976597541</v>
      </c>
      <c r="DP41" s="9">
        <f t="shared" si="195"/>
        <v>0.1019852426885938</v>
      </c>
      <c r="DQ41" s="9">
        <f t="shared" si="196"/>
        <v>0.23372524659522184</v>
      </c>
      <c r="DR41" s="9">
        <f t="shared" si="197"/>
        <v>0.15968328819063163</v>
      </c>
      <c r="DS41" s="9">
        <f t="shared" si="198"/>
        <v>0.21510932019925422</v>
      </c>
      <c r="DT41" s="9">
        <f t="shared" si="199"/>
        <v>0.35533843092003037</v>
      </c>
      <c r="DU41" s="9">
        <f t="shared" si="200"/>
        <v>0.61237480893466978</v>
      </c>
      <c r="DV41" s="9">
        <f t="shared" si="201"/>
        <v>0.99826566012986517</v>
      </c>
      <c r="DW41">
        <f t="shared" si="202"/>
        <v>0.18887857938158942</v>
      </c>
      <c r="DX41">
        <f t="shared" si="96"/>
        <v>1990</v>
      </c>
      <c r="DY41" s="9">
        <f t="shared" si="223"/>
        <v>1.1539287795555745E-2</v>
      </c>
      <c r="DZ41" s="9">
        <f t="shared" si="224"/>
        <v>0.79821702467998201</v>
      </c>
      <c r="EA41" s="9">
        <f t="shared" si="99"/>
        <v>0.53995134346364437</v>
      </c>
      <c r="EB41" s="9">
        <f t="shared" si="100"/>
        <v>1.2374364915305147</v>
      </c>
      <c r="EC41" s="9">
        <f t="shared" si="101"/>
        <v>0.84542825720869674</v>
      </c>
      <c r="ED41" s="9">
        <f t="shared" si="102"/>
        <v>1.1388762076861618</v>
      </c>
      <c r="EE41" s="9">
        <f t="shared" si="103"/>
        <v>1.8813061390203696</v>
      </c>
      <c r="EF41" s="9">
        <f t="shared" si="104"/>
        <v>3.2421612389274452</v>
      </c>
      <c r="EG41" s="9">
        <f t="shared" si="105"/>
        <v>5.2852243139391657</v>
      </c>
      <c r="EI41">
        <f t="shared" si="203"/>
        <v>5381</v>
      </c>
      <c r="EJ41" s="8">
        <f t="shared" si="204"/>
        <v>5117.7713047046727</v>
      </c>
      <c r="EK41" s="8">
        <f t="shared" si="205"/>
        <v>25393.46720476924</v>
      </c>
      <c r="EL41" s="8">
        <f t="shared" si="206"/>
        <v>1669.0202317463338</v>
      </c>
      <c r="EM41" s="8">
        <f t="shared" si="207"/>
        <v>2315.3603092730409</v>
      </c>
      <c r="EN41" s="8">
        <f t="shared" si="208"/>
        <v>535.49694318016952</v>
      </c>
      <c r="EO41" s="8">
        <f t="shared" si="209"/>
        <v>39.339884187199495</v>
      </c>
      <c r="EP41" s="8">
        <f t="shared" si="210"/>
        <v>6.5792512120101012</v>
      </c>
      <c r="EQ41">
        <f t="shared" si="108"/>
        <v>35077.035129072668</v>
      </c>
      <c r="ES41" s="8">
        <f t="shared" si="211"/>
        <v>5362.620251184886</v>
      </c>
      <c r="ET41" s="8">
        <f t="shared" si="212"/>
        <v>25938.785172938711</v>
      </c>
      <c r="EU41" s="8">
        <f t="shared" si="213"/>
        <v>1734.3476891338908</v>
      </c>
      <c r="EV41" s="8">
        <f t="shared" si="214"/>
        <v>2384.5878517324586</v>
      </c>
      <c r="EW41" s="8">
        <f t="shared" si="215"/>
        <v>545.90139946857732</v>
      </c>
      <c r="EX41" s="8">
        <f t="shared" si="216"/>
        <v>36.093276654046633</v>
      </c>
      <c r="EY41" s="8">
        <f t="shared" si="217"/>
        <v>2.125643199501333</v>
      </c>
      <c r="EZ41">
        <f t="shared" si="110"/>
        <v>36004.46128431207</v>
      </c>
      <c r="FB41">
        <f t="shared" si="111"/>
        <v>40850.39165933711</v>
      </c>
      <c r="FC41">
        <f t="shared" si="218"/>
        <v>1051.873262956904</v>
      </c>
      <c r="FD41">
        <f t="shared" si="219"/>
        <v>42874.619589537273</v>
      </c>
      <c r="FE41">
        <f t="shared" si="220"/>
        <v>-44.928512003854848</v>
      </c>
      <c r="FG41">
        <f t="shared" si="221"/>
        <v>227.0795960240975</v>
      </c>
      <c r="FJ41">
        <v>44.596979750385955</v>
      </c>
    </row>
    <row r="42" spans="4:166" x14ac:dyDescent="0.3">
      <c r="D42">
        <v>1991</v>
      </c>
      <c r="E42">
        <f t="shared" si="78"/>
        <v>41.727781949529934</v>
      </c>
      <c r="F42">
        <f t="shared" si="125"/>
        <v>7.4547857596453049E-2</v>
      </c>
      <c r="G42">
        <f t="shared" si="126"/>
        <v>0.35369612525958316</v>
      </c>
      <c r="H42">
        <f t="shared" si="127"/>
        <v>0.22320159226613592</v>
      </c>
      <c r="I42" s="2">
        <v>3.0407819495299355</v>
      </c>
      <c r="J42">
        <f t="shared" si="128"/>
        <v>3.0407819495299355</v>
      </c>
      <c r="K42" s="2">
        <v>8.6349999999999998</v>
      </c>
      <c r="L42">
        <f t="shared" si="129"/>
        <v>30.052</v>
      </c>
      <c r="M42" s="25">
        <f t="shared" si="130"/>
        <v>4.0792158236412748</v>
      </c>
      <c r="N42" s="25">
        <f t="shared" si="131"/>
        <v>13.253219875149867</v>
      </c>
      <c r="O42" s="25">
        <f t="shared" si="132"/>
        <v>13.270146081886967</v>
      </c>
      <c r="P42" s="25">
        <f t="shared" si="133"/>
        <v>6.9482078655798469</v>
      </c>
      <c r="Q42" s="25">
        <f t="shared" si="134"/>
        <v>22.367982203078608</v>
      </c>
      <c r="R42" s="25">
        <f t="shared" si="135"/>
        <v>2.09884963540049</v>
      </c>
      <c r="S42" s="25">
        <f t="shared" si="136"/>
        <v>2.3612058398255509</v>
      </c>
      <c r="T42" s="25">
        <f t="shared" si="137"/>
        <v>0.4231551684275181</v>
      </c>
      <c r="U42" s="25">
        <f t="shared" si="138"/>
        <v>2.5389310105651083E-2</v>
      </c>
      <c r="V42">
        <f t="shared" si="8"/>
        <v>64.827371803095772</v>
      </c>
      <c r="W42">
        <f t="shared" si="139"/>
        <v>14.196710356927342</v>
      </c>
      <c r="X42">
        <f t="shared" si="140"/>
        <v>46.124581782050242</v>
      </c>
      <c r="Y42">
        <f t="shared" si="141"/>
        <v>46.183489293904707</v>
      </c>
      <c r="Z42">
        <f t="shared" si="142"/>
        <v>24.181533616260054</v>
      </c>
      <c r="AA42">
        <f t="shared" si="143"/>
        <v>77.846276915682495</v>
      </c>
      <c r="AB42">
        <f t="shared" si="144"/>
        <v>7.3045314699543171</v>
      </c>
      <c r="AC42">
        <f t="shared" si="145"/>
        <v>8.2175979036986053</v>
      </c>
      <c r="AD42">
        <f t="shared" si="146"/>
        <v>1.4726877963617575</v>
      </c>
      <c r="AE42">
        <f t="shared" si="147"/>
        <v>8.836126778170543E-2</v>
      </c>
      <c r="AF42">
        <f t="shared" si="17"/>
        <v>225.61577040262122</v>
      </c>
      <c r="AG42" s="2">
        <v>6.6199999999999995E-2</v>
      </c>
      <c r="AH42" s="2">
        <v>9.4200000000000006E-2</v>
      </c>
      <c r="AI42" s="2">
        <v>0.1235</v>
      </c>
      <c r="AJ42" s="2">
        <v>0.14119999999999999</v>
      </c>
      <c r="AK42" s="2">
        <v>0.1608</v>
      </c>
      <c r="AL42" s="2">
        <v>0.17730000000000001</v>
      </c>
      <c r="AM42" s="2">
        <v>0.18579999999999999</v>
      </c>
      <c r="AN42" s="2">
        <v>0.1978</v>
      </c>
      <c r="AO42" s="2">
        <v>0.20649999999999999</v>
      </c>
      <c r="AP42">
        <f t="shared" si="119"/>
        <v>0.133199908616188</v>
      </c>
      <c r="AQ42" s="2">
        <v>482</v>
      </c>
      <c r="AR42" s="2">
        <v>1566</v>
      </c>
      <c r="AS42" s="2">
        <v>1568</v>
      </c>
      <c r="AT42" s="2">
        <v>821</v>
      </c>
      <c r="AU42" s="2">
        <v>2643</v>
      </c>
      <c r="AV42" s="2">
        <v>248</v>
      </c>
      <c r="AW42" s="2">
        <v>279</v>
      </c>
      <c r="AX42" s="2">
        <v>50</v>
      </c>
      <c r="AY42" s="2">
        <v>3</v>
      </c>
      <c r="AZ42">
        <f t="shared" si="83"/>
        <v>7660</v>
      </c>
      <c r="BA42">
        <f t="shared" si="148"/>
        <v>1991</v>
      </c>
      <c r="BB42">
        <f t="shared" si="222"/>
        <v>0.47231560471959466</v>
      </c>
      <c r="BC42">
        <f t="shared" si="123"/>
        <v>0.25084511596910603</v>
      </c>
      <c r="BD42">
        <f t="shared" si="149"/>
        <v>1.4364801209919256</v>
      </c>
      <c r="BE42">
        <f t="shared" si="150"/>
        <v>4.6670702686169205</v>
      </c>
      <c r="BF42">
        <f t="shared" si="151"/>
        <v>4.6730307670442723</v>
      </c>
      <c r="BG42">
        <f t="shared" si="152"/>
        <v>2.4467846044281556</v>
      </c>
      <c r="BH42">
        <f t="shared" si="153"/>
        <v>7.8767986717461804</v>
      </c>
      <c r="BI42">
        <f t="shared" si="154"/>
        <v>0.73910180499169609</v>
      </c>
      <c r="BJ42">
        <f t="shared" si="155"/>
        <v>0.83148953061565811</v>
      </c>
      <c r="BK42">
        <f t="shared" si="156"/>
        <v>0.14901246068380969</v>
      </c>
      <c r="BL42">
        <f t="shared" si="157"/>
        <v>8.9407476410285833E-3</v>
      </c>
      <c r="BM42" s="24">
        <f t="shared" si="158"/>
        <v>296.68064604065478</v>
      </c>
      <c r="BN42" s="24">
        <f t="shared" si="159"/>
        <v>108.92738023716392</v>
      </c>
      <c r="BO42" s="24">
        <f t="shared" si="160"/>
        <v>75.619812104723124</v>
      </c>
      <c r="BP42" s="24">
        <f t="shared" si="161"/>
        <v>56.121664454421349</v>
      </c>
      <c r="BQ42" s="24">
        <f t="shared" si="162"/>
        <v>76.056531179759972</v>
      </c>
      <c r="BR42" s="24">
        <f t="shared" si="163"/>
        <v>10.443474650976874</v>
      </c>
      <c r="BS42" s="24">
        <f t="shared" si="164"/>
        <v>8.0266040860302343</v>
      </c>
      <c r="BT42" s="24">
        <f t="shared" si="165"/>
        <v>0.95696636694713955</v>
      </c>
      <c r="BU42" s="23">
        <f t="shared" si="166"/>
        <v>3.443005774667967E-2</v>
      </c>
      <c r="BV42">
        <f t="shared" si="167"/>
        <v>29.11388052461492</v>
      </c>
      <c r="BW42">
        <v>0.93938761371895618</v>
      </c>
      <c r="BX42" s="2">
        <v>30.052</v>
      </c>
      <c r="CJ42">
        <v>1991</v>
      </c>
      <c r="CK42">
        <f t="shared" si="168"/>
        <v>5612</v>
      </c>
      <c r="CL42">
        <f t="shared" si="169"/>
        <v>227.25948290060538</v>
      </c>
      <c r="CM42" s="9">
        <f t="shared" si="170"/>
        <v>0.27940128296507483</v>
      </c>
      <c r="CN42" s="9">
        <f t="shared" si="171"/>
        <v>0.1462936564504633</v>
      </c>
      <c r="CO42" s="9">
        <f t="shared" si="172"/>
        <v>0.47095509622238063</v>
      </c>
      <c r="CP42" s="9">
        <f t="shared" si="173"/>
        <v>4.4191019244476125E-2</v>
      </c>
      <c r="CQ42" s="27">
        <f t="shared" si="38"/>
        <v>4.9714896650035638E-2</v>
      </c>
      <c r="CR42" s="27">
        <f t="shared" si="39"/>
        <v>8.9094796863863155E-3</v>
      </c>
      <c r="CS42" s="27">
        <f t="shared" si="40"/>
        <v>5.3456878118317893E-4</v>
      </c>
      <c r="CT42" s="29">
        <f t="shared" si="174"/>
        <v>0.33274656414578019</v>
      </c>
      <c r="CU42" s="9">
        <f t="shared" si="175"/>
        <v>0.24694971465268548</v>
      </c>
      <c r="CV42" s="9">
        <f t="shared" si="176"/>
        <v>0.33466824006206242</v>
      </c>
      <c r="CW42" s="9">
        <f t="shared" si="177"/>
        <v>4.5953966442599234E-2</v>
      </c>
      <c r="CX42" s="9">
        <f t="shared" si="178"/>
        <v>3.5319116208412583E-2</v>
      </c>
      <c r="CY42" s="9">
        <f t="shared" si="179"/>
        <v>4.2108974056131255E-3</v>
      </c>
      <c r="CZ42" s="9">
        <f t="shared" si="180"/>
        <v>1.5150108284695018E-4</v>
      </c>
      <c r="DA42">
        <f t="shared" si="181"/>
        <v>-1.3833157142848411</v>
      </c>
      <c r="DB42">
        <f t="shared" si="182"/>
        <v>-1.3751698115222486</v>
      </c>
      <c r="DC42">
        <f t="shared" si="124"/>
        <v>100</v>
      </c>
      <c r="DD42">
        <f t="shared" si="183"/>
        <v>18.715578236158358</v>
      </c>
      <c r="DE42">
        <f t="shared" si="184"/>
        <v>59.128172707460841</v>
      </c>
      <c r="DF42">
        <f t="shared" si="185"/>
        <v>48.728473669381835</v>
      </c>
      <c r="DG42">
        <f t="shared" si="186"/>
        <v>46.72667198441335</v>
      </c>
      <c r="DH42">
        <f t="shared" si="187"/>
        <v>45.811750304935174</v>
      </c>
      <c r="DI42">
        <f t="shared" si="188"/>
        <v>7.6055232105846882</v>
      </c>
      <c r="DJ42">
        <f t="shared" si="189"/>
        <v>4.8339087155890255</v>
      </c>
      <c r="DK42">
        <f t="shared" si="190"/>
        <v>0.38479873783581175</v>
      </c>
      <c r="DL42">
        <f t="shared" si="191"/>
        <v>1.0000000000000286E-4</v>
      </c>
      <c r="DM42">
        <f t="shared" si="192"/>
        <v>1991</v>
      </c>
      <c r="DN42" s="9">
        <f t="shared" si="193"/>
        <v>1.3816414664570361E-2</v>
      </c>
      <c r="DO42" s="9">
        <f t="shared" si="194"/>
        <v>0.1271166360348254</v>
      </c>
      <c r="DP42" s="9">
        <f t="shared" si="195"/>
        <v>0.18704366613513129</v>
      </c>
      <c r="DQ42" s="9">
        <f t="shared" si="196"/>
        <v>0.12944990067976328</v>
      </c>
      <c r="DR42" s="9">
        <f t="shared" si="197"/>
        <v>0.32807377471669452</v>
      </c>
      <c r="DS42" s="9">
        <f t="shared" si="198"/>
        <v>0.21627875069421004</v>
      </c>
      <c r="DT42" s="9">
        <f t="shared" si="199"/>
        <v>0.32816792861882382</v>
      </c>
      <c r="DU42" s="9">
        <f t="shared" si="200"/>
        <v>0.52373676907454991</v>
      </c>
      <c r="DV42" s="9">
        <f t="shared" si="201"/>
        <v>0.99607678671625433</v>
      </c>
      <c r="DW42">
        <f t="shared" si="202"/>
        <v>0.22559236485159387</v>
      </c>
      <c r="DX42">
        <f t="shared" si="96"/>
        <v>1991</v>
      </c>
      <c r="DY42" s="9">
        <f t="shared" si="223"/>
        <v>6.1245045565524799E-2</v>
      </c>
      <c r="DZ42" s="9">
        <f t="shared" si="224"/>
        <v>0.56347933636162373</v>
      </c>
      <c r="EA42" s="9">
        <f t="shared" si="99"/>
        <v>0.82912232538622543</v>
      </c>
      <c r="EB42" s="9">
        <f t="shared" si="100"/>
        <v>0.57382217153014914</v>
      </c>
      <c r="EC42" s="9">
        <f t="shared" si="101"/>
        <v>1.4542769429830578</v>
      </c>
      <c r="ED42" s="9">
        <f t="shared" si="102"/>
        <v>0.95871485205844265</v>
      </c>
      <c r="EE42" s="9">
        <f t="shared" si="103"/>
        <v>1.4546943059651394</v>
      </c>
      <c r="EF42" s="9">
        <f t="shared" si="104"/>
        <v>2.321606803577287</v>
      </c>
      <c r="EG42" s="9">
        <f t="shared" si="105"/>
        <v>4.4153834167726567</v>
      </c>
      <c r="EI42">
        <f t="shared" si="203"/>
        <v>5612</v>
      </c>
      <c r="EJ42" s="8">
        <f t="shared" si="204"/>
        <v>9973.2458928073502</v>
      </c>
      <c r="EK42" s="8">
        <f t="shared" si="205"/>
        <v>4692.6137744506022</v>
      </c>
      <c r="EL42" s="8">
        <f t="shared" si="206"/>
        <v>18187.826389319467</v>
      </c>
      <c r="EM42" s="8">
        <f t="shared" si="207"/>
        <v>1123.0063179765261</v>
      </c>
      <c r="EN42" s="8">
        <f t="shared" si="208"/>
        <v>1295.8429302379309</v>
      </c>
      <c r="EO42" s="8">
        <f t="shared" si="209"/>
        <v>148.47776695177302</v>
      </c>
      <c r="EP42" s="8">
        <f t="shared" si="210"/>
        <v>1.791759469228055</v>
      </c>
      <c r="EQ42">
        <f t="shared" si="108"/>
        <v>35422.804831212874</v>
      </c>
      <c r="ES42" s="8">
        <f t="shared" si="211"/>
        <v>10292.962054279918</v>
      </c>
      <c r="ET42" s="8">
        <f t="shared" si="212"/>
        <v>4908.2368820925003</v>
      </c>
      <c r="EU42" s="8">
        <f t="shared" si="213"/>
        <v>18550.611240422608</v>
      </c>
      <c r="EV42" s="8">
        <f t="shared" si="214"/>
        <v>1164.2519457000328</v>
      </c>
      <c r="EW42" s="8">
        <f t="shared" si="215"/>
        <v>1329.3353027347603</v>
      </c>
      <c r="EX42" s="8">
        <f t="shared" si="216"/>
        <v>148.64141922241245</v>
      </c>
      <c r="EY42" s="8">
        <f t="shared" si="217"/>
        <v>-2.5406410432298547</v>
      </c>
      <c r="EZ42">
        <f t="shared" si="110"/>
        <v>36391.498203408999</v>
      </c>
      <c r="FB42">
        <f t="shared" si="111"/>
        <v>42839.736904742793</v>
      </c>
      <c r="FC42">
        <f t="shared" si="218"/>
        <v>1107.4331257513095</v>
      </c>
      <c r="FD42">
        <f t="shared" si="219"/>
        <v>44961.537627464742</v>
      </c>
      <c r="FE42">
        <f t="shared" si="220"/>
        <v>-45.674224774513277</v>
      </c>
      <c r="FG42">
        <f t="shared" si="221"/>
        <v>236.78673109502066</v>
      </c>
      <c r="FJ42">
        <v>32.477872927573813</v>
      </c>
    </row>
    <row r="43" spans="4:166" x14ac:dyDescent="0.3">
      <c r="D43">
        <v>1992</v>
      </c>
      <c r="E43">
        <f t="shared" si="78"/>
        <v>49.216853065611083</v>
      </c>
      <c r="F43">
        <f t="shared" si="125"/>
        <v>7.5571748651688628E-2</v>
      </c>
      <c r="G43">
        <f t="shared" si="126"/>
        <v>0.36965267049679157</v>
      </c>
      <c r="H43">
        <f t="shared" si="127"/>
        <v>8.0579005620781699E-2</v>
      </c>
      <c r="I43" s="2">
        <v>3.1378530656110835</v>
      </c>
      <c r="J43">
        <f t="shared" si="128"/>
        <v>3.1378530656110835</v>
      </c>
      <c r="K43" s="2">
        <v>3.7130000000000001</v>
      </c>
      <c r="L43">
        <f t="shared" si="129"/>
        <v>42.366</v>
      </c>
      <c r="M43" s="25">
        <f t="shared" si="130"/>
        <v>0.41862635702164258</v>
      </c>
      <c r="N43" s="25">
        <f t="shared" si="131"/>
        <v>12.494054676058303</v>
      </c>
      <c r="O43" s="25">
        <f t="shared" si="132"/>
        <v>3.0425936257758557</v>
      </c>
      <c r="P43" s="25">
        <f t="shared" si="133"/>
        <v>4.2035265127740198</v>
      </c>
      <c r="Q43" s="25">
        <f t="shared" si="134"/>
        <v>1.8859764744170908</v>
      </c>
      <c r="R43" s="25">
        <f t="shared" si="135"/>
        <v>5.1055152614082795</v>
      </c>
      <c r="S43" s="25">
        <f t="shared" si="136"/>
        <v>0.6128344607945696</v>
      </c>
      <c r="T43" s="25">
        <f t="shared" si="137"/>
        <v>0.37546900062765876</v>
      </c>
      <c r="U43" s="25">
        <f t="shared" si="138"/>
        <v>6.4736034590975655E-2</v>
      </c>
      <c r="V43">
        <f t="shared" si="8"/>
        <v>28.203332403468398</v>
      </c>
      <c r="W43">
        <f t="shared" si="139"/>
        <v>4.7766022735197708</v>
      </c>
      <c r="X43">
        <f t="shared" si="140"/>
        <v>142.55941836948185</v>
      </c>
      <c r="Y43">
        <f t="shared" si="141"/>
        <v>34.716542297231328</v>
      </c>
      <c r="Z43">
        <f t="shared" si="142"/>
        <v>47.962996024827397</v>
      </c>
      <c r="AA43">
        <f t="shared" si="143"/>
        <v>21.519331892042679</v>
      </c>
      <c r="AB43">
        <f t="shared" si="144"/>
        <v>58.254850407978239</v>
      </c>
      <c r="AC43">
        <f t="shared" si="145"/>
        <v>6.9925517818536855</v>
      </c>
      <c r="AD43">
        <f t="shared" si="146"/>
        <v>4.284169049445568</v>
      </c>
      <c r="AE43">
        <f t="shared" si="147"/>
        <v>0.73864983611130486</v>
      </c>
      <c r="AF43">
        <f t="shared" si="17"/>
        <v>321.8051119324918</v>
      </c>
      <c r="AG43" s="2">
        <v>6.8599999999999994E-2</v>
      </c>
      <c r="AH43" s="2">
        <v>0.1007</v>
      </c>
      <c r="AI43" s="2">
        <v>0.12559999999999999</v>
      </c>
      <c r="AJ43" s="2">
        <v>0.14929999999999999</v>
      </c>
      <c r="AK43" s="2">
        <v>0.1638</v>
      </c>
      <c r="AL43" s="2">
        <v>0.17730000000000001</v>
      </c>
      <c r="AM43" s="2">
        <v>0.1875</v>
      </c>
      <c r="AN43" s="2">
        <v>0.1973</v>
      </c>
      <c r="AO43" s="2">
        <v>0.2051</v>
      </c>
      <c r="AP43">
        <f t="shared" si="119"/>
        <v>0.13165110941086458</v>
      </c>
      <c r="AQ43" s="2">
        <v>97</v>
      </c>
      <c r="AR43" s="2">
        <v>2895</v>
      </c>
      <c r="AS43" s="2">
        <v>705</v>
      </c>
      <c r="AT43" s="2">
        <v>974</v>
      </c>
      <c r="AU43" s="2">
        <v>437</v>
      </c>
      <c r="AV43" s="2">
        <v>1183</v>
      </c>
      <c r="AW43" s="2">
        <v>142</v>
      </c>
      <c r="AX43" s="2">
        <v>87</v>
      </c>
      <c r="AY43" s="2">
        <v>15</v>
      </c>
      <c r="AZ43">
        <f t="shared" si="83"/>
        <v>6535</v>
      </c>
      <c r="BA43">
        <f t="shared" si="148"/>
        <v>1992</v>
      </c>
      <c r="BB43">
        <f t="shared" si="222"/>
        <v>8.3309375693098958E-2</v>
      </c>
      <c r="BC43">
        <f t="shared" si="123"/>
        <v>0.38800462523277446</v>
      </c>
      <c r="BD43">
        <f t="shared" si="149"/>
        <v>0.35378076965417748</v>
      </c>
      <c r="BE43">
        <f t="shared" si="150"/>
        <v>10.558714723183957</v>
      </c>
      <c r="BF43">
        <f t="shared" si="151"/>
        <v>2.5712932227442802</v>
      </c>
      <c r="BG43">
        <f t="shared" si="152"/>
        <v>3.5523965942594731</v>
      </c>
      <c r="BH43">
        <f t="shared" si="153"/>
        <v>1.5938370756585112</v>
      </c>
      <c r="BI43">
        <f t="shared" si="154"/>
        <v>4.3146665000091957</v>
      </c>
      <c r="BJ43">
        <f t="shared" si="155"/>
        <v>0.5179058689782805</v>
      </c>
      <c r="BK43">
        <f t="shared" si="156"/>
        <v>0.31730852535993243</v>
      </c>
      <c r="BL43">
        <f t="shared" si="157"/>
        <v>5.4708366441367652E-2</v>
      </c>
      <c r="BM43" s="24">
        <f t="shared" si="158"/>
        <v>185.06427333846091</v>
      </c>
      <c r="BN43" s="24">
        <f t="shared" si="159"/>
        <v>220.89033021689082</v>
      </c>
      <c r="BO43" s="24">
        <f t="shared" si="160"/>
        <v>69.041864384201219</v>
      </c>
      <c r="BP43" s="24">
        <f t="shared" si="161"/>
        <v>43.755930409238957</v>
      </c>
      <c r="BQ43" s="24">
        <f t="shared" si="162"/>
        <v>32.32089557079258</v>
      </c>
      <c r="BR43" s="24">
        <f t="shared" si="163"/>
        <v>28.013061407701446</v>
      </c>
      <c r="BS43" s="24">
        <f t="shared" si="164"/>
        <v>3.9452074364857528</v>
      </c>
      <c r="BT43" s="24">
        <f t="shared" si="165"/>
        <v>2.0132934106978322</v>
      </c>
      <c r="BU43" s="23">
        <f t="shared" si="166"/>
        <v>0.1195444010323433</v>
      </c>
      <c r="BV43">
        <f t="shared" si="167"/>
        <v>34.670656249642391</v>
      </c>
      <c r="BW43">
        <v>0.9898884166824673</v>
      </c>
      <c r="BX43" s="2">
        <v>42.366</v>
      </c>
      <c r="CJ43">
        <v>1992</v>
      </c>
      <c r="CK43">
        <f t="shared" si="168"/>
        <v>3543</v>
      </c>
      <c r="CL43">
        <f t="shared" si="169"/>
        <v>179.20979702015015</v>
      </c>
      <c r="CM43" s="9">
        <f t="shared" si="170"/>
        <v>0.19898391193903472</v>
      </c>
      <c r="CN43" s="9">
        <f t="shared" si="171"/>
        <v>0.27490826982782951</v>
      </c>
      <c r="CO43" s="9">
        <f t="shared" si="172"/>
        <v>0.12334180073384138</v>
      </c>
      <c r="CP43" s="9">
        <f t="shared" si="173"/>
        <v>0.33389782670053625</v>
      </c>
      <c r="CQ43" s="27">
        <f t="shared" si="38"/>
        <v>4.0079029071408409E-2</v>
      </c>
      <c r="CR43" s="27">
        <f t="shared" si="39"/>
        <v>2.4555461473327687E-2</v>
      </c>
      <c r="CS43" s="27">
        <f t="shared" si="40"/>
        <v>4.2337002540220152E-3</v>
      </c>
      <c r="CT43" s="29">
        <f t="shared" si="174"/>
        <v>0.38525719872579417</v>
      </c>
      <c r="CU43" s="9">
        <f t="shared" si="175"/>
        <v>0.24416037034135521</v>
      </c>
      <c r="CV43" s="9">
        <f t="shared" si="176"/>
        <v>0.18035228044568599</v>
      </c>
      <c r="CW43" s="9">
        <f t="shared" si="177"/>
        <v>0.1563143414785057</v>
      </c>
      <c r="CX43" s="9">
        <f t="shared" si="178"/>
        <v>2.201446294837418E-2</v>
      </c>
      <c r="CY43" s="9">
        <f t="shared" si="179"/>
        <v>1.1234282077064457E-2</v>
      </c>
      <c r="CZ43" s="9">
        <f t="shared" si="180"/>
        <v>6.6706398322019121E-4</v>
      </c>
      <c r="DA43">
        <f t="shared" si="181"/>
        <v>-1.7024552703086551</v>
      </c>
      <c r="DB43">
        <f t="shared" si="182"/>
        <v>-1.6902672330405029</v>
      </c>
      <c r="DC43">
        <f t="shared" si="124"/>
        <v>100</v>
      </c>
      <c r="DD43">
        <f t="shared" si="183"/>
        <v>11.84596167648896</v>
      </c>
      <c r="DE43">
        <f t="shared" si="184"/>
        <v>128.5369464295994</v>
      </c>
      <c r="DF43">
        <f t="shared" si="185"/>
        <v>53.587531927657054</v>
      </c>
      <c r="DG43">
        <f t="shared" si="186"/>
        <v>36.000007302205468</v>
      </c>
      <c r="DH43">
        <f t="shared" si="187"/>
        <v>28.841082020716975</v>
      </c>
      <c r="DI43">
        <f t="shared" si="188"/>
        <v>18.592879646283972</v>
      </c>
      <c r="DJ43">
        <f t="shared" si="189"/>
        <v>2.8144671067129026</v>
      </c>
      <c r="DK43">
        <f t="shared" si="190"/>
        <v>1.320515884710241</v>
      </c>
      <c r="DL43">
        <f t="shared" si="191"/>
        <v>9.9999999999988987E-5</v>
      </c>
      <c r="DM43">
        <f t="shared" si="192"/>
        <v>1992</v>
      </c>
      <c r="DN43" s="9">
        <f t="shared" si="193"/>
        <v>2.2663918611212602E-3</v>
      </c>
      <c r="DO43" s="9">
        <f t="shared" si="194"/>
        <v>5.9401695968203723E-2</v>
      </c>
      <c r="DP43" s="9">
        <f t="shared" si="195"/>
        <v>4.577354418070817E-2</v>
      </c>
      <c r="DQ43" s="9">
        <f t="shared" si="196"/>
        <v>0.10455614504235004</v>
      </c>
      <c r="DR43" s="9">
        <f t="shared" si="197"/>
        <v>6.1378360532484876E-2</v>
      </c>
      <c r="DS43" s="9">
        <f t="shared" si="198"/>
        <v>0.21543717544140858</v>
      </c>
      <c r="DT43" s="9">
        <f t="shared" si="199"/>
        <v>0.17880961121266534</v>
      </c>
      <c r="DU43" s="9">
        <f t="shared" si="200"/>
        <v>0.22138699694416919</v>
      </c>
      <c r="DV43" s="9">
        <f t="shared" si="201"/>
        <v>0.99845764780911039</v>
      </c>
      <c r="DW43">
        <f t="shared" si="202"/>
        <v>9.1953001513358432E-2</v>
      </c>
      <c r="DX43">
        <f t="shared" si="96"/>
        <v>1992</v>
      </c>
      <c r="DY43" s="9">
        <f t="shared" si="223"/>
        <v>2.4647285285103078E-2</v>
      </c>
      <c r="DZ43" s="9">
        <f t="shared" si="224"/>
        <v>0.64600061977937906</v>
      </c>
      <c r="EA43" s="9">
        <f t="shared" si="99"/>
        <v>0.49779282271779285</v>
      </c>
      <c r="EB43" s="9">
        <f t="shared" si="100"/>
        <v>1.1370607084224509</v>
      </c>
      <c r="EC43" s="9">
        <f t="shared" si="101"/>
        <v>0.66749708571033606</v>
      </c>
      <c r="ED43" s="9">
        <f t="shared" si="102"/>
        <v>2.3429053091878793</v>
      </c>
      <c r="EE43" s="9">
        <f t="shared" si="103"/>
        <v>1.9445761233437153</v>
      </c>
      <c r="EF43" s="9">
        <f t="shared" si="104"/>
        <v>2.4076103368089328</v>
      </c>
      <c r="EG43" s="9">
        <f t="shared" si="105"/>
        <v>10.858347540336243</v>
      </c>
      <c r="EI43">
        <f t="shared" si="203"/>
        <v>3543</v>
      </c>
      <c r="EJ43" s="8">
        <f t="shared" si="204"/>
        <v>3922.7276066205623</v>
      </c>
      <c r="EK43" s="8">
        <f t="shared" si="205"/>
        <v>5732.8543394906901</v>
      </c>
      <c r="EL43" s="8">
        <f t="shared" si="206"/>
        <v>2223.8899020816189</v>
      </c>
      <c r="EM43" s="8">
        <f t="shared" si="207"/>
        <v>7192.1387994940014</v>
      </c>
      <c r="EN43" s="8">
        <f t="shared" si="208"/>
        <v>565.12488109487424</v>
      </c>
      <c r="EO43" s="8">
        <f t="shared" si="209"/>
        <v>304.68685676566872</v>
      </c>
      <c r="EP43" s="8">
        <f t="shared" si="210"/>
        <v>27.899271383840894</v>
      </c>
      <c r="EQ43">
        <f t="shared" si="108"/>
        <v>19969.321656931257</v>
      </c>
      <c r="ES43" s="8">
        <f t="shared" si="211"/>
        <v>4127.2510356655448</v>
      </c>
      <c r="ET43" s="8">
        <f t="shared" si="212"/>
        <v>5888.6718129302271</v>
      </c>
      <c r="EU43" s="8">
        <f t="shared" si="213"/>
        <v>2324.4215281931451</v>
      </c>
      <c r="EV43" s="8">
        <f t="shared" si="214"/>
        <v>7304.6624150373354</v>
      </c>
      <c r="EW43" s="8">
        <f t="shared" si="215"/>
        <v>576.03856993411296</v>
      </c>
      <c r="EX43" s="8">
        <f t="shared" si="216"/>
        <v>308.1111894717024</v>
      </c>
      <c r="EY43" s="8">
        <f t="shared" si="217"/>
        <v>23.253743775755172</v>
      </c>
      <c r="EZ43">
        <f t="shared" si="110"/>
        <v>20552.410295007823</v>
      </c>
      <c r="FB43">
        <f t="shared" si="111"/>
        <v>25417.984545144562</v>
      </c>
      <c r="FC43">
        <f t="shared" si="218"/>
        <v>627.22428925535849</v>
      </c>
      <c r="FD43">
        <f t="shared" si="219"/>
        <v>26683.320466003159</v>
      </c>
      <c r="FE43">
        <f t="shared" si="220"/>
        <v>-55.022993526672508</v>
      </c>
      <c r="FG43">
        <f t="shared" si="221"/>
        <v>149.84273775415491</v>
      </c>
      <c r="FJ43">
        <v>38.905345531876371</v>
      </c>
    </row>
    <row r="44" spans="4:166" x14ac:dyDescent="0.3">
      <c r="D44">
        <v>1993</v>
      </c>
      <c r="E44">
        <f t="shared" si="78"/>
        <v>45.454828797624934</v>
      </c>
      <c r="F44">
        <f t="shared" si="125"/>
        <v>7.0751712645375386E-2</v>
      </c>
      <c r="G44">
        <f t="shared" si="126"/>
        <v>0.34184882486381046</v>
      </c>
      <c r="H44">
        <f t="shared" si="127"/>
        <v>0.13195081234863981</v>
      </c>
      <c r="I44" s="2">
        <v>2.923828797624938</v>
      </c>
      <c r="J44">
        <f t="shared" si="128"/>
        <v>2.923828797624938</v>
      </c>
      <c r="K44" s="2">
        <v>5.6120000000000001</v>
      </c>
      <c r="L44">
        <f t="shared" si="129"/>
        <v>36.918999999999997</v>
      </c>
      <c r="M44" s="25">
        <f t="shared" si="130"/>
        <v>1.748408010979305</v>
      </c>
      <c r="N44" s="25">
        <f t="shared" si="131"/>
        <v>12.483960003627935</v>
      </c>
      <c r="O44" s="25">
        <f t="shared" si="132"/>
        <v>18.423645162422115</v>
      </c>
      <c r="P44" s="25">
        <f t="shared" si="133"/>
        <v>3.1046497391221299</v>
      </c>
      <c r="Q44" s="25">
        <f t="shared" si="134"/>
        <v>3.3987744512494902</v>
      </c>
      <c r="R44" s="25">
        <f t="shared" si="135"/>
        <v>1.8464495816884248</v>
      </c>
      <c r="S44" s="25">
        <f t="shared" si="136"/>
        <v>3.4559653674964763</v>
      </c>
      <c r="T44" s="25">
        <f t="shared" si="137"/>
        <v>0.41667667551375959</v>
      </c>
      <c r="U44" s="25">
        <f t="shared" si="138"/>
        <v>0.25327405766522643</v>
      </c>
      <c r="V44">
        <f t="shared" si="8"/>
        <v>45.131803049764855</v>
      </c>
      <c r="W44">
        <f t="shared" si="139"/>
        <v>11.502044789263177</v>
      </c>
      <c r="X44">
        <f t="shared" si="140"/>
        <v>82.126749710252966</v>
      </c>
      <c r="Y44">
        <f t="shared" si="141"/>
        <v>121.20145327003955</v>
      </c>
      <c r="Z44">
        <f t="shared" si="142"/>
        <v>20.424191681869193</v>
      </c>
      <c r="AA44">
        <f t="shared" si="143"/>
        <v>22.359115104362065</v>
      </c>
      <c r="AB44">
        <f t="shared" si="144"/>
        <v>12.147019263427469</v>
      </c>
      <c r="AC44">
        <f t="shared" si="145"/>
        <v>22.735350214291234</v>
      </c>
      <c r="AD44">
        <f t="shared" si="146"/>
        <v>2.7411415151982337</v>
      </c>
      <c r="AE44">
        <f t="shared" si="147"/>
        <v>1.6661840582577501</v>
      </c>
      <c r="AF44">
        <f t="shared" si="17"/>
        <v>296.90324960696165</v>
      </c>
      <c r="AG44" s="2">
        <v>6.8500000000000005E-2</v>
      </c>
      <c r="AH44" s="2">
        <v>9.7299999999999998E-2</v>
      </c>
      <c r="AI44" s="2">
        <v>0.1217</v>
      </c>
      <c r="AJ44" s="2">
        <v>0.1406</v>
      </c>
      <c r="AK44" s="2">
        <v>0.1593</v>
      </c>
      <c r="AL44" s="2">
        <v>0.1694</v>
      </c>
      <c r="AM44" s="2">
        <v>0.1784</v>
      </c>
      <c r="AN44" s="2">
        <v>0.18729999999999999</v>
      </c>
      <c r="AO44" s="2">
        <v>0.19769999999999999</v>
      </c>
      <c r="AP44">
        <f t="shared" si="119"/>
        <v>0.12434690441708907</v>
      </c>
      <c r="AQ44" s="2">
        <v>214</v>
      </c>
      <c r="AR44" s="2">
        <v>1528</v>
      </c>
      <c r="AS44" s="2">
        <v>2255</v>
      </c>
      <c r="AT44" s="2">
        <v>380</v>
      </c>
      <c r="AU44" s="2">
        <v>416</v>
      </c>
      <c r="AV44" s="2">
        <v>226</v>
      </c>
      <c r="AW44" s="2">
        <v>423</v>
      </c>
      <c r="AX44" s="2">
        <v>51</v>
      </c>
      <c r="AY44" s="2">
        <v>31</v>
      </c>
      <c r="AZ44">
        <f t="shared" si="83"/>
        <v>5524</v>
      </c>
      <c r="BA44">
        <f t="shared" si="148"/>
        <v>1993</v>
      </c>
      <c r="BB44">
        <f t="shared" si="222"/>
        <v>0.60838889528562978</v>
      </c>
      <c r="BC44">
        <f t="shared" si="123"/>
        <v>0.37843513870953016</v>
      </c>
      <c r="BD44">
        <f t="shared" si="149"/>
        <v>0.91091334506404675</v>
      </c>
      <c r="BE44">
        <f t="shared" si="150"/>
        <v>6.5040915479339416</v>
      </c>
      <c r="BF44">
        <f t="shared" si="151"/>
        <v>9.5986429585019888</v>
      </c>
      <c r="BG44">
        <f t="shared" si="152"/>
        <v>1.6175096781511111</v>
      </c>
      <c r="BH44">
        <f t="shared" si="153"/>
        <v>1.7707474371338479</v>
      </c>
      <c r="BI44">
        <f t="shared" si="154"/>
        <v>0.9619925980582924</v>
      </c>
      <c r="BJ44">
        <f t="shared" si="155"/>
        <v>1.8005436680471576</v>
      </c>
      <c r="BK44">
        <f t="shared" si="156"/>
        <v>0.21708682522554382</v>
      </c>
      <c r="BL44">
        <f t="shared" si="157"/>
        <v>0.13195473690180118</v>
      </c>
      <c r="BM44" s="24">
        <f t="shared" si="158"/>
        <v>148.75203202719143</v>
      </c>
      <c r="BN44" s="24">
        <f t="shared" si="159"/>
        <v>137.7509516308603</v>
      </c>
      <c r="BO44" s="24">
        <f t="shared" si="160"/>
        <v>147.87583328354577</v>
      </c>
      <c r="BP44" s="24">
        <f t="shared" si="161"/>
        <v>47.40987983383387</v>
      </c>
      <c r="BQ44" s="24">
        <f t="shared" si="162"/>
        <v>24.412656088655375</v>
      </c>
      <c r="BR44" s="24">
        <f t="shared" si="163"/>
        <v>17.175558648384587</v>
      </c>
      <c r="BS44" s="24">
        <f t="shared" si="164"/>
        <v>9.3103606854740981</v>
      </c>
      <c r="BT44" s="24">
        <f t="shared" si="165"/>
        <v>1.1182766947916709</v>
      </c>
      <c r="BU44" s="23">
        <f t="shared" si="166"/>
        <v>0.38532879456702762</v>
      </c>
      <c r="BV44">
        <f t="shared" si="167"/>
        <v>32.789372929715171</v>
      </c>
      <c r="BW44">
        <v>0.91301843259776461</v>
      </c>
      <c r="BX44" s="2">
        <v>36.918999999999997</v>
      </c>
      <c r="CJ44">
        <v>1993</v>
      </c>
      <c r="CK44">
        <f t="shared" si="168"/>
        <v>3782</v>
      </c>
      <c r="CL44">
        <f t="shared" si="169"/>
        <v>247.68789402925242</v>
      </c>
      <c r="CM44" s="9">
        <f t="shared" si="170"/>
        <v>0.59624537281861445</v>
      </c>
      <c r="CN44" s="9">
        <f t="shared" si="171"/>
        <v>0.10047593865679534</v>
      </c>
      <c r="CO44" s="9">
        <f t="shared" si="172"/>
        <v>0.10999471179270227</v>
      </c>
      <c r="CP44" s="9">
        <f t="shared" si="173"/>
        <v>5.9756742464304603E-2</v>
      </c>
      <c r="CQ44" s="27">
        <f t="shared" si="38"/>
        <v>0.1118455843469064</v>
      </c>
      <c r="CR44" s="27">
        <f t="shared" si="39"/>
        <v>1.3484928609201481E-2</v>
      </c>
      <c r="CS44" s="27">
        <f t="shared" si="40"/>
        <v>8.1967213114754103E-3</v>
      </c>
      <c r="CT44" s="29">
        <f t="shared" si="174"/>
        <v>0.59702487222117262</v>
      </c>
      <c r="CU44" s="9">
        <f t="shared" si="175"/>
        <v>0.19140975791184478</v>
      </c>
      <c r="CV44" s="9">
        <f t="shared" si="176"/>
        <v>9.8562169073035888E-2</v>
      </c>
      <c r="CW44" s="9">
        <f t="shared" si="177"/>
        <v>6.9343553166777386E-2</v>
      </c>
      <c r="CX44" s="9">
        <f t="shared" si="178"/>
        <v>3.758908251032457E-2</v>
      </c>
      <c r="CY44" s="9">
        <f t="shared" si="179"/>
        <v>4.5148621379920983E-3</v>
      </c>
      <c r="CZ44" s="9">
        <f t="shared" si="180"/>
        <v>1.5557029788525697E-3</v>
      </c>
      <c r="DA44">
        <f t="shared" si="181"/>
        <v>-1.3807766228218519</v>
      </c>
      <c r="DB44">
        <f t="shared" si="182"/>
        <v>-1.3676005731713654</v>
      </c>
      <c r="DC44">
        <f t="shared" si="124"/>
        <v>100</v>
      </c>
      <c r="DD44">
        <f t="shared" si="183"/>
        <v>9.3905861794031846</v>
      </c>
      <c r="DE44">
        <f t="shared" si="184"/>
        <v>77.161386655930002</v>
      </c>
      <c r="DF44">
        <f t="shared" si="185"/>
        <v>101.25903312038986</v>
      </c>
      <c r="DG44">
        <f t="shared" si="186"/>
        <v>42.68772041656063</v>
      </c>
      <c r="DH44">
        <f t="shared" si="187"/>
        <v>19.243134200272035</v>
      </c>
      <c r="DI44">
        <f t="shared" si="188"/>
        <v>14.367116468637871</v>
      </c>
      <c r="DJ44">
        <f t="shared" si="189"/>
        <v>4.0538516499304649</v>
      </c>
      <c r="DK44">
        <f t="shared" si="190"/>
        <v>0.48451319405236754</v>
      </c>
      <c r="DL44">
        <f t="shared" si="191"/>
        <v>1.000000000000445E-4</v>
      </c>
      <c r="DM44">
        <f t="shared" si="192"/>
        <v>1993</v>
      </c>
      <c r="DN44" s="9">
        <f t="shared" si="193"/>
        <v>1.1826263400634503E-2</v>
      </c>
      <c r="DO44" s="9">
        <f t="shared" si="194"/>
        <v>9.5118161270602075E-2</v>
      </c>
      <c r="DP44" s="9">
        <f t="shared" si="195"/>
        <v>0.13323705174450132</v>
      </c>
      <c r="DQ44" s="9">
        <f t="shared" si="196"/>
        <v>6.7798406777528367E-2</v>
      </c>
      <c r="DR44" s="9">
        <f t="shared" si="197"/>
        <v>0.15010989150956999</v>
      </c>
      <c r="DS44" s="9">
        <f t="shared" si="198"/>
        <v>0.11388300241644035</v>
      </c>
      <c r="DT44" s="9">
        <f t="shared" si="199"/>
        <v>0.4601930192808586</v>
      </c>
      <c r="DU44" s="9">
        <f t="shared" si="200"/>
        <v>0.46236280453792306</v>
      </c>
      <c r="DV44" s="9">
        <f t="shared" si="201"/>
        <v>0.99960532660319878</v>
      </c>
      <c r="DW44">
        <f t="shared" si="202"/>
        <v>0.13342334702455405</v>
      </c>
      <c r="DX44">
        <f t="shared" si="96"/>
        <v>1993</v>
      </c>
      <c r="DY44" s="9">
        <f t="shared" si="223"/>
        <v>8.8637136336102429E-2</v>
      </c>
      <c r="DZ44" s="9">
        <f t="shared" si="224"/>
        <v>0.71290492550076245</v>
      </c>
      <c r="EA44" s="9">
        <f t="shared" si="99"/>
        <v>0.99860372802656161</v>
      </c>
      <c r="EB44" s="9">
        <f t="shared" si="100"/>
        <v>0.50814500077749769</v>
      </c>
      <c r="EC44" s="9">
        <f t="shared" si="101"/>
        <v>1.1250646521552565</v>
      </c>
      <c r="ED44" s="9">
        <f t="shared" si="102"/>
        <v>0.85354628673407762</v>
      </c>
      <c r="EE44" s="9">
        <f t="shared" si="103"/>
        <v>3.4491191350204153</v>
      </c>
      <c r="EF44" s="9">
        <f t="shared" si="104"/>
        <v>3.4653815456513311</v>
      </c>
      <c r="EG44" s="9">
        <f t="shared" si="105"/>
        <v>7.4919820923038323</v>
      </c>
      <c r="EI44">
        <f t="shared" si="203"/>
        <v>3782</v>
      </c>
      <c r="EJ44" s="8">
        <f t="shared" si="204"/>
        <v>15160.420771231524</v>
      </c>
      <c r="EK44" s="8">
        <f t="shared" si="205"/>
        <v>1881.1543194915237</v>
      </c>
      <c r="EL44" s="8">
        <f t="shared" si="206"/>
        <v>2096.6995497524949</v>
      </c>
      <c r="EM44" s="8">
        <f t="shared" si="207"/>
        <v>1002.6704845997003</v>
      </c>
      <c r="EN44" s="8">
        <f t="shared" si="208"/>
        <v>2138.9812533647828</v>
      </c>
      <c r="EO44" s="8">
        <f t="shared" si="209"/>
        <v>152.40959258449737</v>
      </c>
      <c r="EP44" s="8">
        <f t="shared" si="210"/>
        <v>78.092223553315307</v>
      </c>
      <c r="EQ44">
        <f t="shared" si="108"/>
        <v>22510.428194577835</v>
      </c>
      <c r="ES44" s="8">
        <f t="shared" si="211"/>
        <v>15564.797423711665</v>
      </c>
      <c r="ET44" s="8">
        <f t="shared" si="212"/>
        <v>1987.8470088643076</v>
      </c>
      <c r="EU44" s="8">
        <f t="shared" si="213"/>
        <v>2160.7105997203757</v>
      </c>
      <c r="EV44" s="8">
        <f t="shared" si="214"/>
        <v>1043.5694897529374</v>
      </c>
      <c r="EW44" s="8">
        <f t="shared" si="215"/>
        <v>2165.4886513735023</v>
      </c>
      <c r="EX44" s="8">
        <f t="shared" si="216"/>
        <v>151.21656429513629</v>
      </c>
      <c r="EY44" s="8">
        <f t="shared" si="217"/>
        <v>74.287046839917807</v>
      </c>
      <c r="EZ44">
        <f t="shared" si="110"/>
        <v>23147.916784557845</v>
      </c>
      <c r="FB44">
        <f t="shared" si="111"/>
        <v>27379.185163236012</v>
      </c>
      <c r="FC44">
        <f t="shared" si="218"/>
        <v>680.4402104874074</v>
      </c>
      <c r="FD44">
        <f t="shared" si="219"/>
        <v>28741.194051911771</v>
      </c>
      <c r="FE44">
        <f t="shared" si="220"/>
        <v>-44.080088208342204</v>
      </c>
      <c r="FG44">
        <f t="shared" si="221"/>
        <v>159.88605066303211</v>
      </c>
      <c r="FJ44">
        <v>35.424727643685927</v>
      </c>
    </row>
    <row r="45" spans="4:166" x14ac:dyDescent="0.3">
      <c r="D45">
        <v>1994</v>
      </c>
      <c r="E45">
        <f t="shared" si="78"/>
        <v>33.998389295398312</v>
      </c>
      <c r="F45">
        <f t="shared" si="125"/>
        <v>7.1997085932604399E-2</v>
      </c>
      <c r="G45">
        <f t="shared" si="126"/>
        <v>0.32842464504445101</v>
      </c>
      <c r="H45">
        <f t="shared" si="127"/>
        <v>0.19301329583226801</v>
      </c>
      <c r="I45" s="2">
        <v>2.7103892953983175</v>
      </c>
      <c r="J45">
        <f t="shared" si="128"/>
        <v>2.7103892953983175</v>
      </c>
      <c r="K45" s="2">
        <v>6.0389999999999997</v>
      </c>
      <c r="L45">
        <f t="shared" si="129"/>
        <v>25.248999999999999</v>
      </c>
      <c r="M45" s="25">
        <f t="shared" si="130"/>
        <v>1.3090031074605706</v>
      </c>
      <c r="N45" s="25">
        <f t="shared" si="131"/>
        <v>9.9856193334150642</v>
      </c>
      <c r="O45" s="25">
        <f t="shared" si="132"/>
        <v>11.788180989590275</v>
      </c>
      <c r="P45" s="25">
        <f t="shared" si="133"/>
        <v>15.750955424197686</v>
      </c>
      <c r="Q45" s="25">
        <f t="shared" si="134"/>
        <v>3.7481837612532187</v>
      </c>
      <c r="R45" s="25">
        <f t="shared" si="135"/>
        <v>2.2746611375544341</v>
      </c>
      <c r="S45" s="25">
        <f t="shared" si="136"/>
        <v>2.3891094966766699</v>
      </c>
      <c r="T45" s="25">
        <f t="shared" si="137"/>
        <v>0.70099619962369364</v>
      </c>
      <c r="U45" s="25">
        <f t="shared" si="138"/>
        <v>0.10729533667709595</v>
      </c>
      <c r="V45">
        <f t="shared" si="8"/>
        <v>48.054004786448701</v>
      </c>
      <c r="W45">
        <f t="shared" si="139"/>
        <v>5.4729292035555472</v>
      </c>
      <c r="X45">
        <f t="shared" si="140"/>
        <v>41.749776875210621</v>
      </c>
      <c r="Y45">
        <f t="shared" si="141"/>
        <v>49.28626954895924</v>
      </c>
      <c r="Z45">
        <f t="shared" si="142"/>
        <v>65.854590744422481</v>
      </c>
      <c r="AA45">
        <f t="shared" si="143"/>
        <v>15.671119686683642</v>
      </c>
      <c r="AB45">
        <f t="shared" si="144"/>
        <v>9.5103359930637374</v>
      </c>
      <c r="AC45">
        <f t="shared" si="145"/>
        <v>9.9888434644128541</v>
      </c>
      <c r="AD45">
        <f t="shared" si="146"/>
        <v>2.930858262013353</v>
      </c>
      <c r="AE45">
        <f t="shared" si="147"/>
        <v>0.44860075438979891</v>
      </c>
      <c r="AF45">
        <f t="shared" si="17"/>
        <v>200.91332453271127</v>
      </c>
      <c r="AG45" s="2">
        <v>6.4799999999999996E-2</v>
      </c>
      <c r="AH45" s="2">
        <v>9.4700000000000006E-2</v>
      </c>
      <c r="AI45" s="2">
        <v>0.11940000000000001</v>
      </c>
      <c r="AJ45" s="2">
        <v>0.13589999999999999</v>
      </c>
      <c r="AK45" s="2">
        <v>0.14979999999999999</v>
      </c>
      <c r="AL45" s="2">
        <v>0.1605</v>
      </c>
      <c r="AM45" s="2">
        <v>0.16420000000000001</v>
      </c>
      <c r="AN45" s="2">
        <v>0.17480000000000001</v>
      </c>
      <c r="AO45" s="2">
        <v>0.1779</v>
      </c>
      <c r="AP45">
        <f t="shared" si="119"/>
        <v>0.12567110747246202</v>
      </c>
      <c r="AQ45" s="2">
        <v>183</v>
      </c>
      <c r="AR45" s="2">
        <v>1396</v>
      </c>
      <c r="AS45" s="2">
        <v>1648</v>
      </c>
      <c r="AT45" s="2">
        <v>2202</v>
      </c>
      <c r="AU45" s="2">
        <v>524</v>
      </c>
      <c r="AV45" s="2">
        <v>318</v>
      </c>
      <c r="AW45" s="2">
        <v>334</v>
      </c>
      <c r="AX45" s="2">
        <v>98</v>
      </c>
      <c r="AY45" s="2">
        <v>15</v>
      </c>
      <c r="AZ45">
        <f t="shared" si="83"/>
        <v>6718</v>
      </c>
      <c r="BA45">
        <f t="shared" si="148"/>
        <v>1994</v>
      </c>
      <c r="BB45">
        <f t="shared" si="222"/>
        <v>0.44360714514986183</v>
      </c>
      <c r="BC45">
        <f t="shared" si="123"/>
        <v>0.41409347215958253</v>
      </c>
      <c r="BD45">
        <f t="shared" si="149"/>
        <v>0.58749925651668566</v>
      </c>
      <c r="BE45">
        <f t="shared" si="150"/>
        <v>4.4816883174715478</v>
      </c>
      <c r="BF45">
        <f t="shared" si="151"/>
        <v>5.2907036871010815</v>
      </c>
      <c r="BG45">
        <f t="shared" si="152"/>
        <v>7.0692533489056926</v>
      </c>
      <c r="BH45">
        <f t="shared" si="153"/>
        <v>1.6822383082772856</v>
      </c>
      <c r="BI45">
        <f t="shared" si="154"/>
        <v>1.0209003473896505</v>
      </c>
      <c r="BJ45">
        <f t="shared" si="155"/>
        <v>1.0722664026042241</v>
      </c>
      <c r="BK45">
        <f t="shared" si="156"/>
        <v>0.31461708818926332</v>
      </c>
      <c r="BL45">
        <f t="shared" si="157"/>
        <v>4.8155676763662759E-2</v>
      </c>
      <c r="BM45" s="24">
        <f t="shared" si="158"/>
        <v>69.393318531146733</v>
      </c>
      <c r="BN45" s="24">
        <f t="shared" si="159"/>
        <v>111.69492024369059</v>
      </c>
      <c r="BO45" s="24">
        <f t="shared" si="160"/>
        <v>90.79994820979924</v>
      </c>
      <c r="BP45" s="24">
        <f t="shared" si="161"/>
        <v>91.633799525319759</v>
      </c>
      <c r="BQ45" s="24">
        <f t="shared" si="162"/>
        <v>29.834239315621044</v>
      </c>
      <c r="BR45" s="24">
        <f t="shared" si="163"/>
        <v>11.930386162240767</v>
      </c>
      <c r="BS45" s="24">
        <f t="shared" si="164"/>
        <v>7.5912741027384527</v>
      </c>
      <c r="BT45" s="24">
        <f t="shared" si="165"/>
        <v>1.7304231434900195</v>
      </c>
      <c r="BU45" s="23">
        <f t="shared" si="166"/>
        <v>0.1555510134407587</v>
      </c>
      <c r="BV45">
        <f t="shared" si="167"/>
        <v>28.896430119230221</v>
      </c>
      <c r="BW45">
        <v>0.86280428975808232</v>
      </c>
      <c r="BX45" s="2">
        <v>25.248999999999999</v>
      </c>
      <c r="CJ45">
        <v>1994</v>
      </c>
      <c r="CK45">
        <f t="shared" si="168"/>
        <v>5139</v>
      </c>
      <c r="CL45">
        <f t="shared" si="169"/>
        <v>233.67562147265005</v>
      </c>
      <c r="CM45" s="9">
        <f t="shared" si="170"/>
        <v>0.32068495816306675</v>
      </c>
      <c r="CN45" s="9">
        <f t="shared" si="171"/>
        <v>0.42848803269118507</v>
      </c>
      <c r="CO45" s="9">
        <f t="shared" si="172"/>
        <v>0.10196536291107219</v>
      </c>
      <c r="CP45" s="9">
        <f t="shared" si="173"/>
        <v>6.187974314068885E-2</v>
      </c>
      <c r="CQ45" s="27">
        <f t="shared" si="38"/>
        <v>6.499318933644678E-2</v>
      </c>
      <c r="CR45" s="27">
        <f t="shared" si="39"/>
        <v>1.9069857949017319E-2</v>
      </c>
      <c r="CS45" s="27">
        <f t="shared" si="40"/>
        <v>2.918855808523059E-3</v>
      </c>
      <c r="CT45" s="29">
        <f t="shared" si="174"/>
        <v>0.38857261890464978</v>
      </c>
      <c r="CU45" s="9">
        <f t="shared" si="175"/>
        <v>0.39214103271806122</v>
      </c>
      <c r="CV45" s="9">
        <f t="shared" si="176"/>
        <v>0.12767373475933139</v>
      </c>
      <c r="CW45" s="9">
        <f t="shared" si="177"/>
        <v>5.1055330834488134E-2</v>
      </c>
      <c r="CX45" s="9">
        <f t="shared" si="178"/>
        <v>3.24863760066086E-2</v>
      </c>
      <c r="CY45" s="9">
        <f t="shared" si="179"/>
        <v>7.4052360814735327E-3</v>
      </c>
      <c r="CZ45" s="9">
        <f t="shared" si="180"/>
        <v>6.6567069538730106E-4</v>
      </c>
      <c r="DA45">
        <f t="shared" si="181"/>
        <v>-1.4358268851429419</v>
      </c>
      <c r="DB45">
        <f t="shared" si="182"/>
        <v>-1.4248652921878615</v>
      </c>
      <c r="DC45">
        <f t="shared" si="124"/>
        <v>100</v>
      </c>
      <c r="DD45">
        <f t="shared" si="183"/>
        <v>4.3385783324938716</v>
      </c>
      <c r="DE45">
        <f t="shared" si="184"/>
        <v>63.169705386926879</v>
      </c>
      <c r="DF45">
        <f t="shared" si="185"/>
        <v>62.283711373248529</v>
      </c>
      <c r="DG45">
        <f t="shared" si="186"/>
        <v>68.813590752216385</v>
      </c>
      <c r="DH45">
        <f t="shared" si="187"/>
        <v>24.40381724609054</v>
      </c>
      <c r="DI45">
        <f t="shared" si="188"/>
        <v>8.6348246772966828</v>
      </c>
      <c r="DJ45">
        <f t="shared" si="189"/>
        <v>4.1298982034575582</v>
      </c>
      <c r="DK45">
        <f t="shared" si="190"/>
        <v>0.71480985567706246</v>
      </c>
      <c r="DL45">
        <f t="shared" si="191"/>
        <v>9.9999999999988987E-5</v>
      </c>
      <c r="DM45">
        <f t="shared" si="192"/>
        <v>1994</v>
      </c>
      <c r="DN45" s="9">
        <f t="shared" si="193"/>
        <v>1.9024598809525745E-2</v>
      </c>
      <c r="DO45" s="9">
        <f t="shared" si="194"/>
        <v>9.3137937864673934E-2</v>
      </c>
      <c r="DP45" s="9">
        <f t="shared" si="195"/>
        <v>0.13785855617588974</v>
      </c>
      <c r="DQ45" s="9">
        <f t="shared" si="196"/>
        <v>0.18625956309561312</v>
      </c>
      <c r="DR45" s="9">
        <f t="shared" si="197"/>
        <v>0.13314093588855241</v>
      </c>
      <c r="DS45" s="9">
        <f t="shared" si="198"/>
        <v>0.20850305652883575</v>
      </c>
      <c r="DT45" s="9">
        <f t="shared" si="199"/>
        <v>0.36648361323878748</v>
      </c>
      <c r="DU45" s="9">
        <f t="shared" si="200"/>
        <v>0.49512162841737728</v>
      </c>
      <c r="DV45" s="9">
        <f t="shared" si="201"/>
        <v>0.99906886087334823</v>
      </c>
      <c r="DW45">
        <f t="shared" si="202"/>
        <v>0.16925963606442135</v>
      </c>
      <c r="DX45">
        <f t="shared" si="96"/>
        <v>1994</v>
      </c>
      <c r="DY45" s="9">
        <f t="shared" si="223"/>
        <v>0.11239891123412823</v>
      </c>
      <c r="DZ45" s="9">
        <f t="shared" si="224"/>
        <v>0.55026667922897465</v>
      </c>
      <c r="EA45" s="9">
        <f t="shared" si="99"/>
        <v>0.81447980972510103</v>
      </c>
      <c r="EB45" s="9">
        <f t="shared" si="100"/>
        <v>1.1004369820618158</v>
      </c>
      <c r="EC45" s="9">
        <f t="shared" si="101"/>
        <v>0.78660771690350373</v>
      </c>
      <c r="ED45" s="9">
        <f t="shared" si="102"/>
        <v>1.2318533903114273</v>
      </c>
      <c r="EE45" s="9">
        <f t="shared" si="103"/>
        <v>2.1652156518834849</v>
      </c>
      <c r="EF45" s="9">
        <f t="shared" si="104"/>
        <v>2.9252197389159615</v>
      </c>
      <c r="EG45" s="9">
        <f t="shared" si="105"/>
        <v>5.9025818801423862</v>
      </c>
      <c r="EI45">
        <f t="shared" si="203"/>
        <v>5139</v>
      </c>
      <c r="EJ45" s="8">
        <f t="shared" si="204"/>
        <v>10563.882234808381</v>
      </c>
      <c r="EK45" s="8">
        <f t="shared" si="205"/>
        <v>14751.828677692569</v>
      </c>
      <c r="EL45" s="8">
        <f t="shared" si="206"/>
        <v>2761.0714859926507</v>
      </c>
      <c r="EM45" s="8">
        <f t="shared" si="207"/>
        <v>1518.1325660031118</v>
      </c>
      <c r="EN45" s="8">
        <f t="shared" si="208"/>
        <v>1610.7458501848344</v>
      </c>
      <c r="EO45" s="8">
        <f t="shared" si="209"/>
        <v>354.53908551944079</v>
      </c>
      <c r="EP45" s="8">
        <f t="shared" si="210"/>
        <v>27.899271383840894</v>
      </c>
      <c r="EQ45">
        <f t="shared" si="108"/>
        <v>31588.099171584832</v>
      </c>
      <c r="ES45" s="8">
        <f t="shared" si="211"/>
        <v>10904.701068561246</v>
      </c>
      <c r="ET45" s="8">
        <f t="shared" si="212"/>
        <v>15119.807007529147</v>
      </c>
      <c r="EU45" s="8">
        <f t="shared" si="213"/>
        <v>2868.6142154179774</v>
      </c>
      <c r="EV45" s="8">
        <f t="shared" si="214"/>
        <v>1562.560908896296</v>
      </c>
      <c r="EW45" s="8">
        <f t="shared" si="215"/>
        <v>1640.3674594029897</v>
      </c>
      <c r="EX45" s="8">
        <f t="shared" si="216"/>
        <v>357.71543061768568</v>
      </c>
      <c r="EY45" s="8">
        <f t="shared" si="217"/>
        <v>23.765903747254399</v>
      </c>
      <c r="EZ45">
        <f t="shared" si="110"/>
        <v>32477.531994172597</v>
      </c>
      <c r="FB45">
        <f t="shared" si="111"/>
        <v>38776.961512995636</v>
      </c>
      <c r="FC45">
        <f t="shared" si="218"/>
        <v>994.13571293284133</v>
      </c>
      <c r="FD45">
        <f t="shared" si="219"/>
        <v>40699.439336950534</v>
      </c>
      <c r="FE45">
        <f t="shared" si="220"/>
        <v>-38.90928843428992</v>
      </c>
      <c r="FG45">
        <f t="shared" si="221"/>
        <v>216.91021642598756</v>
      </c>
      <c r="FJ45">
        <v>31.563708343682581</v>
      </c>
    </row>
    <row r="46" spans="4:166" x14ac:dyDescent="0.3">
      <c r="D46">
        <v>1995</v>
      </c>
      <c r="E46">
        <f t="shared" si="78"/>
        <v>32.002828797624936</v>
      </c>
      <c r="F46">
        <f t="shared" si="125"/>
        <v>9.1337841228607164E-2</v>
      </c>
      <c r="G46">
        <f t="shared" si="126"/>
        <v>0.33581825428655304</v>
      </c>
      <c r="H46">
        <f t="shared" si="127"/>
        <v>6.7093091234224023E-2</v>
      </c>
      <c r="I46" s="2">
        <v>2.923828797624938</v>
      </c>
      <c r="J46">
        <f t="shared" si="128"/>
        <v>2.923828797624938</v>
      </c>
      <c r="K46" s="2">
        <v>1.9510000000000001</v>
      </c>
      <c r="L46">
        <f t="shared" si="129"/>
        <v>27.128</v>
      </c>
      <c r="M46" s="25">
        <f t="shared" si="130"/>
        <v>0.11169443928003171</v>
      </c>
      <c r="N46" s="25">
        <f t="shared" si="131"/>
        <v>1.8038651943725121</v>
      </c>
      <c r="O46" s="25">
        <f t="shared" si="132"/>
        <v>3.3508331784009515</v>
      </c>
      <c r="P46" s="25">
        <f t="shared" si="133"/>
        <v>2.8565852845868114</v>
      </c>
      <c r="Q46" s="25">
        <f t="shared" si="134"/>
        <v>3.5658449740150129</v>
      </c>
      <c r="R46" s="25">
        <f t="shared" si="135"/>
        <v>0.93264856798826479</v>
      </c>
      <c r="S46" s="25">
        <f t="shared" si="136"/>
        <v>0.61431941604017448</v>
      </c>
      <c r="T46" s="25">
        <f t="shared" si="137"/>
        <v>0.43281595221012292</v>
      </c>
      <c r="U46" s="25">
        <f t="shared" si="138"/>
        <v>9.7732634370027757E-2</v>
      </c>
      <c r="V46">
        <f t="shared" si="8"/>
        <v>13.76633964126391</v>
      </c>
      <c r="W46">
        <f t="shared" si="139"/>
        <v>1.5530736795431577</v>
      </c>
      <c r="X46">
        <f t="shared" si="140"/>
        <v>25.082139924621995</v>
      </c>
      <c r="Y46">
        <f t="shared" si="141"/>
        <v>46.592210386294731</v>
      </c>
      <c r="Z46">
        <f t="shared" si="142"/>
        <v>39.719859354316263</v>
      </c>
      <c r="AA46">
        <f t="shared" si="143"/>
        <v>49.581877219415311</v>
      </c>
      <c r="AB46">
        <f t="shared" si="144"/>
        <v>12.968165224185366</v>
      </c>
      <c r="AC46">
        <f t="shared" si="145"/>
        <v>8.5419052374873683</v>
      </c>
      <c r="AD46">
        <f t="shared" si="146"/>
        <v>6.0181605082297356</v>
      </c>
      <c r="AE46">
        <f t="shared" si="147"/>
        <v>1.358939469600263</v>
      </c>
      <c r="AF46">
        <f t="shared" si="17"/>
        <v>191.41633100369415</v>
      </c>
      <c r="AG46" s="2">
        <v>6.9900000000000004E-2</v>
      </c>
      <c r="AH46" s="2">
        <v>9.7900000000000001E-2</v>
      </c>
      <c r="AI46" s="2">
        <v>0.1221</v>
      </c>
      <c r="AJ46" s="2">
        <v>0.14380000000000001</v>
      </c>
      <c r="AK46" s="2">
        <v>0.16020000000000001</v>
      </c>
      <c r="AL46" s="2">
        <v>0.17530000000000001</v>
      </c>
      <c r="AM46" s="2">
        <v>0.1822</v>
      </c>
      <c r="AN46" s="2">
        <v>0.189</v>
      </c>
      <c r="AO46" s="2">
        <v>0.18629999999999999</v>
      </c>
      <c r="AP46">
        <f t="shared" si="119"/>
        <v>0.1417224949290061</v>
      </c>
      <c r="AQ46" s="2">
        <v>40</v>
      </c>
      <c r="AR46" s="2">
        <v>646</v>
      </c>
      <c r="AS46" s="2">
        <v>1200</v>
      </c>
      <c r="AT46" s="2">
        <v>1023</v>
      </c>
      <c r="AU46" s="2">
        <v>1277</v>
      </c>
      <c r="AV46" s="2">
        <v>334</v>
      </c>
      <c r="AW46" s="2">
        <v>220</v>
      </c>
      <c r="AX46" s="2">
        <v>155</v>
      </c>
      <c r="AY46" s="2">
        <v>35</v>
      </c>
      <c r="AZ46">
        <f t="shared" si="83"/>
        <v>4930</v>
      </c>
      <c r="BA46">
        <f t="shared" si="148"/>
        <v>1995</v>
      </c>
      <c r="BB46">
        <f t="shared" si="222"/>
        <v>0.19028437604325596</v>
      </c>
      <c r="BC46">
        <f t="shared" si="123"/>
        <v>0.25713853486424881</v>
      </c>
      <c r="BD46">
        <f t="shared" si="149"/>
        <v>0.16738873300949605</v>
      </c>
      <c r="BE46">
        <f t="shared" si="150"/>
        <v>2.7033280381033613</v>
      </c>
      <c r="BF46">
        <f t="shared" si="151"/>
        <v>5.0216619902848816</v>
      </c>
      <c r="BG46">
        <f t="shared" si="152"/>
        <v>4.2809668467178614</v>
      </c>
      <c r="BH46">
        <f t="shared" si="153"/>
        <v>5.3438853013281618</v>
      </c>
      <c r="BI46">
        <f t="shared" si="154"/>
        <v>1.397695920629292</v>
      </c>
      <c r="BJ46">
        <f t="shared" si="155"/>
        <v>0.92063803155222823</v>
      </c>
      <c r="BK46">
        <f t="shared" si="156"/>
        <v>0.64863134041179726</v>
      </c>
      <c r="BL46">
        <f t="shared" si="157"/>
        <v>0.14646514138330904</v>
      </c>
      <c r="BM46" s="24">
        <f t="shared" si="158"/>
        <v>112.21835041733918</v>
      </c>
      <c r="BN46" s="24">
        <f t="shared" si="159"/>
        <v>52.37213674095014</v>
      </c>
      <c r="BO46" s="24">
        <f t="shared" si="160"/>
        <v>75.440893626311635</v>
      </c>
      <c r="BP46" s="24">
        <f t="shared" si="161"/>
        <v>57.201662570785693</v>
      </c>
      <c r="BQ46" s="24">
        <f t="shared" si="162"/>
        <v>49.050515622110318</v>
      </c>
      <c r="BR46" s="24">
        <f t="shared" si="163"/>
        <v>15.533007649600917</v>
      </c>
      <c r="BS46" s="24">
        <f t="shared" si="164"/>
        <v>4.7253487371627889</v>
      </c>
      <c r="BT46" s="24">
        <f t="shared" si="165"/>
        <v>1.8473833077692048</v>
      </c>
      <c r="BU46" s="23">
        <f t="shared" si="166"/>
        <v>0.24429777575333678</v>
      </c>
      <c r="BV46">
        <f t="shared" si="167"/>
        <v>27.136315305364768</v>
      </c>
      <c r="BW46">
        <v>0.81632211915537511</v>
      </c>
      <c r="BX46" s="2">
        <v>27.128</v>
      </c>
      <c r="CJ46">
        <v>1995</v>
      </c>
      <c r="CK46">
        <f t="shared" si="168"/>
        <v>4244</v>
      </c>
      <c r="CL46">
        <f t="shared" si="169"/>
        <v>204.04310928949386</v>
      </c>
      <c r="CM46" s="9">
        <f t="shared" si="170"/>
        <v>0.28275212064090482</v>
      </c>
      <c r="CN46" s="9">
        <f t="shared" si="171"/>
        <v>0.24104618284637136</v>
      </c>
      <c r="CO46" s="9">
        <f t="shared" si="172"/>
        <v>0.30089538171536284</v>
      </c>
      <c r="CP46" s="9">
        <f t="shared" si="173"/>
        <v>7.8699340245051833E-2</v>
      </c>
      <c r="CQ46" s="27">
        <f t="shared" si="38"/>
        <v>5.1837888784165884E-2</v>
      </c>
      <c r="CR46" s="27">
        <f t="shared" si="39"/>
        <v>3.6522148916116874E-2</v>
      </c>
      <c r="CS46" s="27">
        <f t="shared" si="40"/>
        <v>8.2469368520263903E-3</v>
      </c>
      <c r="CT46" s="29">
        <f t="shared" si="174"/>
        <v>0.36973017069288538</v>
      </c>
      <c r="CU46" s="9">
        <f t="shared" si="175"/>
        <v>0.28034106503262834</v>
      </c>
      <c r="CV46" s="9">
        <f t="shared" si="176"/>
        <v>0.24039290419025153</v>
      </c>
      <c r="CW46" s="9">
        <f t="shared" si="177"/>
        <v>7.6126107388232736E-2</v>
      </c>
      <c r="CX46" s="9">
        <f t="shared" si="178"/>
        <v>2.3158580329505379E-2</v>
      </c>
      <c r="CY46" s="9">
        <f t="shared" si="179"/>
        <v>9.0538872604031921E-3</v>
      </c>
      <c r="CZ46" s="9">
        <f t="shared" si="180"/>
        <v>1.1972851060935857E-3</v>
      </c>
      <c r="DA46">
        <f t="shared" si="181"/>
        <v>-1.6419596553194995</v>
      </c>
      <c r="DB46">
        <f t="shared" si="182"/>
        <v>-1.6270536274899443</v>
      </c>
      <c r="DC46">
        <f t="shared" si="124"/>
        <v>100</v>
      </c>
      <c r="DD46">
        <f t="shared" si="183"/>
        <v>7.1952620434982464</v>
      </c>
      <c r="DE46">
        <f t="shared" si="184"/>
        <v>31.09830941190879</v>
      </c>
      <c r="DF46">
        <f t="shared" si="185"/>
        <v>56.663164794479606</v>
      </c>
      <c r="DG46">
        <f t="shared" si="186"/>
        <v>50.06411043948102</v>
      </c>
      <c r="DH46">
        <f t="shared" si="187"/>
        <v>40.140785346767139</v>
      </c>
      <c r="DI46">
        <f t="shared" si="188"/>
        <v>13.202663160983359</v>
      </c>
      <c r="DJ46">
        <f t="shared" si="189"/>
        <v>3.1903912895703863</v>
      </c>
      <c r="DK46">
        <f t="shared" si="190"/>
        <v>0.76593601514728471</v>
      </c>
      <c r="DL46">
        <f t="shared" si="191"/>
        <v>9.9999999999975109E-5</v>
      </c>
      <c r="DM46">
        <f t="shared" si="192"/>
        <v>1995</v>
      </c>
      <c r="DN46" s="9">
        <f t="shared" si="193"/>
        <v>9.9681821200872547E-4</v>
      </c>
      <c r="DO46" s="9">
        <f t="shared" si="194"/>
        <v>3.6317867117862307E-2</v>
      </c>
      <c r="DP46" s="9">
        <f t="shared" si="195"/>
        <v>4.7584063338269263E-2</v>
      </c>
      <c r="DQ46" s="9">
        <f t="shared" si="196"/>
        <v>5.3978604126469626E-2</v>
      </c>
      <c r="DR46" s="9">
        <f t="shared" si="197"/>
        <v>8.158590465207935E-2</v>
      </c>
      <c r="DS46" s="9">
        <f t="shared" si="198"/>
        <v>6.59800495292025E-2</v>
      </c>
      <c r="DT46" s="9">
        <f t="shared" si="199"/>
        <v>0.16146284529183189</v>
      </c>
      <c r="DU46" s="9">
        <f t="shared" si="200"/>
        <v>0.36105546768298147</v>
      </c>
      <c r="DV46" s="9">
        <f t="shared" si="201"/>
        <v>0.99897784618962882</v>
      </c>
      <c r="DW46">
        <f t="shared" si="202"/>
        <v>6.3617021031412729E-2</v>
      </c>
      <c r="DX46">
        <f t="shared" si="96"/>
        <v>1995</v>
      </c>
      <c r="DY46" s="9">
        <f t="shared" si="223"/>
        <v>1.5669048877917719E-2</v>
      </c>
      <c r="DZ46" s="9">
        <f t="shared" si="224"/>
        <v>0.57088286325021909</v>
      </c>
      <c r="EA46" s="9">
        <f t="shared" si="99"/>
        <v>0.74797691823345935</v>
      </c>
      <c r="EB46" s="9">
        <f t="shared" si="100"/>
        <v>0.84849311161263186</v>
      </c>
      <c r="EC46" s="9">
        <f t="shared" si="101"/>
        <v>1.2824540245572638</v>
      </c>
      <c r="ED46" s="9">
        <f t="shared" si="102"/>
        <v>1.037144595258916</v>
      </c>
      <c r="EE46" s="9">
        <f t="shared" si="103"/>
        <v>2.5380447351048545</v>
      </c>
      <c r="EF46" s="9">
        <f t="shared" si="104"/>
        <v>5.6754538617062869</v>
      </c>
      <c r="EG46" s="9">
        <f t="shared" si="105"/>
        <v>15.702996304972451</v>
      </c>
      <c r="EI46">
        <f t="shared" si="203"/>
        <v>4244</v>
      </c>
      <c r="EJ46" s="8">
        <f t="shared" si="204"/>
        <v>7312.5562493268462</v>
      </c>
      <c r="EK46" s="8">
        <f t="shared" si="205"/>
        <v>6071.2804129444503</v>
      </c>
      <c r="EL46" s="8">
        <f t="shared" si="206"/>
        <v>7860.9424673718859</v>
      </c>
      <c r="EM46" s="8">
        <f t="shared" si="207"/>
        <v>1610.7458501848344</v>
      </c>
      <c r="EN46" s="8">
        <f t="shared" si="208"/>
        <v>970.21419129151832</v>
      </c>
      <c r="EO46" s="8">
        <f t="shared" si="209"/>
        <v>630.1720818478102</v>
      </c>
      <c r="EP46" s="8">
        <f t="shared" si="210"/>
        <v>92.136175603687079</v>
      </c>
      <c r="EQ46">
        <f t="shared" si="108"/>
        <v>24548.04742857103</v>
      </c>
      <c r="ES46" s="8">
        <f t="shared" si="211"/>
        <v>7574.150323871082</v>
      </c>
      <c r="ET46" s="8">
        <f t="shared" si="212"/>
        <v>6274.177348798079</v>
      </c>
      <c r="EU46" s="8">
        <f t="shared" si="213"/>
        <v>8050.2526697545127</v>
      </c>
      <c r="EV46" s="8">
        <f t="shared" si="214"/>
        <v>1664.5651176006227</v>
      </c>
      <c r="EW46" s="8">
        <f t="shared" si="215"/>
        <v>985.91032450747196</v>
      </c>
      <c r="EX46" s="8">
        <f t="shared" si="216"/>
        <v>633.73191638176172</v>
      </c>
      <c r="EY46" s="8">
        <f t="shared" si="217"/>
        <v>87.96140805607773</v>
      </c>
      <c r="EZ46">
        <f t="shared" si="110"/>
        <v>25270.749108969609</v>
      </c>
      <c r="FB46">
        <f t="shared" si="111"/>
        <v>31212.337393789196</v>
      </c>
      <c r="FC46">
        <f t="shared" si="218"/>
        <v>785.15951574643145</v>
      </c>
      <c r="FD46">
        <f t="shared" si="219"/>
        <v>32763.07587914971</v>
      </c>
      <c r="FE46">
        <f t="shared" si="220"/>
        <v>-42.877289215502969</v>
      </c>
      <c r="FG46">
        <f t="shared" si="221"/>
        <v>179.3003208048784</v>
      </c>
      <c r="FJ46">
        <v>30.65409144048073</v>
      </c>
    </row>
    <row r="47" spans="4:166" x14ac:dyDescent="0.3">
      <c r="D47">
        <v>1996</v>
      </c>
      <c r="E47">
        <f t="shared" si="78"/>
        <v>37.128211677387434</v>
      </c>
      <c r="F47">
        <f t="shared" si="125"/>
        <v>0.10738839067640027</v>
      </c>
      <c r="G47">
        <f t="shared" si="126"/>
        <v>0.39870053517799403</v>
      </c>
      <c r="H47">
        <f t="shared" si="127"/>
        <v>2.3325076669025717E-2</v>
      </c>
      <c r="I47" s="2">
        <v>3.2162116773874319</v>
      </c>
      <c r="J47">
        <f t="shared" si="128"/>
        <v>3.2162116773874319</v>
      </c>
      <c r="K47" s="2">
        <v>0.79100000000000004</v>
      </c>
      <c r="L47">
        <f t="shared" si="129"/>
        <v>33.121000000000002</v>
      </c>
      <c r="M47" s="25">
        <f t="shared" si="130"/>
        <v>1.0234368234160895</v>
      </c>
      <c r="N47" s="25">
        <f t="shared" si="131"/>
        <v>1.4019807465156235</v>
      </c>
      <c r="O47" s="25">
        <f t="shared" si="132"/>
        <v>0.82732370662958399</v>
      </c>
      <c r="P47" s="25">
        <f t="shared" si="133"/>
        <v>1.2879614925699809</v>
      </c>
      <c r="Q47" s="25">
        <f t="shared" si="134"/>
        <v>0.84647894129245205</v>
      </c>
      <c r="R47" s="25">
        <f t="shared" si="135"/>
        <v>0.87110710014471093</v>
      </c>
      <c r="S47" s="25">
        <f t="shared" si="136"/>
        <v>0.18516726840772388</v>
      </c>
      <c r="T47" s="25">
        <f t="shared" si="137"/>
        <v>7.6620938651471945E-2</v>
      </c>
      <c r="U47" s="25">
        <f t="shared" si="138"/>
        <v>5.4729241893908528E-2</v>
      </c>
      <c r="V47">
        <f t="shared" si="8"/>
        <v>6.5748062595215444</v>
      </c>
      <c r="W47">
        <f t="shared" si="139"/>
        <v>42.853667545340457</v>
      </c>
      <c r="X47">
        <f t="shared" si="140"/>
        <v>58.704177377173167</v>
      </c>
      <c r="Y47">
        <f t="shared" si="141"/>
        <v>34.641957632463281</v>
      </c>
      <c r="Z47">
        <f t="shared" si="142"/>
        <v>53.929927427825966</v>
      </c>
      <c r="AA47">
        <f t="shared" si="143"/>
        <v>35.444031623953606</v>
      </c>
      <c r="AB47">
        <f t="shared" si="144"/>
        <v>36.475269613012607</v>
      </c>
      <c r="AC47">
        <f t="shared" si="145"/>
        <v>7.7533819177398513</v>
      </c>
      <c r="AD47">
        <f t="shared" si="146"/>
        <v>3.2082959659613182</v>
      </c>
      <c r="AE47">
        <f t="shared" si="147"/>
        <v>2.2916399756866559</v>
      </c>
      <c r="AF47">
        <f t="shared" si="17"/>
        <v>275.3023490791569</v>
      </c>
      <c r="AG47" s="2">
        <v>7.0000000000000007E-2</v>
      </c>
      <c r="AH47" s="2">
        <v>8.5800000000000001E-2</v>
      </c>
      <c r="AI47" s="2">
        <v>0.1159</v>
      </c>
      <c r="AJ47" s="2">
        <v>0.13600000000000001</v>
      </c>
      <c r="AK47" s="2">
        <v>0.15129999999999999</v>
      </c>
      <c r="AL47" s="2">
        <v>0.1643</v>
      </c>
      <c r="AM47" s="2">
        <v>0.1759</v>
      </c>
      <c r="AN47" s="2">
        <v>0.18090000000000001</v>
      </c>
      <c r="AO47" s="2">
        <v>0.18990000000000001</v>
      </c>
      <c r="AP47">
        <f t="shared" si="119"/>
        <v>0.12030772752497225</v>
      </c>
      <c r="AQ47" s="2">
        <v>1122</v>
      </c>
      <c r="AR47" s="2">
        <v>1537</v>
      </c>
      <c r="AS47" s="2">
        <v>907</v>
      </c>
      <c r="AT47" s="2">
        <v>1412</v>
      </c>
      <c r="AU47" s="2">
        <v>928</v>
      </c>
      <c r="AV47" s="2">
        <v>955</v>
      </c>
      <c r="AW47" s="2">
        <v>203</v>
      </c>
      <c r="AX47" s="2">
        <v>84</v>
      </c>
      <c r="AY47" s="2">
        <v>60</v>
      </c>
      <c r="AZ47">
        <f t="shared" si="83"/>
        <v>7208</v>
      </c>
      <c r="BA47">
        <f t="shared" si="148"/>
        <v>1996</v>
      </c>
      <c r="BB47">
        <f t="shared" si="222"/>
        <v>0.1375240833996286</v>
      </c>
      <c r="BC47">
        <f t="shared" si="123"/>
        <v>0.28345849580268784</v>
      </c>
      <c r="BD47">
        <f t="shared" si="149"/>
        <v>4.1613014697081239</v>
      </c>
      <c r="BE47">
        <f t="shared" si="150"/>
        <v>5.7004637780226268</v>
      </c>
      <c r="BF47">
        <f t="shared" si="151"/>
        <v>3.3639041292560323</v>
      </c>
      <c r="BG47">
        <f t="shared" si="152"/>
        <v>5.2368606731086196</v>
      </c>
      <c r="BH47">
        <f t="shared" si="153"/>
        <v>3.4417894508815858</v>
      </c>
      <c r="BI47">
        <f t="shared" si="154"/>
        <v>3.5419277215430114</v>
      </c>
      <c r="BJ47">
        <f t="shared" si="155"/>
        <v>0.75289144238034689</v>
      </c>
      <c r="BK47">
        <f t="shared" si="156"/>
        <v>0.31154128650221247</v>
      </c>
      <c r="BL47">
        <f t="shared" si="157"/>
        <v>0.22252949035872321</v>
      </c>
      <c r="BM47" s="24">
        <f t="shared" si="158"/>
        <v>470.28045653588902</v>
      </c>
      <c r="BN47" s="24">
        <f t="shared" si="159"/>
        <v>88.05126804495066</v>
      </c>
      <c r="BO47" s="24">
        <f t="shared" si="160"/>
        <v>37.650451306896485</v>
      </c>
      <c r="BP47" s="24">
        <f t="shared" si="161"/>
        <v>52.755875089577472</v>
      </c>
      <c r="BQ47" s="24">
        <f t="shared" si="162"/>
        <v>36.342652860247945</v>
      </c>
      <c r="BR47" s="24">
        <f t="shared" si="163"/>
        <v>26.179077105998243</v>
      </c>
      <c r="BS47" s="24">
        <f t="shared" si="164"/>
        <v>7.4636017881818155</v>
      </c>
      <c r="BT47" s="24">
        <f t="shared" si="165"/>
        <v>1.490322841487242</v>
      </c>
      <c r="BU47" s="23">
        <f t="shared" si="166"/>
        <v>0.27735873225263175</v>
      </c>
      <c r="BV47">
        <f t="shared" si="167"/>
        <v>25.942130678240478</v>
      </c>
      <c r="BW47">
        <v>0.9695650159791589</v>
      </c>
      <c r="BX47" s="2">
        <v>33.121000000000002</v>
      </c>
      <c r="CJ47">
        <v>1996</v>
      </c>
      <c r="CK47">
        <f t="shared" si="168"/>
        <v>4549</v>
      </c>
      <c r="CL47">
        <f t="shared" si="169"/>
        <v>162.15933972464182</v>
      </c>
      <c r="CM47" s="9">
        <f t="shared" si="170"/>
        <v>0.19938448010551771</v>
      </c>
      <c r="CN47" s="9">
        <f t="shared" si="171"/>
        <v>0.31039788964607606</v>
      </c>
      <c r="CO47" s="9">
        <f t="shared" si="172"/>
        <v>0.20400087931413496</v>
      </c>
      <c r="CP47" s="9">
        <f t="shared" si="173"/>
        <v>0.20993624972521432</v>
      </c>
      <c r="CQ47" s="27">
        <f t="shared" si="38"/>
        <v>4.4625192349967029E-2</v>
      </c>
      <c r="CR47" s="27">
        <f t="shared" si="39"/>
        <v>1.8465596834469113E-2</v>
      </c>
      <c r="CS47" s="27">
        <f t="shared" si="40"/>
        <v>1.3189712024620796E-2</v>
      </c>
      <c r="CT47" s="29">
        <f t="shared" si="174"/>
        <v>0.23218182419112984</v>
      </c>
      <c r="CU47" s="9">
        <f t="shared" si="175"/>
        <v>0.32533355882652659</v>
      </c>
      <c r="CV47" s="9">
        <f t="shared" si="176"/>
        <v>0.22411692673367056</v>
      </c>
      <c r="CW47" s="9">
        <f t="shared" si="177"/>
        <v>0.16144045202978866</v>
      </c>
      <c r="CX47" s="9">
        <f t="shared" si="178"/>
        <v>4.6026345450441188E-2</v>
      </c>
      <c r="CY47" s="9">
        <f t="shared" si="179"/>
        <v>9.1904841498363088E-3</v>
      </c>
      <c r="CZ47" s="9">
        <f t="shared" si="180"/>
        <v>1.7104086186069008E-3</v>
      </c>
      <c r="DA47">
        <f t="shared" si="181"/>
        <v>-1.6356338338908252</v>
      </c>
      <c r="DB47">
        <f t="shared" si="182"/>
        <v>-1.6226958992178955</v>
      </c>
      <c r="DC47">
        <f t="shared" si="124"/>
        <v>100</v>
      </c>
      <c r="DD47">
        <f t="shared" si="183"/>
        <v>29.895546490757592</v>
      </c>
      <c r="DE47">
        <f t="shared" si="184"/>
        <v>52.593221172863103</v>
      </c>
      <c r="DF47">
        <f t="shared" si="185"/>
        <v>28.268238649399873</v>
      </c>
      <c r="DG47">
        <f t="shared" si="186"/>
        <v>46.231052923898865</v>
      </c>
      <c r="DH47">
        <f t="shared" si="187"/>
        <v>32.054384468073906</v>
      </c>
      <c r="DI47">
        <f t="shared" si="188"/>
        <v>21.766042284310519</v>
      </c>
      <c r="DJ47">
        <f t="shared" si="189"/>
        <v>6.5255430773937455</v>
      </c>
      <c r="DK47">
        <f t="shared" si="190"/>
        <v>1.1021606163335576</v>
      </c>
      <c r="DL47">
        <f t="shared" si="191"/>
        <v>1.0000000000000286E-4</v>
      </c>
      <c r="DM47">
        <f t="shared" si="192"/>
        <v>1996</v>
      </c>
      <c r="DN47" s="9">
        <f t="shared" si="193"/>
        <v>2.1956549356371745E-3</v>
      </c>
      <c r="DO47" s="9">
        <f t="shared" si="194"/>
        <v>1.702449367672608E-2</v>
      </c>
      <c r="DP47" s="9">
        <f t="shared" si="195"/>
        <v>2.4129688601864027E-2</v>
      </c>
      <c r="DQ47" s="9">
        <f t="shared" si="196"/>
        <v>2.7104128913153704E-2</v>
      </c>
      <c r="DR47" s="9">
        <f t="shared" si="197"/>
        <v>2.5728168004596281E-2</v>
      </c>
      <c r="DS47" s="9">
        <f t="shared" si="198"/>
        <v>3.8481307224260929E-2</v>
      </c>
      <c r="DT47" s="9">
        <f t="shared" si="199"/>
        <v>2.7592797016425107E-2</v>
      </c>
      <c r="DU47" s="9">
        <f t="shared" si="200"/>
        <v>6.5000116711569203E-2</v>
      </c>
      <c r="DV47" s="9">
        <f t="shared" si="201"/>
        <v>0.99817615570549934</v>
      </c>
      <c r="DW47">
        <f t="shared" si="202"/>
        <v>2.855976868847674E-2</v>
      </c>
      <c r="DX47">
        <f t="shared" si="96"/>
        <v>1996</v>
      </c>
      <c r="DY47" s="9">
        <f t="shared" si="223"/>
        <v>7.6879296873404807E-2</v>
      </c>
      <c r="DZ47" s="9">
        <f t="shared" si="224"/>
        <v>0.59610054487573982</v>
      </c>
      <c r="EA47" s="9">
        <f t="shared" si="99"/>
        <v>0.84488389472145287</v>
      </c>
      <c r="EB47" s="9">
        <f t="shared" si="100"/>
        <v>0.94903180795332009</v>
      </c>
      <c r="EC47" s="9">
        <f t="shared" si="101"/>
        <v>0.90085351478974163</v>
      </c>
      <c r="ED47" s="9">
        <f t="shared" si="102"/>
        <v>1.3473956194815864</v>
      </c>
      <c r="EE47" s="9">
        <f t="shared" si="103"/>
        <v>0.96614217423820437</v>
      </c>
      <c r="EF47" s="9">
        <f t="shared" si="104"/>
        <v>2.2759328837910151</v>
      </c>
      <c r="EG47" s="9">
        <f t="shared" si="105"/>
        <v>34.950428576413586</v>
      </c>
      <c r="EI47">
        <f t="shared" si="203"/>
        <v>4549</v>
      </c>
      <c r="EJ47" s="8">
        <f t="shared" si="204"/>
        <v>5274.1233038906739</v>
      </c>
      <c r="EK47" s="8">
        <f t="shared" si="205"/>
        <v>8833.4459130512732</v>
      </c>
      <c r="EL47" s="8">
        <f t="shared" si="206"/>
        <v>5417.3889922240387</v>
      </c>
      <c r="EM47" s="8">
        <f t="shared" si="207"/>
        <v>5602.2842116225738</v>
      </c>
      <c r="EN47" s="8">
        <f t="shared" si="208"/>
        <v>879.1567657769076</v>
      </c>
      <c r="EO47" s="8">
        <f t="shared" si="209"/>
        <v>291.32395009427029</v>
      </c>
      <c r="EP47" s="8">
        <f t="shared" si="210"/>
        <v>188.62817342367163</v>
      </c>
      <c r="EQ47">
        <f t="shared" si="108"/>
        <v>26486.35131008341</v>
      </c>
      <c r="ES47" s="8">
        <f t="shared" si="211"/>
        <v>5453.5825854335899</v>
      </c>
      <c r="ET47" s="8">
        <f t="shared" si="212"/>
        <v>9093.6504521554652</v>
      </c>
      <c r="EU47" s="8">
        <f t="shared" si="213"/>
        <v>5592.9147754260703</v>
      </c>
      <c r="EV47" s="8">
        <f t="shared" si="214"/>
        <v>5738.1569995705113</v>
      </c>
      <c r="EW47" s="8">
        <f t="shared" si="215"/>
        <v>911.82309019973252</v>
      </c>
      <c r="EX47" s="8">
        <f t="shared" si="216"/>
        <v>295.08890667737876</v>
      </c>
      <c r="EY47" s="8">
        <f t="shared" si="217"/>
        <v>184.96858688071711</v>
      </c>
      <c r="EZ47">
        <f t="shared" si="110"/>
        <v>27270.185396343466</v>
      </c>
      <c r="FB47">
        <f t="shared" si="111"/>
        <v>33770.822944941989</v>
      </c>
      <c r="FC47">
        <f t="shared" si="218"/>
        <v>855.52154811954972</v>
      </c>
      <c r="FD47">
        <f t="shared" si="219"/>
        <v>35447.388139102768</v>
      </c>
      <c r="FE47">
        <f t="shared" si="220"/>
        <v>-37.209559781174903</v>
      </c>
      <c r="FG47">
        <f t="shared" si="221"/>
        <v>192.11710087687649</v>
      </c>
      <c r="FJ47">
        <v>27.94151914812312</v>
      </c>
    </row>
    <row r="48" spans="4:166" x14ac:dyDescent="0.3">
      <c r="D48">
        <v>1997</v>
      </c>
      <c r="E48">
        <f t="shared" si="78"/>
        <v>55.526594557149927</v>
      </c>
      <c r="F48">
        <f t="shared" si="125"/>
        <v>8.1656935332603833E-2</v>
      </c>
      <c r="G48">
        <f t="shared" si="126"/>
        <v>0.3755070705375867</v>
      </c>
      <c r="H48">
        <f t="shared" si="127"/>
        <v>0.12795570763966319</v>
      </c>
      <c r="I48" s="2">
        <v>3.5085945571499257</v>
      </c>
      <c r="J48">
        <f t="shared" si="128"/>
        <v>3.5085945571499257</v>
      </c>
      <c r="K48" s="2">
        <v>6.6559999999999997</v>
      </c>
      <c r="L48">
        <f t="shared" si="129"/>
        <v>45.362000000000002</v>
      </c>
      <c r="M48" s="25">
        <f t="shared" si="130"/>
        <v>1.5546472967260836</v>
      </c>
      <c r="N48" s="25">
        <f t="shared" si="131"/>
        <v>43.918786132511862</v>
      </c>
      <c r="O48" s="25">
        <f t="shared" si="132"/>
        <v>5.1605653321879723</v>
      </c>
      <c r="P48" s="25">
        <f t="shared" si="133"/>
        <v>2.8933713577957665</v>
      </c>
      <c r="Q48" s="25">
        <f t="shared" si="134"/>
        <v>4.2644839042139093</v>
      </c>
      <c r="R48" s="25">
        <f t="shared" si="135"/>
        <v>3.163275402366267</v>
      </c>
      <c r="S48" s="25">
        <f t="shared" si="136"/>
        <v>2.1268438712155446</v>
      </c>
      <c r="T48" s="25">
        <f t="shared" si="137"/>
        <v>0.34547717705024078</v>
      </c>
      <c r="U48" s="25">
        <f t="shared" si="138"/>
        <v>0.21592323565640051</v>
      </c>
      <c r="V48">
        <f t="shared" si="8"/>
        <v>63.643373709724038</v>
      </c>
      <c r="W48">
        <f t="shared" si="139"/>
        <v>10.595238983486871</v>
      </c>
      <c r="X48">
        <f t="shared" si="140"/>
        <v>299.31550128350409</v>
      </c>
      <c r="Y48">
        <f t="shared" si="141"/>
        <v>35.170307181296693</v>
      </c>
      <c r="Z48">
        <f t="shared" si="142"/>
        <v>19.71891699704501</v>
      </c>
      <c r="AA48">
        <f t="shared" si="143"/>
        <v>29.063329156092458</v>
      </c>
      <c r="AB48">
        <f t="shared" si="144"/>
        <v>21.558368209455924</v>
      </c>
      <c r="AC48">
        <f t="shared" si="145"/>
        <v>14.494875553798011</v>
      </c>
      <c r="AD48">
        <f t="shared" si="146"/>
        <v>2.354497551885971</v>
      </c>
      <c r="AE48">
        <f t="shared" si="147"/>
        <v>1.471560969928732</v>
      </c>
      <c r="AF48">
        <f t="shared" si="17"/>
        <v>433.7425958864938</v>
      </c>
      <c r="AG48" s="2">
        <v>6.4199999999999993E-2</v>
      </c>
      <c r="AH48" s="2">
        <v>9.1399999999999995E-2</v>
      </c>
      <c r="AI48" s="2">
        <v>0.1052</v>
      </c>
      <c r="AJ48" s="2">
        <v>0.13150000000000001</v>
      </c>
      <c r="AK48" s="2">
        <v>0.14940000000000001</v>
      </c>
      <c r="AL48" s="2">
        <v>0.16089999999999999</v>
      </c>
      <c r="AM48" s="2">
        <v>0.1759</v>
      </c>
      <c r="AN48" s="2">
        <v>0.1729</v>
      </c>
      <c r="AO48" s="2">
        <v>0.17929999999999999</v>
      </c>
      <c r="AP48">
        <f t="shared" si="119"/>
        <v>0.10458276505513145</v>
      </c>
      <c r="AQ48" s="2">
        <v>144</v>
      </c>
      <c r="AR48" s="2">
        <v>4068</v>
      </c>
      <c r="AS48" s="2">
        <v>478</v>
      </c>
      <c r="AT48" s="2">
        <v>268</v>
      </c>
      <c r="AU48" s="2">
        <v>395</v>
      </c>
      <c r="AV48" s="2">
        <v>293</v>
      </c>
      <c r="AW48" s="2">
        <v>197</v>
      </c>
      <c r="AX48" s="2">
        <v>32</v>
      </c>
      <c r="AY48" s="2">
        <v>20</v>
      </c>
      <c r="AZ48">
        <f t="shared" si="83"/>
        <v>5895</v>
      </c>
      <c r="BA48">
        <f t="shared" si="148"/>
        <v>1997</v>
      </c>
      <c r="BB48">
        <f t="shared" si="222"/>
        <v>0.52256702796517907</v>
      </c>
      <c r="BC48">
        <f t="shared" si="123"/>
        <v>0.27983253983004835</v>
      </c>
      <c r="BD48">
        <f t="shared" si="149"/>
        <v>0.81950526496108511</v>
      </c>
      <c r="BE48">
        <f t="shared" si="150"/>
        <v>23.151023735150655</v>
      </c>
      <c r="BF48">
        <f t="shared" si="151"/>
        <v>2.7203021989680467</v>
      </c>
      <c r="BG48">
        <f t="shared" si="152"/>
        <v>1.5251903542331309</v>
      </c>
      <c r="BH48">
        <f t="shared" si="153"/>
        <v>2.2479484698585321</v>
      </c>
      <c r="BI48">
        <f t="shared" si="154"/>
        <v>1.6674655738444302</v>
      </c>
      <c r="BJ48">
        <f t="shared" si="155"/>
        <v>1.1211287305370401</v>
      </c>
      <c r="BK48">
        <f t="shared" si="156"/>
        <v>0.18211228110246336</v>
      </c>
      <c r="BL48">
        <f t="shared" si="157"/>
        <v>0.1138201756890396</v>
      </c>
      <c r="BM48" s="24">
        <f t="shared" si="158"/>
        <v>188.15134628649653</v>
      </c>
      <c r="BN48" s="24">
        <f t="shared" si="159"/>
        <v>349.72467448336891</v>
      </c>
      <c r="BO48" s="24">
        <f t="shared" si="160"/>
        <v>60.868700698538248</v>
      </c>
      <c r="BP48" s="24">
        <f t="shared" si="161"/>
        <v>25.159301884220998</v>
      </c>
      <c r="BQ48" s="24">
        <f t="shared" si="162"/>
        <v>31.601652680091725</v>
      </c>
      <c r="BR48" s="24">
        <f t="shared" si="163"/>
        <v>19.293384797115454</v>
      </c>
      <c r="BS48" s="24">
        <f t="shared" si="164"/>
        <v>11.055202814811539</v>
      </c>
      <c r="BT48" s="24">
        <f t="shared" si="165"/>
        <v>2.6424574638036904</v>
      </c>
      <c r="BU48" s="23">
        <f t="shared" si="166"/>
        <v>0.3298434113454401</v>
      </c>
      <c r="BV48">
        <f t="shared" si="167"/>
        <v>32.802907748181148</v>
      </c>
      <c r="BW48">
        <v>0.98733776183540967</v>
      </c>
      <c r="BX48" s="2">
        <v>45.362000000000002</v>
      </c>
      <c r="CJ48">
        <v>1997</v>
      </c>
      <c r="CK48">
        <f t="shared" si="168"/>
        <v>1683</v>
      </c>
      <c r="CL48">
        <f t="shared" si="169"/>
        <v>150.95054374992711</v>
      </c>
      <c r="CM48" s="9">
        <f t="shared" si="170"/>
        <v>0.28401663695781343</v>
      </c>
      <c r="CN48" s="9">
        <f t="shared" si="171"/>
        <v>0.15923945335710041</v>
      </c>
      <c r="CO48" s="9">
        <f t="shared" si="172"/>
        <v>0.23469994058229351</v>
      </c>
      <c r="CP48" s="9">
        <f t="shared" si="173"/>
        <v>0.17409387997623291</v>
      </c>
      <c r="CQ48" s="27">
        <f t="shared" si="38"/>
        <v>0.11705288175876412</v>
      </c>
      <c r="CR48" s="27">
        <f t="shared" si="39"/>
        <v>1.9013666072489603E-2</v>
      </c>
      <c r="CS48" s="27">
        <f t="shared" si="40"/>
        <v>1.1883541295306001E-2</v>
      </c>
      <c r="CT48" s="29">
        <f t="shared" si="174"/>
        <v>0.40323604795605544</v>
      </c>
      <c r="CU48" s="9">
        <f t="shared" si="175"/>
        <v>0.16667248265035248</v>
      </c>
      <c r="CV48" s="9">
        <f t="shared" si="176"/>
        <v>0.20935103574349984</v>
      </c>
      <c r="CW48" s="9">
        <f t="shared" si="177"/>
        <v>0.12781262205373653</v>
      </c>
      <c r="CX48" s="9">
        <f t="shared" si="178"/>
        <v>7.3237250692691699E-2</v>
      </c>
      <c r="CY48" s="9">
        <f t="shared" si="179"/>
        <v>1.7505451773538024E-2</v>
      </c>
      <c r="CZ48" s="9">
        <f t="shared" si="180"/>
        <v>2.185109130125935E-3</v>
      </c>
      <c r="DA48">
        <f t="shared" si="181"/>
        <v>-1.724105591607475</v>
      </c>
      <c r="DB48">
        <f t="shared" si="182"/>
        <v>-1.7128649319231397</v>
      </c>
      <c r="DC48">
        <f t="shared" si="124"/>
        <v>100</v>
      </c>
      <c r="DD48">
        <f t="shared" si="183"/>
        <v>11.941435954100868</v>
      </c>
      <c r="DE48">
        <f t="shared" si="184"/>
        <v>183.64355606194715</v>
      </c>
      <c r="DF48">
        <f t="shared" si="185"/>
        <v>44.767109278190702</v>
      </c>
      <c r="DG48">
        <f t="shared" si="186"/>
        <v>20.740740172192098</v>
      </c>
      <c r="DH48">
        <f t="shared" si="187"/>
        <v>25.089220306019286</v>
      </c>
      <c r="DI48">
        <f t="shared" si="188"/>
        <v>14.462643820904756</v>
      </c>
      <c r="DJ48">
        <f t="shared" si="189"/>
        <v>7.8072302130589541</v>
      </c>
      <c r="DK48">
        <f t="shared" si="190"/>
        <v>2.1148680056509859</v>
      </c>
      <c r="DL48">
        <f t="shared" si="191"/>
        <v>9.9999999999988987E-5</v>
      </c>
      <c r="DM48">
        <f t="shared" si="192"/>
        <v>1997</v>
      </c>
      <c r="DN48" s="9">
        <f t="shared" si="193"/>
        <v>8.2988950957214123E-3</v>
      </c>
      <c r="DO48" s="9">
        <f t="shared" si="194"/>
        <v>0.13448355686960295</v>
      </c>
      <c r="DP48" s="9">
        <f t="shared" si="195"/>
        <v>8.8748193679420356E-2</v>
      </c>
      <c r="DQ48" s="9">
        <f t="shared" si="196"/>
        <v>0.12242352982571594</v>
      </c>
      <c r="DR48" s="9">
        <f t="shared" si="197"/>
        <v>0.14527924222685459</v>
      </c>
      <c r="DS48" s="9">
        <f t="shared" si="198"/>
        <v>0.17946725854671344</v>
      </c>
      <c r="DT48" s="9">
        <f t="shared" si="199"/>
        <v>0.21409583350926573</v>
      </c>
      <c r="DU48" s="9">
        <f t="shared" si="200"/>
        <v>0.14041817362836032</v>
      </c>
      <c r="DV48" s="9">
        <f t="shared" si="201"/>
        <v>0.99953708683375597</v>
      </c>
      <c r="DW48">
        <f t="shared" si="202"/>
        <v>0.12852521188335164</v>
      </c>
      <c r="DX48">
        <f t="shared" si="96"/>
        <v>1997</v>
      </c>
      <c r="DY48" s="9">
        <f t="shared" si="223"/>
        <v>6.4570172451872063E-2</v>
      </c>
      <c r="DZ48" s="9">
        <f t="shared" si="224"/>
        <v>1.0463593477026052</v>
      </c>
      <c r="EA48" s="9">
        <f t="shared" si="99"/>
        <v>0.69051194220140588</v>
      </c>
      <c r="EB48" s="9">
        <f t="shared" si="100"/>
        <v>0.95252540751947146</v>
      </c>
      <c r="EC48" s="9">
        <f t="shared" si="101"/>
        <v>1.1303559830635312</v>
      </c>
      <c r="ED48" s="9">
        <f t="shared" si="102"/>
        <v>1.3963583947217793</v>
      </c>
      <c r="EE48" s="9">
        <f t="shared" si="103"/>
        <v>1.6657886057684717</v>
      </c>
      <c r="EF48" s="9">
        <f t="shared" si="104"/>
        <v>1.0925340761608906</v>
      </c>
      <c r="EG48" s="9">
        <f t="shared" si="105"/>
        <v>7.776972877048645</v>
      </c>
      <c r="EI48">
        <f t="shared" si="203"/>
        <v>1683</v>
      </c>
      <c r="EJ48" s="8">
        <f t="shared" si="204"/>
        <v>2475.0778483678582</v>
      </c>
      <c r="EK48" s="8">
        <f t="shared" si="205"/>
        <v>1234.099253745499</v>
      </c>
      <c r="EL48" s="8">
        <f t="shared" si="206"/>
        <v>1970.5684695220173</v>
      </c>
      <c r="EM48" s="8">
        <f t="shared" si="207"/>
        <v>1375.0498836937104</v>
      </c>
      <c r="EN48" s="8">
        <f t="shared" si="208"/>
        <v>847.35209797043842</v>
      </c>
      <c r="EO48" s="8">
        <f t="shared" si="209"/>
        <v>81.557959456115029</v>
      </c>
      <c r="EP48" s="8">
        <f t="shared" si="210"/>
        <v>42.335616460753485</v>
      </c>
      <c r="EQ48">
        <f t="shared" si="108"/>
        <v>8026.0411292163908</v>
      </c>
      <c r="ES48" s="8">
        <f t="shared" si="211"/>
        <v>2582.9738988470199</v>
      </c>
      <c r="ET48" s="8">
        <f t="shared" si="212"/>
        <v>1279.3089448923295</v>
      </c>
      <c r="EU48" s="8">
        <f t="shared" si="213"/>
        <v>2030.8590718961664</v>
      </c>
      <c r="EV48" s="8">
        <f t="shared" si="214"/>
        <v>1411.5529029628985</v>
      </c>
      <c r="EW48" s="8">
        <f t="shared" si="215"/>
        <v>866.88554384506836</v>
      </c>
      <c r="EX48" s="8">
        <f t="shared" si="216"/>
        <v>82.683880027187698</v>
      </c>
      <c r="EY48" s="8">
        <f t="shared" si="217"/>
        <v>38.068594668105582</v>
      </c>
      <c r="EZ48">
        <f t="shared" si="110"/>
        <v>8292.3328371387761</v>
      </c>
      <c r="FB48">
        <f t="shared" si="111"/>
        <v>10823.517920468181</v>
      </c>
      <c r="FC48">
        <f t="shared" si="218"/>
        <v>242.52018642619856</v>
      </c>
      <c r="FD48">
        <f t="shared" si="219"/>
        <v>11366.066308839199</v>
      </c>
      <c r="FE48">
        <f t="shared" si="220"/>
        <v>-33.736494022434272</v>
      </c>
      <c r="FG48">
        <f t="shared" si="221"/>
        <v>71.681390429838672</v>
      </c>
      <c r="FJ48">
        <v>34.000699764130403</v>
      </c>
    </row>
    <row r="49" spans="1:166" x14ac:dyDescent="0.3">
      <c r="D49">
        <v>1998</v>
      </c>
      <c r="E49">
        <f t="shared" si="78"/>
        <v>51.846267292231573</v>
      </c>
      <c r="F49">
        <f t="shared" si="125"/>
        <v>0.10175103736749125</v>
      </c>
      <c r="G49">
        <f t="shared" si="126"/>
        <v>0.48661914416747909</v>
      </c>
      <c r="H49">
        <f t="shared" si="127"/>
        <v>0.14551515782894051</v>
      </c>
      <c r="I49" s="2">
        <v>3.8512672922315683</v>
      </c>
      <c r="J49">
        <f t="shared" si="128"/>
        <v>3.8512672922315683</v>
      </c>
      <c r="K49" s="2">
        <v>6.984</v>
      </c>
      <c r="L49">
        <f t="shared" si="129"/>
        <v>41.011000000000003</v>
      </c>
      <c r="M49" s="25">
        <f t="shared" si="130"/>
        <v>1.2832207312401598</v>
      </c>
      <c r="N49" s="25">
        <f t="shared" si="131"/>
        <v>12.444006082782725</v>
      </c>
      <c r="O49" s="25">
        <f t="shared" si="132"/>
        <v>37.731002845456466</v>
      </c>
      <c r="P49" s="25">
        <f t="shared" si="133"/>
        <v>4.6907648578947017</v>
      </c>
      <c r="Q49" s="25">
        <f t="shared" si="134"/>
        <v>2.5448747275014933</v>
      </c>
      <c r="R49" s="25">
        <f t="shared" si="135"/>
        <v>3.8065287237628267</v>
      </c>
      <c r="S49" s="25">
        <f t="shared" si="136"/>
        <v>2.2537238052873394</v>
      </c>
      <c r="T49" s="25">
        <f t="shared" si="137"/>
        <v>1.1861704238354418</v>
      </c>
      <c r="U49" s="25">
        <f t="shared" si="138"/>
        <v>0.39898459710828493</v>
      </c>
      <c r="V49">
        <f t="shared" si="8"/>
        <v>66.33927679486942</v>
      </c>
      <c r="W49">
        <f t="shared" si="139"/>
        <v>7.5352470516738537</v>
      </c>
      <c r="X49">
        <f t="shared" si="140"/>
        <v>73.072899980097702</v>
      </c>
      <c r="Y49">
        <f t="shared" si="141"/>
        <v>221.56159188072951</v>
      </c>
      <c r="Z49">
        <f t="shared" si="142"/>
        <v>27.544810651076688</v>
      </c>
      <c r="AA49">
        <f t="shared" si="143"/>
        <v>14.94385129575655</v>
      </c>
      <c r="AB49">
        <f t="shared" si="144"/>
        <v>22.352455539839248</v>
      </c>
      <c r="AC49">
        <f t="shared" si="145"/>
        <v>13.234173393275928</v>
      </c>
      <c r="AD49">
        <f t="shared" si="146"/>
        <v>6.9653544175136455</v>
      </c>
      <c r="AE49">
        <f t="shared" si="147"/>
        <v>2.3428919404364081</v>
      </c>
      <c r="AF49">
        <f t="shared" si="17"/>
        <v>389.55327615039948</v>
      </c>
      <c r="AG49" s="2">
        <v>5.8599999999999999E-2</v>
      </c>
      <c r="AH49" s="2">
        <v>7.9799999999999996E-2</v>
      </c>
      <c r="AI49" s="2">
        <v>0.10390000000000001</v>
      </c>
      <c r="AJ49" s="2">
        <v>0.1132</v>
      </c>
      <c r="AK49" s="2">
        <v>0.13220000000000001</v>
      </c>
      <c r="AL49" s="2">
        <v>0.14280000000000001</v>
      </c>
      <c r="AM49" s="2">
        <v>0.14990000000000001</v>
      </c>
      <c r="AN49" s="2">
        <v>0.15579999999999999</v>
      </c>
      <c r="AO49" s="2">
        <v>0.15509999999999999</v>
      </c>
      <c r="AP49">
        <f t="shared" si="119"/>
        <v>0.10527699934980496</v>
      </c>
      <c r="AQ49" s="2">
        <v>119</v>
      </c>
      <c r="AR49" s="2">
        <v>1154</v>
      </c>
      <c r="AS49" s="2">
        <v>3499</v>
      </c>
      <c r="AT49" s="2">
        <v>435</v>
      </c>
      <c r="AU49" s="2">
        <v>236</v>
      </c>
      <c r="AV49" s="2">
        <v>353</v>
      </c>
      <c r="AW49" s="2">
        <v>209</v>
      </c>
      <c r="AX49" s="2">
        <v>110</v>
      </c>
      <c r="AY49" s="2">
        <v>37</v>
      </c>
      <c r="AZ49">
        <f t="shared" si="83"/>
        <v>6152</v>
      </c>
      <c r="BA49">
        <f t="shared" si="148"/>
        <v>1998</v>
      </c>
      <c r="BB49">
        <f t="shared" si="222"/>
        <v>0.17940650812533737</v>
      </c>
      <c r="BC49">
        <f t="shared" si="123"/>
        <v>0.52924407619396252</v>
      </c>
      <c r="BD49">
        <f t="shared" si="149"/>
        <v>0.70762113845055885</v>
      </c>
      <c r="BE49">
        <f t="shared" si="150"/>
        <v>6.8621411241339896</v>
      </c>
      <c r="BF49">
        <f t="shared" si="151"/>
        <v>20.806440028895</v>
      </c>
      <c r="BG49">
        <f t="shared" si="152"/>
        <v>2.5866823128234713</v>
      </c>
      <c r="BH49">
        <f t="shared" si="153"/>
        <v>1.4033494846582508</v>
      </c>
      <c r="BI49">
        <f t="shared" si="154"/>
        <v>2.0990778308659435</v>
      </c>
      <c r="BJ49">
        <f t="shared" si="155"/>
        <v>1.2427967893795528</v>
      </c>
      <c r="BK49">
        <f t="shared" si="156"/>
        <v>0.65410357335765934</v>
      </c>
      <c r="BL49">
        <f t="shared" si="157"/>
        <v>0.22001665649303087</v>
      </c>
      <c r="BM49" s="24">
        <f t="shared" si="158"/>
        <v>90.381381067326288</v>
      </c>
      <c r="BN49" s="24">
        <f t="shared" si="159"/>
        <v>138.965362724578</v>
      </c>
      <c r="BO49" s="24">
        <f t="shared" si="160"/>
        <v>211.43199682537809</v>
      </c>
      <c r="BP49" s="24">
        <f t="shared" si="161"/>
        <v>39.63599285531874</v>
      </c>
      <c r="BQ49" s="24">
        <f t="shared" si="162"/>
        <v>14.078956378035848</v>
      </c>
      <c r="BR49" s="24">
        <f t="shared" si="163"/>
        <v>14.961194781471914</v>
      </c>
      <c r="BS49" s="24">
        <f t="shared" si="164"/>
        <v>7.2550574857588392</v>
      </c>
      <c r="BT49" s="24">
        <f t="shared" si="165"/>
        <v>3.1095158656790796</v>
      </c>
      <c r="BU49" s="23">
        <f t="shared" si="166"/>
        <v>0.61910125360131585</v>
      </c>
      <c r="BV49">
        <f t="shared" si="167"/>
        <v>27.014639616550681</v>
      </c>
      <c r="BW49">
        <v>1.2899716490405368</v>
      </c>
      <c r="BX49" s="2">
        <v>41.011000000000003</v>
      </c>
      <c r="CJ49">
        <v>1998</v>
      </c>
      <c r="CK49">
        <f t="shared" si="168"/>
        <v>4879</v>
      </c>
      <c r="CL49">
        <f t="shared" si="169"/>
        <v>291.09181544524387</v>
      </c>
      <c r="CM49" s="9">
        <f t="shared" si="170"/>
        <v>0.71715515474482472</v>
      </c>
      <c r="CN49" s="9">
        <f t="shared" si="171"/>
        <v>8.9157614265218288E-2</v>
      </c>
      <c r="CO49" s="9">
        <f t="shared" si="172"/>
        <v>4.837056773929084E-2</v>
      </c>
      <c r="CP49" s="9">
        <f t="shared" si="173"/>
        <v>7.2350891576142648E-2</v>
      </c>
      <c r="CQ49" s="27">
        <f t="shared" si="38"/>
        <v>4.28366468538635E-2</v>
      </c>
      <c r="CR49" s="27">
        <f t="shared" si="39"/>
        <v>2.2545603607296578E-2</v>
      </c>
      <c r="CS49" s="27">
        <f t="shared" si="40"/>
        <v>7.583521213363394E-3</v>
      </c>
      <c r="CT49" s="29">
        <f t="shared" si="174"/>
        <v>0.72634126281420552</v>
      </c>
      <c r="CU49" s="9">
        <f t="shared" si="175"/>
        <v>0.13616319921153713</v>
      </c>
      <c r="CV49" s="9">
        <f t="shared" si="176"/>
        <v>4.8366033089941633E-2</v>
      </c>
      <c r="CW49" s="9">
        <f t="shared" si="177"/>
        <v>5.1396823914776832E-2</v>
      </c>
      <c r="CX49" s="9">
        <f t="shared" si="178"/>
        <v>2.4923605202234068E-2</v>
      </c>
      <c r="CY49" s="9">
        <f t="shared" si="179"/>
        <v>1.0682251099787442E-2</v>
      </c>
      <c r="CZ49" s="9">
        <f t="shared" si="180"/>
        <v>2.1268246675172236E-3</v>
      </c>
      <c r="DA49">
        <f t="shared" si="181"/>
        <v>-1.0754736844585866</v>
      </c>
      <c r="DB49">
        <f t="shared" si="182"/>
        <v>-1.0648367226670659</v>
      </c>
      <c r="DC49">
        <f t="shared" si="124"/>
        <v>100</v>
      </c>
      <c r="DD49">
        <f t="shared" si="183"/>
        <v>5.6815906280753055</v>
      </c>
      <c r="DE49">
        <f t="shared" si="184"/>
        <v>77.743731328037356</v>
      </c>
      <c r="DF49">
        <f t="shared" si="185"/>
        <v>129.17394042410476</v>
      </c>
      <c r="DG49">
        <f t="shared" si="186"/>
        <v>32.358545684600571</v>
      </c>
      <c r="DH49">
        <f t="shared" si="187"/>
        <v>10.130732165876104</v>
      </c>
      <c r="DI49">
        <f t="shared" si="188"/>
        <v>9.0555882268431418</v>
      </c>
      <c r="DJ49">
        <f t="shared" si="189"/>
        <v>3.7585368910919468</v>
      </c>
      <c r="DK49">
        <f t="shared" si="190"/>
        <v>1.2692418684859785</v>
      </c>
      <c r="DL49">
        <f t="shared" si="191"/>
        <v>1.000000000000445E-4</v>
      </c>
      <c r="DM49">
        <f t="shared" si="192"/>
        <v>1998</v>
      </c>
      <c r="DN49" s="9">
        <f t="shared" si="193"/>
        <v>1.4309879860707744E-2</v>
      </c>
      <c r="DO49" s="9">
        <f t="shared" si="194"/>
        <v>9.4199111361723958E-2</v>
      </c>
      <c r="DP49" s="9">
        <f t="shared" si="195"/>
        <v>0.19793255153997574</v>
      </c>
      <c r="DQ49" s="9">
        <f t="shared" si="196"/>
        <v>0.12660869498541494</v>
      </c>
      <c r="DR49" s="9">
        <f t="shared" si="197"/>
        <v>0.20076945813387992</v>
      </c>
      <c r="DS49" s="9">
        <f t="shared" si="198"/>
        <v>0.29594885028498291</v>
      </c>
      <c r="DT49" s="9">
        <f t="shared" si="199"/>
        <v>0.37485463773129146</v>
      </c>
      <c r="DU49" s="9">
        <f t="shared" si="200"/>
        <v>0.48308401303717541</v>
      </c>
      <c r="DV49" s="9">
        <f t="shared" si="201"/>
        <v>0.99974942656087296</v>
      </c>
      <c r="DW49">
        <f t="shared" si="202"/>
        <v>0.20074855278759654</v>
      </c>
      <c r="DX49">
        <f t="shared" si="96"/>
        <v>1998</v>
      </c>
      <c r="DY49" s="9">
        <f t="shared" si="223"/>
        <v>7.1282605338870944E-2</v>
      </c>
      <c r="DZ49" s="9">
        <f t="shared" si="224"/>
        <v>0.46923930486010534</v>
      </c>
      <c r="EA49" s="9">
        <f t="shared" si="99"/>
        <v>0.98597249540025189</v>
      </c>
      <c r="EB49" s="9">
        <f t="shared" si="100"/>
        <v>0.63068297742287682</v>
      </c>
      <c r="EC49" s="9">
        <f t="shared" si="101"/>
        <v>1.0001041369713159</v>
      </c>
      <c r="ED49" s="9">
        <f t="shared" si="102"/>
        <v>1.4742265693846059</v>
      </c>
      <c r="EE49" s="9">
        <f t="shared" si="103"/>
        <v>1.8672843840020561</v>
      </c>
      <c r="EF49" s="9">
        <f t="shared" si="104"/>
        <v>2.4064134277884732</v>
      </c>
      <c r="EG49" s="9">
        <f t="shared" si="105"/>
        <v>4.9801077650540533</v>
      </c>
      <c r="EI49">
        <f t="shared" si="203"/>
        <v>4879</v>
      </c>
      <c r="EJ49" s="8">
        <f t="shared" si="204"/>
        <v>25058.652569390255</v>
      </c>
      <c r="EK49" s="8">
        <f t="shared" si="205"/>
        <v>2211.732326643174</v>
      </c>
      <c r="EL49" s="8">
        <f t="shared" si="206"/>
        <v>1057.115513528895</v>
      </c>
      <c r="EM49" s="8">
        <f t="shared" si="207"/>
        <v>1721.7156327308276</v>
      </c>
      <c r="EN49" s="8">
        <f t="shared" si="208"/>
        <v>911.13836304361143</v>
      </c>
      <c r="EO49" s="8">
        <f t="shared" si="209"/>
        <v>410.32277652693728</v>
      </c>
      <c r="EP49" s="8">
        <f t="shared" si="210"/>
        <v>99.330612454787399</v>
      </c>
      <c r="EQ49">
        <f t="shared" si="108"/>
        <v>31470.007794318484</v>
      </c>
      <c r="ES49" s="8">
        <f t="shared" si="211"/>
        <v>25694.989456302079</v>
      </c>
      <c r="ET49" s="8">
        <f t="shared" si="212"/>
        <v>2315.2605924830082</v>
      </c>
      <c r="EU49" s="8">
        <f t="shared" si="213"/>
        <v>1094.8124539468631</v>
      </c>
      <c r="EV49" s="8">
        <f t="shared" si="214"/>
        <v>1765.4300131443965</v>
      </c>
      <c r="EW49" s="8">
        <f t="shared" si="215"/>
        <v>930.65434720312101</v>
      </c>
      <c r="EX49" s="8">
        <f t="shared" si="216"/>
        <v>416.23593385807663</v>
      </c>
      <c r="EY49" s="8">
        <f t="shared" si="217"/>
        <v>96.694381706030597</v>
      </c>
      <c r="EZ49">
        <f t="shared" si="110"/>
        <v>32314.077178643576</v>
      </c>
      <c r="FB49">
        <f t="shared" si="111"/>
        <v>36562.026939734591</v>
      </c>
      <c r="FC49">
        <f t="shared" si="218"/>
        <v>932.66279736386309</v>
      </c>
      <c r="FD49">
        <f t="shared" si="219"/>
        <v>38375.746868775401</v>
      </c>
      <c r="FE49">
        <f t="shared" si="220"/>
        <v>-36.987747351853614</v>
      </c>
      <c r="FG49">
        <f t="shared" si="221"/>
        <v>205.98443669248095</v>
      </c>
      <c r="FJ49">
        <v>25.699068789151788</v>
      </c>
    </row>
    <row r="50" spans="1:166" x14ac:dyDescent="0.3">
      <c r="A50" t="s">
        <v>79</v>
      </c>
      <c r="D50">
        <v>1999</v>
      </c>
      <c r="E50">
        <f t="shared" si="78"/>
        <v>28.200360316674914</v>
      </c>
      <c r="F50">
        <f t="shared" si="125"/>
        <v>0.14792957765169512</v>
      </c>
      <c r="G50">
        <f t="shared" si="126"/>
        <v>0.50561341704944096</v>
      </c>
      <c r="H50">
        <f t="shared" si="127"/>
        <v>0.18139959347907245</v>
      </c>
      <c r="I50" s="2">
        <v>4.0933603166749135</v>
      </c>
      <c r="J50">
        <f t="shared" si="128"/>
        <v>4.0933603166749135</v>
      </c>
      <c r="K50" s="2">
        <v>4.3729999999999993</v>
      </c>
      <c r="L50">
        <f t="shared" si="129"/>
        <v>19.734000000000002</v>
      </c>
      <c r="M50" s="25">
        <f t="shared" si="130"/>
        <v>0.54205643223418054</v>
      </c>
      <c r="N50" s="25">
        <f t="shared" si="131"/>
        <v>7.503609754784585</v>
      </c>
      <c r="O50" s="25">
        <f t="shared" si="132"/>
        <v>8.9052128152758243</v>
      </c>
      <c r="P50" s="25">
        <f t="shared" si="133"/>
        <v>16.788262072624335</v>
      </c>
      <c r="Q50" s="25">
        <f t="shared" si="134"/>
        <v>3.7479330457334772</v>
      </c>
      <c r="R50" s="25">
        <f t="shared" si="135"/>
        <v>1.2080114775504596</v>
      </c>
      <c r="S50" s="25">
        <f t="shared" si="136"/>
        <v>0.72790435185732816</v>
      </c>
      <c r="T50" s="25">
        <f t="shared" si="137"/>
        <v>0.33297752265813946</v>
      </c>
      <c r="U50" s="25">
        <f t="shared" si="138"/>
        <v>0.13164227639972956</v>
      </c>
      <c r="V50">
        <f t="shared" si="8"/>
        <v>39.887609749118056</v>
      </c>
      <c r="W50">
        <f t="shared" si="139"/>
        <v>2.4461334630023601</v>
      </c>
      <c r="X50">
        <f t="shared" si="140"/>
        <v>33.861476080704101</v>
      </c>
      <c r="Y50">
        <f t="shared" si="141"/>
        <v>40.186478320753061</v>
      </c>
      <c r="Z50">
        <f t="shared" si="142"/>
        <v>75.760247825558807</v>
      </c>
      <c r="AA50">
        <f t="shared" si="143"/>
        <v>16.91326565847346</v>
      </c>
      <c r="AB50">
        <f t="shared" si="144"/>
        <v>5.4513831461195457</v>
      </c>
      <c r="AC50">
        <f t="shared" si="145"/>
        <v>3.2848077931745983</v>
      </c>
      <c r="AD50">
        <f t="shared" si="146"/>
        <v>1.5026248415585928</v>
      </c>
      <c r="AE50">
        <f t="shared" si="147"/>
        <v>0.59406098387200179</v>
      </c>
      <c r="AF50">
        <f t="shared" si="17"/>
        <v>180.0004781132165</v>
      </c>
      <c r="AG50" s="2">
        <v>5.3800000000000001E-2</v>
      </c>
      <c r="AH50" s="2">
        <v>8.3199999999999996E-2</v>
      </c>
      <c r="AI50" s="2">
        <v>9.9099999999999994E-2</v>
      </c>
      <c r="AJ50" s="2">
        <v>0.1195</v>
      </c>
      <c r="AK50" s="2">
        <v>0.12570000000000001</v>
      </c>
      <c r="AL50" s="2">
        <v>0.14399999999999999</v>
      </c>
      <c r="AM50" s="2">
        <v>0.15210000000000001</v>
      </c>
      <c r="AN50" s="2">
        <v>0.16339999999999999</v>
      </c>
      <c r="AO50" s="2">
        <v>0.15679999999999999</v>
      </c>
      <c r="AP50">
        <f t="shared" si="119"/>
        <v>0.10963304212774218</v>
      </c>
      <c r="AQ50" s="2">
        <v>70</v>
      </c>
      <c r="AR50" s="2">
        <v>969</v>
      </c>
      <c r="AS50" s="2">
        <v>1150</v>
      </c>
      <c r="AT50" s="2">
        <v>2168</v>
      </c>
      <c r="AU50" s="2">
        <v>484</v>
      </c>
      <c r="AV50" s="2">
        <v>156</v>
      </c>
      <c r="AW50" s="2">
        <v>94</v>
      </c>
      <c r="AX50" s="2">
        <v>43</v>
      </c>
      <c r="AY50" s="2">
        <v>17</v>
      </c>
      <c r="AZ50">
        <f t="shared" si="83"/>
        <v>5151</v>
      </c>
      <c r="BA50">
        <f t="shared" si="148"/>
        <v>1999</v>
      </c>
      <c r="BB50">
        <f t="shared" si="222"/>
        <v>0.88575869249137129</v>
      </c>
      <c r="BC50">
        <f t="shared" si="123"/>
        <v>0.6087518571253332</v>
      </c>
      <c r="BD50">
        <f t="shared" si="149"/>
        <v>0.5073936174492979</v>
      </c>
      <c r="BE50">
        <f t="shared" si="150"/>
        <v>7.023777361548138</v>
      </c>
      <c r="BF50">
        <f t="shared" si="151"/>
        <v>8.3357522866670362</v>
      </c>
      <c r="BG50">
        <f t="shared" si="152"/>
        <v>15.714705180429682</v>
      </c>
      <c r="BH50">
        <f t="shared" si="153"/>
        <v>3.5082644406494308</v>
      </c>
      <c r="BI50">
        <f t="shared" si="154"/>
        <v>1.1307629188870068</v>
      </c>
      <c r="BJ50">
        <f t="shared" si="155"/>
        <v>0.68135714343191434</v>
      </c>
      <c r="BK50">
        <f t="shared" si="156"/>
        <v>0.31168465071885443</v>
      </c>
      <c r="BL50">
        <f t="shared" si="157"/>
        <v>0.12322416423768662</v>
      </c>
      <c r="BM50" s="24">
        <f t="shared" si="158"/>
        <v>93.285466916065786</v>
      </c>
      <c r="BN50" s="24">
        <f t="shared" si="159"/>
        <v>60.488464269169782</v>
      </c>
      <c r="BO50" s="24">
        <f t="shared" si="160"/>
        <v>81.886640672604898</v>
      </c>
      <c r="BP50" s="24">
        <f t="shared" si="161"/>
        <v>104.63066818903522</v>
      </c>
      <c r="BQ50" s="24">
        <f t="shared" si="162"/>
        <v>19.505823123589259</v>
      </c>
      <c r="BR50" s="24">
        <f t="shared" si="163"/>
        <v>5.1558335523888879</v>
      </c>
      <c r="BS50" s="24">
        <f t="shared" si="164"/>
        <v>3.6768419017352048</v>
      </c>
      <c r="BT50" s="24">
        <f t="shared" si="165"/>
        <v>1.1289229786918717</v>
      </c>
      <c r="BU50" s="23">
        <f t="shared" si="166"/>
        <v>0.25496644063741614</v>
      </c>
      <c r="BV50">
        <f t="shared" si="167"/>
        <v>19.204646263989165</v>
      </c>
      <c r="BW50">
        <v>1.1750787150915634</v>
      </c>
      <c r="BX50" s="2">
        <v>19.734000000000002</v>
      </c>
      <c r="CJ50">
        <v>1999</v>
      </c>
      <c r="CK50">
        <f t="shared" si="168"/>
        <v>4112</v>
      </c>
      <c r="CL50">
        <f t="shared" si="169"/>
        <v>216.23969685868275</v>
      </c>
      <c r="CM50" s="9">
        <f t="shared" si="170"/>
        <v>0.27966926070038911</v>
      </c>
      <c r="CN50" s="9">
        <f t="shared" si="171"/>
        <v>0.52723735408560313</v>
      </c>
      <c r="CO50" s="9">
        <f t="shared" si="172"/>
        <v>0.11770428015564202</v>
      </c>
      <c r="CP50" s="9">
        <f t="shared" si="173"/>
        <v>3.7937743190661476E-2</v>
      </c>
      <c r="CQ50" s="27">
        <f t="shared" si="38"/>
        <v>2.2859922178988325E-2</v>
      </c>
      <c r="CR50" s="27">
        <f t="shared" si="39"/>
        <v>1.0457198443579766E-2</v>
      </c>
      <c r="CS50" s="27">
        <f t="shared" si="40"/>
        <v>4.1342412451361868E-3</v>
      </c>
      <c r="CT50" s="29">
        <f t="shared" si="174"/>
        <v>0.37868458873265792</v>
      </c>
      <c r="CU50" s="9">
        <f t="shared" si="175"/>
        <v>0.48386429369355616</v>
      </c>
      <c r="CV50" s="9">
        <f t="shared" si="176"/>
        <v>9.0204635906129343E-2</v>
      </c>
      <c r="CW50" s="9">
        <f t="shared" si="177"/>
        <v>2.3843140863068889E-2</v>
      </c>
      <c r="CX50" s="9">
        <f t="shared" si="178"/>
        <v>1.7003547244787802E-2</v>
      </c>
      <c r="CY50" s="9">
        <f t="shared" si="179"/>
        <v>5.2207018188230583E-3</v>
      </c>
      <c r="CZ50" s="9">
        <f t="shared" si="180"/>
        <v>1.1790917409768759E-3</v>
      </c>
      <c r="DA50">
        <f t="shared" si="181"/>
        <v>-1.2551835428204994</v>
      </c>
      <c r="DB50">
        <f t="shared" si="182"/>
        <v>-1.2448345882612544</v>
      </c>
      <c r="DC50">
        <f t="shared" si="124"/>
        <v>100</v>
      </c>
      <c r="DD50">
        <f t="shared" si="183"/>
        <v>5.9287712662018901</v>
      </c>
      <c r="DE50">
        <f t="shared" si="184"/>
        <v>29.861349318222548</v>
      </c>
      <c r="DF50">
        <f t="shared" si="185"/>
        <v>54.616311889797238</v>
      </c>
      <c r="DG50">
        <f t="shared" si="186"/>
        <v>72.127700935981196</v>
      </c>
      <c r="DH50">
        <f t="shared" si="187"/>
        <v>12.249625637206352</v>
      </c>
      <c r="DI50">
        <f t="shared" si="188"/>
        <v>2.817059155951422</v>
      </c>
      <c r="DJ50">
        <f t="shared" si="189"/>
        <v>2.2675804064459624</v>
      </c>
      <c r="DK50">
        <f t="shared" si="190"/>
        <v>0.48426080531487786</v>
      </c>
      <c r="DL50">
        <f t="shared" si="191"/>
        <v>9.9999999999961231E-5</v>
      </c>
      <c r="DM50">
        <f t="shared" si="192"/>
        <v>1999</v>
      </c>
      <c r="DN50" s="9">
        <f t="shared" si="193"/>
        <v>5.842505809422362E-3</v>
      </c>
      <c r="DO50" s="9">
        <f t="shared" si="194"/>
        <v>0.14034702508872096</v>
      </c>
      <c r="DP50" s="9">
        <f t="shared" si="195"/>
        <v>0.12107553029880744</v>
      </c>
      <c r="DQ50" s="9">
        <f t="shared" si="196"/>
        <v>0.1888104397069795</v>
      </c>
      <c r="DR50" s="9">
        <f t="shared" si="197"/>
        <v>0.23428156258181823</v>
      </c>
      <c r="DS50" s="9">
        <f t="shared" si="198"/>
        <v>0.30012180842140118</v>
      </c>
      <c r="DT50" s="9">
        <f t="shared" si="199"/>
        <v>0.24300051931148178</v>
      </c>
      <c r="DU50" s="9">
        <f t="shared" si="200"/>
        <v>0.40744237177913339</v>
      </c>
      <c r="DV50" s="9">
        <f t="shared" si="201"/>
        <v>0.99924094221890825</v>
      </c>
      <c r="DW50">
        <f t="shared" si="202"/>
        <v>0.17079477333767509</v>
      </c>
      <c r="DX50">
        <f t="shared" si="96"/>
        <v>1999</v>
      </c>
      <c r="DY50" s="9">
        <f t="shared" si="223"/>
        <v>3.420775527990693E-2</v>
      </c>
      <c r="DZ50" s="9">
        <f t="shared" si="224"/>
        <v>0.82172903974785882</v>
      </c>
      <c r="EA50" s="9">
        <f t="shared" si="99"/>
        <v>0.70889482115141378</v>
      </c>
      <c r="EB50" s="9">
        <f t="shared" si="100"/>
        <v>1.1054813681779709</v>
      </c>
      <c r="EC50" s="9">
        <f t="shared" si="101"/>
        <v>1.3717138879807793</v>
      </c>
      <c r="ED50" s="9">
        <f t="shared" si="102"/>
        <v>1.7572072175068032</v>
      </c>
      <c r="EE50" s="9">
        <f t="shared" si="103"/>
        <v>1.422763206172885</v>
      </c>
      <c r="EF50" s="9">
        <f t="shared" si="104"/>
        <v>2.3855669808676572</v>
      </c>
      <c r="EG50" s="9">
        <f t="shared" si="105"/>
        <v>5.850535837202278</v>
      </c>
      <c r="EI50">
        <f t="shared" si="203"/>
        <v>4112</v>
      </c>
      <c r="EJ50" s="8">
        <f t="shared" si="204"/>
        <v>6959.0875741685395</v>
      </c>
      <c r="EK50" s="8">
        <f t="shared" si="205"/>
        <v>14490.382623181447</v>
      </c>
      <c r="EL50" s="8">
        <f t="shared" si="206"/>
        <v>2512.1392480136969</v>
      </c>
      <c r="EM50" s="8">
        <f t="shared" si="207"/>
        <v>635.22193785505965</v>
      </c>
      <c r="EN50" s="8">
        <f t="shared" si="208"/>
        <v>336.26118197919845</v>
      </c>
      <c r="EO50" s="8">
        <f t="shared" si="209"/>
        <v>121.53308151543864</v>
      </c>
      <c r="EP50" s="8">
        <f t="shared" si="210"/>
        <v>33.505073450136891</v>
      </c>
      <c r="EQ50">
        <f t="shared" si="108"/>
        <v>25088.130720163517</v>
      </c>
      <c r="ES50" s="8">
        <f t="shared" si="211"/>
        <v>7216.3599081228067</v>
      </c>
      <c r="ET50" s="8">
        <f t="shared" si="212"/>
        <v>14853.382007741984</v>
      </c>
      <c r="EU50" s="8">
        <f t="shared" si="213"/>
        <v>2578.1542549721567</v>
      </c>
      <c r="EV50" s="8">
        <f t="shared" si="214"/>
        <v>649.7532127244491</v>
      </c>
      <c r="EW50" s="8">
        <f t="shared" si="215"/>
        <v>344.9298020074329</v>
      </c>
      <c r="EX50" s="8">
        <f t="shared" si="216"/>
        <v>121.27657083744189</v>
      </c>
      <c r="EY50" s="8">
        <f t="shared" si="217"/>
        <v>29.810438158241134</v>
      </c>
      <c r="EZ50">
        <f t="shared" si="110"/>
        <v>25793.66619456451</v>
      </c>
      <c r="FB50">
        <f t="shared" si="111"/>
        <v>30111.76547814178</v>
      </c>
      <c r="FC50">
        <f t="shared" si="218"/>
        <v>755.00277658215236</v>
      </c>
      <c r="FD50">
        <f t="shared" si="219"/>
        <v>31608.343618783005</v>
      </c>
      <c r="FE50">
        <f t="shared" si="220"/>
        <v>-36.039889658080938</v>
      </c>
      <c r="FG50">
        <f t="shared" si="221"/>
        <v>173.75338647863657</v>
      </c>
      <c r="FJ50">
        <v>20.837616454759711</v>
      </c>
    </row>
    <row r="51" spans="1:166" x14ac:dyDescent="0.3">
      <c r="A51" t="s">
        <v>49</v>
      </c>
      <c r="B51" t="s">
        <v>78</v>
      </c>
      <c r="D51">
        <v>2000</v>
      </c>
      <c r="E51">
        <f t="shared" si="78"/>
        <v>18.810743196437407</v>
      </c>
      <c r="F51">
        <f t="shared" si="125"/>
        <v>0.20126496871209415</v>
      </c>
      <c r="G51">
        <f t="shared" si="126"/>
        <v>0.53199841704768958</v>
      </c>
      <c r="H51">
        <f t="shared" si="127"/>
        <v>0.11272097053726168</v>
      </c>
      <c r="I51" s="2">
        <v>4.3857431964374065</v>
      </c>
      <c r="J51">
        <f t="shared" si="128"/>
        <v>4.3857431964374065</v>
      </c>
      <c r="K51" s="2">
        <v>1.6259999999999999</v>
      </c>
      <c r="L51">
        <f t="shared" si="129"/>
        <v>12.798999999999999</v>
      </c>
      <c r="M51" s="25">
        <f t="shared" si="130"/>
        <v>0.70249064129071226</v>
      </c>
      <c r="N51" s="25">
        <f t="shared" si="131"/>
        <v>2.8251242336799147</v>
      </c>
      <c r="O51" s="25">
        <f t="shared" si="132"/>
        <v>2.4662980787760258</v>
      </c>
      <c r="P51" s="25">
        <f t="shared" si="133"/>
        <v>2.5724297583954856</v>
      </c>
      <c r="Q51" s="25">
        <f t="shared" si="134"/>
        <v>4.0835427205963697</v>
      </c>
      <c r="R51" s="25">
        <f t="shared" si="135"/>
        <v>0.54582006661436633</v>
      </c>
      <c r="S51" s="25">
        <f t="shared" si="136"/>
        <v>0.19204780121616594</v>
      </c>
      <c r="T51" s="25">
        <f t="shared" si="137"/>
        <v>0.11118556912514869</v>
      </c>
      <c r="U51" s="25">
        <f t="shared" si="138"/>
        <v>3.0323337034131464E-2</v>
      </c>
      <c r="V51">
        <f t="shared" si="8"/>
        <v>13.529262206728321</v>
      </c>
      <c r="W51">
        <f t="shared" si="139"/>
        <v>5.5296295927920216</v>
      </c>
      <c r="X51">
        <f t="shared" si="140"/>
        <v>22.237862894753523</v>
      </c>
      <c r="Y51">
        <f t="shared" si="141"/>
        <v>19.413375836564793</v>
      </c>
      <c r="Z51">
        <f t="shared" si="142"/>
        <v>20.248787501662868</v>
      </c>
      <c r="AA51">
        <f t="shared" si="143"/>
        <v>32.143458352344986</v>
      </c>
      <c r="AB51">
        <f t="shared" si="144"/>
        <v>4.2964028490758146</v>
      </c>
      <c r="AC51">
        <f t="shared" si="145"/>
        <v>1.5116972987488979</v>
      </c>
      <c r="AD51">
        <f t="shared" si="146"/>
        <v>0.87519317295988819</v>
      </c>
      <c r="AE51">
        <f t="shared" si="147"/>
        <v>0.23868904717087858</v>
      </c>
      <c r="AF51">
        <f t="shared" si="17"/>
        <v>106.49509654607368</v>
      </c>
      <c r="AG51" s="2">
        <v>5.7599999999999998E-2</v>
      </c>
      <c r="AH51" s="2">
        <v>8.6400000000000005E-2</v>
      </c>
      <c r="AI51" s="2">
        <v>0.10730000000000001</v>
      </c>
      <c r="AJ51" s="2">
        <v>0.13020000000000001</v>
      </c>
      <c r="AK51" s="2">
        <v>0.14680000000000001</v>
      </c>
      <c r="AL51" s="2">
        <v>0.15920000000000001</v>
      </c>
      <c r="AM51" s="2">
        <v>0.16209999999999999</v>
      </c>
      <c r="AN51" s="2">
        <v>0.17069999999999999</v>
      </c>
      <c r="AO51" s="2">
        <v>0.17849999999999999</v>
      </c>
      <c r="AP51">
        <f t="shared" si="119"/>
        <v>0.12018393724318269</v>
      </c>
      <c r="AQ51" s="2">
        <v>278</v>
      </c>
      <c r="AR51" s="2">
        <v>1118</v>
      </c>
      <c r="AS51" s="2">
        <v>976</v>
      </c>
      <c r="AT51" s="2">
        <v>1018</v>
      </c>
      <c r="AU51" s="2">
        <v>1616</v>
      </c>
      <c r="AV51" s="2">
        <v>216</v>
      </c>
      <c r="AW51" s="2">
        <v>76</v>
      </c>
      <c r="AX51" s="2">
        <v>44</v>
      </c>
      <c r="AY51" s="2">
        <v>12</v>
      </c>
      <c r="AZ51">
        <f t="shared" si="83"/>
        <v>5354</v>
      </c>
      <c r="BA51">
        <f t="shared" si="148"/>
        <v>2000</v>
      </c>
      <c r="BB51">
        <f t="shared" si="222"/>
        <v>0.76109037075929098</v>
      </c>
      <c r="BC51">
        <f t="shared" si="123"/>
        <v>0.82246441182564478</v>
      </c>
      <c r="BD51">
        <f t="shared" si="149"/>
        <v>1.894799231612357</v>
      </c>
      <c r="BE51">
        <f t="shared" si="150"/>
        <v>7.6200918738942978</v>
      </c>
      <c r="BF51">
        <f t="shared" si="151"/>
        <v>6.652244784365684</v>
      </c>
      <c r="BG51">
        <f t="shared" si="152"/>
        <v>6.938509416479782</v>
      </c>
      <c r="BH51">
        <f t="shared" si="153"/>
        <v>11.014372511818593</v>
      </c>
      <c r="BI51">
        <f t="shared" si="154"/>
        <v>1.4722181080153565</v>
      </c>
      <c r="BJ51">
        <f t="shared" si="155"/>
        <v>0.51800266763503278</v>
      </c>
      <c r="BK51">
        <f t="shared" si="156"/>
        <v>0.29989628126238743</v>
      </c>
      <c r="BL51">
        <f t="shared" si="157"/>
        <v>8.1789894889742018E-2</v>
      </c>
      <c r="BM51" s="24">
        <f t="shared" si="158"/>
        <v>143.01729503971984</v>
      </c>
      <c r="BN51" s="24">
        <f t="shared" si="159"/>
        <v>65.288916622877949</v>
      </c>
      <c r="BO51" s="24">
        <f t="shared" si="160"/>
        <v>32.533339583804505</v>
      </c>
      <c r="BP51" s="24">
        <f t="shared" si="161"/>
        <v>45.759176434329213</v>
      </c>
      <c r="BQ51" s="24">
        <f t="shared" si="162"/>
        <v>45.483822837015254</v>
      </c>
      <c r="BR51" s="24">
        <f t="shared" si="163"/>
        <v>6.6207638397899231</v>
      </c>
      <c r="BS51" s="24">
        <f t="shared" si="164"/>
        <v>1.2393884742043286</v>
      </c>
      <c r="BT51" s="24">
        <f t="shared" si="165"/>
        <v>0.75809515309829734</v>
      </c>
      <c r="BU51" s="23">
        <f t="shared" si="166"/>
        <v>0.11221323192387349</v>
      </c>
      <c r="BV51">
        <f t="shared" si="167"/>
        <v>15.779148802811266</v>
      </c>
      <c r="BW51">
        <v>1.0449803630752623</v>
      </c>
      <c r="BX51" s="2">
        <v>12.798999999999999</v>
      </c>
      <c r="CJ51">
        <v>2000</v>
      </c>
      <c r="CK51">
        <f t="shared" si="168"/>
        <v>3958</v>
      </c>
      <c r="CL51">
        <f t="shared" si="169"/>
        <v>132.50679955416541</v>
      </c>
      <c r="CM51" s="9">
        <f t="shared" si="170"/>
        <v>0.24658918645780697</v>
      </c>
      <c r="CN51" s="9">
        <f t="shared" si="171"/>
        <v>0.25720060636685194</v>
      </c>
      <c r="CO51" s="9">
        <f t="shared" si="172"/>
        <v>0.40828701364325415</v>
      </c>
      <c r="CP51" s="9">
        <f t="shared" si="173"/>
        <v>5.4573016675088432E-2</v>
      </c>
      <c r="CQ51" s="27">
        <f t="shared" si="38"/>
        <v>1.9201616978271854E-2</v>
      </c>
      <c r="CR51" s="27">
        <f t="shared" si="39"/>
        <v>1.1116725618999495E-2</v>
      </c>
      <c r="CS51" s="27">
        <f t="shared" si="40"/>
        <v>3.0318342597271349E-3</v>
      </c>
      <c r="CT51" s="29">
        <f t="shared" si="174"/>
        <v>0.24552203881813403</v>
      </c>
      <c r="CU51" s="9">
        <f t="shared" si="175"/>
        <v>0.34533455330814194</v>
      </c>
      <c r="CV51" s="9">
        <f t="shared" si="176"/>
        <v>0.34325651959032205</v>
      </c>
      <c r="CW51" s="9">
        <f t="shared" si="177"/>
        <v>4.9965464882302309E-2</v>
      </c>
      <c r="CX51" s="9">
        <f t="shared" si="178"/>
        <v>9.3533952851808048E-3</v>
      </c>
      <c r="CY51" s="9">
        <f t="shared" si="179"/>
        <v>5.7211792575852481E-3</v>
      </c>
      <c r="CZ51" s="9">
        <f t="shared" si="180"/>
        <v>8.4684885833351947E-4</v>
      </c>
      <c r="DA51">
        <f t="shared" si="181"/>
        <v>-1.3884122752689572</v>
      </c>
      <c r="DB51">
        <f t="shared" si="182"/>
        <v>-1.3783035633965639</v>
      </c>
      <c r="DC51">
        <f t="shared" si="124"/>
        <v>100</v>
      </c>
      <c r="DD51">
        <f t="shared" si="183"/>
        <v>9.0259545036400617</v>
      </c>
      <c r="DE51">
        <f t="shared" si="184"/>
        <v>35.63247426829237</v>
      </c>
      <c r="DF51">
        <f t="shared" si="185"/>
        <v>19.782140556858664</v>
      </c>
      <c r="DG51">
        <f t="shared" si="186"/>
        <v>36.248237259453944</v>
      </c>
      <c r="DH51">
        <f t="shared" si="187"/>
        <v>30.385907604600291</v>
      </c>
      <c r="DI51">
        <f t="shared" si="188"/>
        <v>4.6027256651602002</v>
      </c>
      <c r="DJ51">
        <f t="shared" si="189"/>
        <v>0.52933800535312991</v>
      </c>
      <c r="DK51">
        <f t="shared" si="190"/>
        <v>0.3470133027107612</v>
      </c>
      <c r="DL51">
        <f t="shared" si="191"/>
        <v>1.0000000000000633E-4</v>
      </c>
      <c r="DM51">
        <f t="shared" si="192"/>
        <v>2000</v>
      </c>
      <c r="DN51" s="9">
        <f t="shared" si="193"/>
        <v>4.9778785250930505E-3</v>
      </c>
      <c r="DO51" s="9">
        <f t="shared" si="194"/>
        <v>4.8988760322009238E-2</v>
      </c>
      <c r="DP51" s="9">
        <f t="shared" si="195"/>
        <v>9.5293421622546767E-2</v>
      </c>
      <c r="DQ51" s="9">
        <f t="shared" si="196"/>
        <v>6.6264439949285339E-2</v>
      </c>
      <c r="DR51" s="9">
        <f t="shared" si="197"/>
        <v>0.11846846068245423</v>
      </c>
      <c r="DS51" s="9">
        <f t="shared" si="198"/>
        <v>0.10601441553598412</v>
      </c>
      <c r="DT51" s="9">
        <f t="shared" si="199"/>
        <v>0.26622065400689021</v>
      </c>
      <c r="DU51" s="9">
        <f t="shared" si="200"/>
        <v>0.24265788494775353</v>
      </c>
      <c r="DV51" s="9">
        <f t="shared" si="201"/>
        <v>0.99671304959453266</v>
      </c>
      <c r="DW51">
        <f t="shared" si="202"/>
        <v>9.4775604280327441E-2</v>
      </c>
      <c r="DX51">
        <f t="shared" si="96"/>
        <v>2000</v>
      </c>
      <c r="DY51" s="9">
        <f t="shared" si="223"/>
        <v>5.2522783293150764E-2</v>
      </c>
      <c r="DZ51" s="9">
        <f t="shared" si="224"/>
        <v>0.51689209152505322</v>
      </c>
      <c r="EA51" s="9">
        <f t="shared" si="99"/>
        <v>1.0054636142512763</v>
      </c>
      <c r="EB51" s="9">
        <f t="shared" si="100"/>
        <v>0.69917190665741646</v>
      </c>
      <c r="EC51" s="9">
        <f t="shared" si="101"/>
        <v>1.2499889774593049</v>
      </c>
      <c r="ED51" s="9">
        <f t="shared" si="102"/>
        <v>1.118583377452435</v>
      </c>
      <c r="EE51" s="9">
        <f t="shared" si="103"/>
        <v>2.8089576007287942</v>
      </c>
      <c r="EF51" s="9">
        <f t="shared" si="104"/>
        <v>2.5603412058446984</v>
      </c>
      <c r="EG51" s="9">
        <f t="shared" si="105"/>
        <v>10.516557052450471</v>
      </c>
      <c r="EI51">
        <f t="shared" si="203"/>
        <v>3958</v>
      </c>
      <c r="EJ51" s="8">
        <f t="shared" si="204"/>
        <v>5746.6202395480996</v>
      </c>
      <c r="EK51" s="8">
        <f t="shared" si="205"/>
        <v>6036.6377286500701</v>
      </c>
      <c r="EL51" s="8">
        <f t="shared" si="206"/>
        <v>10327.150975075363</v>
      </c>
      <c r="EM51" s="8">
        <f t="shared" si="207"/>
        <v>948.66709959902005</v>
      </c>
      <c r="EN51" s="8">
        <f t="shared" si="208"/>
        <v>256.22113555000954</v>
      </c>
      <c r="EO51" s="8">
        <f t="shared" si="209"/>
        <v>125.31727114935688</v>
      </c>
      <c r="EP51" s="8">
        <f t="shared" si="210"/>
        <v>19.987214495661885</v>
      </c>
      <c r="EQ51">
        <f t="shared" si="108"/>
        <v>23460.601664067584</v>
      </c>
      <c r="ES51" s="8">
        <f t="shared" si="211"/>
        <v>5917.6810318364442</v>
      </c>
      <c r="ET51" s="8">
        <f t="shared" si="212"/>
        <v>6262.2950780503324</v>
      </c>
      <c r="EU51" s="8">
        <f t="shared" si="213"/>
        <v>10578.22477943525</v>
      </c>
      <c r="EV51" s="8">
        <f t="shared" si="214"/>
        <v>980.15938710460864</v>
      </c>
      <c r="EW51" s="8">
        <f t="shared" si="215"/>
        <v>259.03919703141077</v>
      </c>
      <c r="EX51" s="8">
        <f t="shared" si="216"/>
        <v>125.28798317983041</v>
      </c>
      <c r="EY51" s="8">
        <f t="shared" si="217"/>
        <v>16.013515067876064</v>
      </c>
      <c r="EZ51">
        <f t="shared" si="110"/>
        <v>24138.700971705755</v>
      </c>
      <c r="FB51">
        <f t="shared" si="111"/>
        <v>28833.130458001906</v>
      </c>
      <c r="FC51">
        <f t="shared" si="218"/>
        <v>720.0559608183612</v>
      </c>
      <c r="FD51">
        <f t="shared" si="219"/>
        <v>30266.758229121373</v>
      </c>
      <c r="FE51">
        <f t="shared" si="220"/>
        <v>-35.472502662934858</v>
      </c>
      <c r="FG51">
        <f t="shared" si="221"/>
        <v>167.28196309802118</v>
      </c>
      <c r="FJ51">
        <v>17.166017723030969</v>
      </c>
    </row>
    <row r="52" spans="1:166" x14ac:dyDescent="0.3">
      <c r="A52">
        <v>4</v>
      </c>
      <c r="B52">
        <v>0.21</v>
      </c>
      <c r="D52">
        <v>2001</v>
      </c>
      <c r="E52">
        <f t="shared" si="78"/>
        <v>18.0921260761999</v>
      </c>
      <c r="F52">
        <f t="shared" si="125"/>
        <v>0.23354885589842106</v>
      </c>
      <c r="G52">
        <f t="shared" si="126"/>
        <v>0.54593385018089025</v>
      </c>
      <c r="H52">
        <f t="shared" si="127"/>
        <v>0</v>
      </c>
      <c r="I52" s="2">
        <v>4.6781260761999004</v>
      </c>
      <c r="J52">
        <f t="shared" si="128"/>
        <v>4.6781260761999004</v>
      </c>
      <c r="K52" s="2">
        <v>0</v>
      </c>
      <c r="L52">
        <f t="shared" si="129"/>
        <v>13.414</v>
      </c>
      <c r="M52" s="25">
        <f t="shared" si="130"/>
        <v>0</v>
      </c>
      <c r="N52" s="25">
        <f t="shared" si="131"/>
        <v>0</v>
      </c>
      <c r="O52" s="25">
        <f t="shared" si="132"/>
        <v>0</v>
      </c>
      <c r="P52" s="25">
        <f t="shared" si="133"/>
        <v>0</v>
      </c>
      <c r="Q52" s="25">
        <f t="shared" si="134"/>
        <v>0</v>
      </c>
      <c r="R52" s="25">
        <f t="shared" si="135"/>
        <v>0</v>
      </c>
      <c r="S52" s="25">
        <f t="shared" si="136"/>
        <v>0</v>
      </c>
      <c r="T52" s="25">
        <f t="shared" si="137"/>
        <v>0</v>
      </c>
      <c r="U52" s="25">
        <f t="shared" si="138"/>
        <v>0</v>
      </c>
      <c r="V52">
        <f t="shared" si="8"/>
        <v>0</v>
      </c>
      <c r="W52">
        <f t="shared" si="139"/>
        <v>8.9353956013167455</v>
      </c>
      <c r="X52">
        <f t="shared" si="140"/>
        <v>58.161302277661726</v>
      </c>
      <c r="Y52">
        <f t="shared" si="141"/>
        <v>25.723108549245179</v>
      </c>
      <c r="Z52">
        <f t="shared" si="142"/>
        <v>10.668320808844843</v>
      </c>
      <c r="AA52">
        <f t="shared" si="143"/>
        <v>9.639396466875036</v>
      </c>
      <c r="AB52">
        <f t="shared" si="144"/>
        <v>12.022168627226169</v>
      </c>
      <c r="AC52">
        <f t="shared" si="145"/>
        <v>1.6787712947928433</v>
      </c>
      <c r="AD52">
        <f t="shared" si="146"/>
        <v>0.27076956367626503</v>
      </c>
      <c r="AE52">
        <f t="shared" si="147"/>
        <v>0.27076956367626503</v>
      </c>
      <c r="AF52">
        <f t="shared" si="17"/>
        <v>127.37000275331508</v>
      </c>
      <c r="AG52" s="2">
        <v>6.59E-2</v>
      </c>
      <c r="AH52" s="2">
        <v>8.8499999999999995E-2</v>
      </c>
      <c r="AI52" s="2">
        <v>0.1074</v>
      </c>
      <c r="AJ52" s="2">
        <v>0.1242</v>
      </c>
      <c r="AK52" s="2">
        <v>0.14080000000000001</v>
      </c>
      <c r="AL52" s="2">
        <v>0.15640000000000001</v>
      </c>
      <c r="AM52" s="2">
        <v>0.15629999999999999</v>
      </c>
      <c r="AN52" s="2">
        <v>0.14779999999999999</v>
      </c>
      <c r="AO52" s="2">
        <v>0.18579999999999999</v>
      </c>
      <c r="AP52">
        <f t="shared" si="119"/>
        <v>0.10531522108843537</v>
      </c>
      <c r="AQ52" s="2">
        <v>165</v>
      </c>
      <c r="AR52" s="2">
        <v>1074</v>
      </c>
      <c r="AS52" s="2">
        <v>475</v>
      </c>
      <c r="AT52" s="2">
        <v>197</v>
      </c>
      <c r="AU52" s="2">
        <v>178</v>
      </c>
      <c r="AV52" s="2">
        <v>222</v>
      </c>
      <c r="AW52" s="2">
        <v>31</v>
      </c>
      <c r="AX52" s="2">
        <v>5</v>
      </c>
      <c r="AY52" s="2">
        <v>5</v>
      </c>
      <c r="AZ52">
        <f t="shared" si="83"/>
        <v>2352</v>
      </c>
      <c r="BA52">
        <f t="shared" si="148"/>
        <v>2001</v>
      </c>
      <c r="BB52">
        <f t="shared" si="222"/>
        <v>0.82054417222627196</v>
      </c>
      <c r="BC52">
        <f t="shared" si="123"/>
        <v>0.579362803954932</v>
      </c>
      <c r="BD52">
        <f t="shared" si="149"/>
        <v>3.11621493690784</v>
      </c>
      <c r="BE52">
        <f t="shared" si="150"/>
        <v>20.28372631660012</v>
      </c>
      <c r="BF52">
        <f t="shared" si="151"/>
        <v>8.9709217880680239</v>
      </c>
      <c r="BG52">
        <f t="shared" si="152"/>
        <v>3.7205717731566335</v>
      </c>
      <c r="BH52">
        <f t="shared" si="153"/>
        <v>3.3617349016339118</v>
      </c>
      <c r="BI52">
        <f t="shared" si="154"/>
        <v>4.1927255514760029</v>
      </c>
      <c r="BJ52">
        <f t="shared" si="155"/>
        <v>0.58547068511601841</v>
      </c>
      <c r="BK52">
        <f t="shared" si="156"/>
        <v>9.4430755663873947E-2</v>
      </c>
      <c r="BL52">
        <f t="shared" si="157"/>
        <v>9.4430755663873947E-2</v>
      </c>
      <c r="BM52" s="24">
        <f t="shared" si="158"/>
        <v>187.2272166849755</v>
      </c>
      <c r="BN52" s="24">
        <f t="shared" si="159"/>
        <v>103.27185217869093</v>
      </c>
      <c r="BO52" s="24">
        <f t="shared" si="160"/>
        <v>40.334738857964005</v>
      </c>
      <c r="BP52" s="24">
        <f t="shared" si="161"/>
        <v>17.220344193172078</v>
      </c>
      <c r="BQ52" s="24">
        <f t="shared" si="162"/>
        <v>24.055320940007281</v>
      </c>
      <c r="BR52" s="24">
        <f t="shared" si="163"/>
        <v>17.581008499703628</v>
      </c>
      <c r="BS52" s="24">
        <f t="shared" si="164"/>
        <v>2.2177388285676174</v>
      </c>
      <c r="BT52" s="24">
        <f t="shared" si="165"/>
        <v>0.19976131814958425</v>
      </c>
      <c r="BU52" s="23">
        <f t="shared" si="166"/>
        <v>9.453075566387395E-2</v>
      </c>
      <c r="BV52">
        <f t="shared" si="167"/>
        <v>15.352484042629319</v>
      </c>
      <c r="BW52">
        <v>0.95205998562782046</v>
      </c>
      <c r="BX52" s="2">
        <v>13.414</v>
      </c>
      <c r="CJ52">
        <v>2001</v>
      </c>
      <c r="CK52">
        <f t="shared" si="168"/>
        <v>1113</v>
      </c>
      <c r="CL52">
        <f t="shared" si="169"/>
        <v>101.70344339322806</v>
      </c>
      <c r="CM52" s="9">
        <f t="shared" si="170"/>
        <v>0.42677448337825696</v>
      </c>
      <c r="CN52" s="9">
        <f t="shared" si="171"/>
        <v>0.17699910152740342</v>
      </c>
      <c r="CO52" s="9">
        <f t="shared" si="172"/>
        <v>0.15992812219227315</v>
      </c>
      <c r="CP52" s="9">
        <f t="shared" si="173"/>
        <v>0.19946091644204852</v>
      </c>
      <c r="CQ52" s="27">
        <f t="shared" si="38"/>
        <v>2.7852650494159928E-2</v>
      </c>
      <c r="CR52" s="27">
        <f t="shared" si="39"/>
        <v>4.4923629829290209E-3</v>
      </c>
      <c r="CS52" s="27">
        <f t="shared" si="40"/>
        <v>4.4923629829290209E-3</v>
      </c>
      <c r="CT52" s="29">
        <f t="shared" si="174"/>
        <v>0.39659167391228861</v>
      </c>
      <c r="CU52" s="9">
        <f t="shared" si="175"/>
        <v>0.16931918545364313</v>
      </c>
      <c r="CV52" s="9">
        <f t="shared" si="176"/>
        <v>0.23652415431992158</v>
      </c>
      <c r="CW52" s="9">
        <f t="shared" si="177"/>
        <v>0.17286542041382114</v>
      </c>
      <c r="CX52" s="9">
        <f t="shared" si="178"/>
        <v>2.1805936501018076E-2</v>
      </c>
      <c r="CY52" s="9">
        <f t="shared" si="179"/>
        <v>1.9641549143741715E-3</v>
      </c>
      <c r="CZ52" s="9">
        <f t="shared" si="180"/>
        <v>9.2947448493340096E-4</v>
      </c>
      <c r="DA52">
        <f t="shared" si="181"/>
        <v>-1.4556181314301133</v>
      </c>
      <c r="DB52">
        <f t="shared" si="182"/>
        <v>-1.445309418359054</v>
      </c>
      <c r="DC52">
        <f t="shared" si="124"/>
        <v>100</v>
      </c>
      <c r="DD52">
        <f t="shared" si="183"/>
        <v>11.834336022303154</v>
      </c>
      <c r="DE52">
        <f t="shared" si="184"/>
        <v>53.91817531586166</v>
      </c>
      <c r="DF52">
        <f t="shared" si="185"/>
        <v>26.497921168316797</v>
      </c>
      <c r="DG52">
        <f t="shared" si="186"/>
        <v>13.499772420015445</v>
      </c>
      <c r="DH52">
        <f t="shared" si="187"/>
        <v>20.693586038373368</v>
      </c>
      <c r="DI52">
        <f t="shared" si="188"/>
        <v>13.388282948227626</v>
      </c>
      <c r="DJ52">
        <f t="shared" si="189"/>
        <v>1.6322681434515989</v>
      </c>
      <c r="DK52">
        <f t="shared" si="190"/>
        <v>0.10533056248571031</v>
      </c>
      <c r="DL52">
        <f t="shared" si="191"/>
        <v>1.0000000000000286E-4</v>
      </c>
      <c r="DM52">
        <f t="shared" si="192"/>
        <v>2001</v>
      </c>
      <c r="DN52" s="9" t="str">
        <f t="shared" si="193"/>
        <v/>
      </c>
      <c r="DO52" s="9" t="str">
        <f t="shared" si="194"/>
        <v/>
      </c>
      <c r="DP52" s="9" t="str">
        <f t="shared" si="195"/>
        <v/>
      </c>
      <c r="DQ52" s="9" t="str">
        <f t="shared" si="196"/>
        <v/>
      </c>
      <c r="DR52" s="9" t="str">
        <f t="shared" si="197"/>
        <v/>
      </c>
      <c r="DS52" s="9" t="str">
        <f t="shared" si="198"/>
        <v/>
      </c>
      <c r="DT52" s="9" t="str">
        <f t="shared" si="199"/>
        <v/>
      </c>
      <c r="DU52" s="9" t="str">
        <f t="shared" si="200"/>
        <v/>
      </c>
      <c r="DV52" s="9" t="str">
        <f t="shared" si="201"/>
        <v/>
      </c>
      <c r="DW52">
        <f t="shared" si="202"/>
        <v>0</v>
      </c>
      <c r="DX52">
        <f t="shared" si="96"/>
        <v>2001</v>
      </c>
      <c r="DY52" s="9" t="str">
        <f t="shared" si="223"/>
        <v/>
      </c>
      <c r="DZ52" s="9" t="str">
        <f t="shared" si="224"/>
        <v/>
      </c>
      <c r="EA52" s="9" t="str">
        <f t="shared" si="99"/>
        <v/>
      </c>
      <c r="EB52" s="9" t="str">
        <f t="shared" si="100"/>
        <v/>
      </c>
      <c r="EC52" s="9" t="str">
        <f t="shared" si="101"/>
        <v/>
      </c>
      <c r="ED52" s="9" t="str">
        <f t="shared" si="102"/>
        <v/>
      </c>
      <c r="EE52" s="9" t="str">
        <f t="shared" si="103"/>
        <v/>
      </c>
      <c r="EF52" s="9" t="str">
        <f t="shared" si="104"/>
        <v/>
      </c>
      <c r="EG52" s="9" t="str">
        <f t="shared" si="105"/>
        <v/>
      </c>
      <c r="EI52">
        <f t="shared" si="203"/>
        <v>1113</v>
      </c>
      <c r="EJ52" s="8">
        <f t="shared" si="204"/>
        <v>2456.5753032902471</v>
      </c>
      <c r="EK52" s="8">
        <f t="shared" si="205"/>
        <v>847.35209797043842</v>
      </c>
      <c r="EL52" s="8">
        <f t="shared" si="206"/>
        <v>747.86777042464337</v>
      </c>
      <c r="EM52" s="8">
        <f t="shared" si="207"/>
        <v>981.0150313749084</v>
      </c>
      <c r="EN52" s="8">
        <f t="shared" si="208"/>
        <v>78.092223553315307</v>
      </c>
      <c r="EO52" s="8">
        <f t="shared" si="209"/>
        <v>4.7874917427820458</v>
      </c>
      <c r="EP52" s="8">
        <f t="shared" si="210"/>
        <v>4.7874917427820458</v>
      </c>
      <c r="EQ52">
        <f t="shared" si="108"/>
        <v>5120.4774100991162</v>
      </c>
      <c r="ES52" s="8">
        <f t="shared" si="211"/>
        <v>2532.6620049615644</v>
      </c>
      <c r="ET52" s="8">
        <f t="shared" si="212"/>
        <v>876.82619529569945</v>
      </c>
      <c r="EU52" s="8">
        <f t="shared" si="213"/>
        <v>786.45235340835904</v>
      </c>
      <c r="EV52" s="8">
        <f t="shared" si="214"/>
        <v>1011.9250210659851</v>
      </c>
      <c r="EW52" s="8">
        <f t="shared" si="215"/>
        <v>78.349189452863484</v>
      </c>
      <c r="EX52" s="8">
        <f t="shared" si="216"/>
        <v>1.0271090796334637</v>
      </c>
      <c r="EY52" s="8">
        <f t="shared" si="217"/>
        <v>0.17846082834106802</v>
      </c>
      <c r="EZ52">
        <f t="shared" si="110"/>
        <v>5287.420334092446</v>
      </c>
      <c r="FB52">
        <f t="shared" si="111"/>
        <v>6698.9147935512383</v>
      </c>
      <c r="FC52">
        <f t="shared" si="218"/>
        <v>139.98475004466758</v>
      </c>
      <c r="FD52">
        <f t="shared" si="219"/>
        <v>7035.4138347838852</v>
      </c>
      <c r="FE52">
        <f t="shared" si="220"/>
        <v>-29.571367194649611</v>
      </c>
      <c r="FG52">
        <f t="shared" si="221"/>
        <v>47.728719475612721</v>
      </c>
      <c r="FJ52">
        <v>16.456391513703945</v>
      </c>
    </row>
    <row r="53" spans="1:166" x14ac:dyDescent="0.3">
      <c r="A53">
        <v>5</v>
      </c>
      <c r="B53">
        <v>0.32</v>
      </c>
      <c r="D53">
        <v>2002</v>
      </c>
      <c r="E53">
        <f t="shared" si="78"/>
        <v>27.197828134388917</v>
      </c>
      <c r="F53">
        <f t="shared" si="125"/>
        <v>0.22536561372916813</v>
      </c>
      <c r="G53">
        <f t="shared" si="126"/>
        <v>0.55206454160246943</v>
      </c>
      <c r="H53">
        <f t="shared" si="127"/>
        <v>3.7211621266373562E-2</v>
      </c>
      <c r="I53" s="2">
        <v>5.1348281343889157</v>
      </c>
      <c r="J53">
        <f t="shared" si="128"/>
        <v>5.1348281343889157</v>
      </c>
      <c r="K53" s="2">
        <v>0.82099999999999995</v>
      </c>
      <c r="L53">
        <f t="shared" si="129"/>
        <v>21.242000000000001</v>
      </c>
      <c r="M53" s="25">
        <f t="shared" si="130"/>
        <v>0.54259925314659541</v>
      </c>
      <c r="N53" s="25">
        <f t="shared" si="131"/>
        <v>3.9249978583593395</v>
      </c>
      <c r="O53" s="25">
        <f t="shared" si="132"/>
        <v>1.7560753002652043</v>
      </c>
      <c r="P53" s="25">
        <f t="shared" si="133"/>
        <v>0.77408860842924609</v>
      </c>
      <c r="Q53" s="25">
        <f t="shared" si="134"/>
        <v>0.32732889727865266</v>
      </c>
      <c r="R53" s="25">
        <f t="shared" si="135"/>
        <v>0.39367934942973087</v>
      </c>
      <c r="S53" s="25">
        <f t="shared" si="136"/>
        <v>0.37008807755379197</v>
      </c>
      <c r="T53" s="25">
        <f t="shared" si="137"/>
        <v>3.9810271290646945E-2</v>
      </c>
      <c r="U53" s="25">
        <f t="shared" si="138"/>
        <v>4.4233634767385493E-3</v>
      </c>
      <c r="V53">
        <f t="shared" si="8"/>
        <v>8.1330909792299444</v>
      </c>
      <c r="W53">
        <f t="shared" si="139"/>
        <v>14.038846937076711</v>
      </c>
      <c r="X53">
        <f t="shared" si="140"/>
        <v>101.55274605026688</v>
      </c>
      <c r="Y53">
        <f t="shared" si="141"/>
        <v>45.435507342549904</v>
      </c>
      <c r="Z53">
        <f t="shared" si="142"/>
        <v>20.028246309688246</v>
      </c>
      <c r="AA53">
        <f t="shared" si="143"/>
        <v>8.4690870109538867</v>
      </c>
      <c r="AB53">
        <f t="shared" si="144"/>
        <v>10.185793837498593</v>
      </c>
      <c r="AC53">
        <f t="shared" si="145"/>
        <v>9.5754091880604744</v>
      </c>
      <c r="AD53">
        <f t="shared" si="146"/>
        <v>1.0300240959268241</v>
      </c>
      <c r="AE53">
        <f t="shared" si="147"/>
        <v>0.11444712176964711</v>
      </c>
      <c r="AF53">
        <f t="shared" si="17"/>
        <v>210.43010789379119</v>
      </c>
      <c r="AG53" s="2">
        <v>6.1800000000000001E-2</v>
      </c>
      <c r="AH53" s="2">
        <v>8.3900000000000002E-2</v>
      </c>
      <c r="AI53" s="2">
        <v>0.1032</v>
      </c>
      <c r="AJ53" s="2">
        <v>0.1249</v>
      </c>
      <c r="AK53" s="2">
        <v>0.14399999999999999</v>
      </c>
      <c r="AL53" s="2">
        <v>0.15659999999999999</v>
      </c>
      <c r="AM53" s="2">
        <v>0.1704</v>
      </c>
      <c r="AN53" s="2">
        <v>0.18679999999999999</v>
      </c>
      <c r="AO53" s="2">
        <v>0.218</v>
      </c>
      <c r="AP53">
        <f t="shared" si="119"/>
        <v>0.10094563089195069</v>
      </c>
      <c r="AQ53" s="2">
        <v>368</v>
      </c>
      <c r="AR53" s="2">
        <v>2662</v>
      </c>
      <c r="AS53" s="2">
        <v>1191</v>
      </c>
      <c r="AT53" s="2">
        <v>525</v>
      </c>
      <c r="AU53" s="2">
        <v>222</v>
      </c>
      <c r="AV53" s="2">
        <v>267</v>
      </c>
      <c r="AW53" s="2">
        <v>251</v>
      </c>
      <c r="AX53" s="2">
        <v>27</v>
      </c>
      <c r="AY53" s="2">
        <v>3</v>
      </c>
      <c r="AZ53">
        <f t="shared" si="83"/>
        <v>5516</v>
      </c>
      <c r="BA53">
        <f t="shared" si="148"/>
        <v>2002</v>
      </c>
      <c r="BB53">
        <f t="shared" si="222"/>
        <v>0.15645386887923293</v>
      </c>
      <c r="BC53">
        <f t="shared" si="123"/>
        <v>0.36208174765310402</v>
      </c>
      <c r="BD53">
        <f t="shared" si="149"/>
        <v>3.3936101227229618</v>
      </c>
      <c r="BE53">
        <f t="shared" si="150"/>
        <v>24.548342789914468</v>
      </c>
      <c r="BF53">
        <f t="shared" si="151"/>
        <v>10.983124065660455</v>
      </c>
      <c r="BG53">
        <f t="shared" si="152"/>
        <v>4.8414274848629208</v>
      </c>
      <c r="BH53">
        <f t="shared" si="153"/>
        <v>2.0472321935991782</v>
      </c>
      <c r="BI53">
        <f t="shared" si="154"/>
        <v>2.4622116923017141</v>
      </c>
      <c r="BJ53">
        <f t="shared" si="155"/>
        <v>2.3146634260963683</v>
      </c>
      <c r="BK53">
        <f t="shared" si="156"/>
        <v>0.24898769922152164</v>
      </c>
      <c r="BL53">
        <f t="shared" si="157"/>
        <v>2.7665299913502406E-2</v>
      </c>
      <c r="BM53" s="24">
        <f t="shared" si="158"/>
        <v>223.79467341146227</v>
      </c>
      <c r="BN53" s="24">
        <f t="shared" si="159"/>
        <v>139.15504934748779</v>
      </c>
      <c r="BO53" s="24">
        <f t="shared" si="160"/>
        <v>62.724166382564817</v>
      </c>
      <c r="BP53" s="24">
        <f t="shared" si="161"/>
        <v>23.705383848231723</v>
      </c>
      <c r="BQ53" s="24">
        <f t="shared" si="162"/>
        <v>9.2914437746627829</v>
      </c>
      <c r="BR53" s="24">
        <f t="shared" si="163"/>
        <v>12.570038734079281</v>
      </c>
      <c r="BS53" s="24">
        <f t="shared" si="164"/>
        <v>6.8837123368078474</v>
      </c>
      <c r="BT53" s="24">
        <f t="shared" si="165"/>
        <v>0.67181722855418791</v>
      </c>
      <c r="BU53" s="23">
        <f t="shared" si="166"/>
        <v>3.2188663390240957E-2</v>
      </c>
      <c r="BV53">
        <f t="shared" si="167"/>
        <v>16.828606675438223</v>
      </c>
      <c r="BW53">
        <v>1.0090268772278086</v>
      </c>
      <c r="BX53" s="2">
        <v>21.242000000000001</v>
      </c>
      <c r="CJ53">
        <v>2002</v>
      </c>
      <c r="CK53">
        <f t="shared" si="168"/>
        <v>2486</v>
      </c>
      <c r="CL53">
        <f t="shared" si="169"/>
        <v>115.87875096829087</v>
      </c>
      <c r="CM53" s="9">
        <f t="shared" si="170"/>
        <v>0.47908286403861627</v>
      </c>
      <c r="CN53" s="9">
        <f t="shared" si="171"/>
        <v>0.21118262268704746</v>
      </c>
      <c r="CO53" s="9">
        <f t="shared" si="172"/>
        <v>8.9300080450522928E-2</v>
      </c>
      <c r="CP53" s="9">
        <f t="shared" si="173"/>
        <v>0.10740144810941271</v>
      </c>
      <c r="CQ53" s="27">
        <f t="shared" si="38"/>
        <v>0.10096540627514079</v>
      </c>
      <c r="CR53" s="27">
        <f t="shared" si="39"/>
        <v>1.0860820595333869E-2</v>
      </c>
      <c r="CS53" s="27">
        <f t="shared" si="40"/>
        <v>1.2067578439259854E-3</v>
      </c>
      <c r="CT53" s="29">
        <f t="shared" si="174"/>
        <v>0.54129135720257027</v>
      </c>
      <c r="CU53" s="9">
        <f t="shared" si="175"/>
        <v>0.20457058477199566</v>
      </c>
      <c r="CV53" s="9">
        <f t="shared" si="176"/>
        <v>8.01824639722368E-2</v>
      </c>
      <c r="CW53" s="9">
        <f t="shared" si="177"/>
        <v>0.10847578722624439</v>
      </c>
      <c r="CX53" s="9">
        <f t="shared" si="178"/>
        <v>5.9404440238499896E-2</v>
      </c>
      <c r="CY53" s="9">
        <f t="shared" si="179"/>
        <v>5.7975877625572984E-3</v>
      </c>
      <c r="CZ53" s="9">
        <f t="shared" si="180"/>
        <v>2.7777882589577685E-4</v>
      </c>
      <c r="DA53">
        <f t="shared" si="181"/>
        <v>-1.4439516737873153</v>
      </c>
      <c r="DB53">
        <f t="shared" si="182"/>
        <v>-1.4347018621260623</v>
      </c>
      <c r="DC53">
        <f t="shared" si="124"/>
        <v>100</v>
      </c>
      <c r="DD53">
        <f t="shared" si="183"/>
        <v>14.132120927270796</v>
      </c>
      <c r="DE53">
        <f t="shared" si="184"/>
        <v>71.910959693444966</v>
      </c>
      <c r="DF53">
        <f t="shared" si="185"/>
        <v>42.230118631801226</v>
      </c>
      <c r="DG53">
        <f t="shared" si="186"/>
        <v>18.089867754939554</v>
      </c>
      <c r="DH53">
        <f t="shared" si="187"/>
        <v>6.9168826837849515</v>
      </c>
      <c r="DI53">
        <f t="shared" si="188"/>
        <v>9.7141476923478365</v>
      </c>
      <c r="DJ53">
        <f t="shared" si="189"/>
        <v>4.1989608331576873</v>
      </c>
      <c r="DK53">
        <f t="shared" si="190"/>
        <v>0.38301925804201931</v>
      </c>
      <c r="DL53">
        <f t="shared" si="191"/>
        <v>1.0000000000000113E-4</v>
      </c>
      <c r="DM53">
        <f t="shared" si="192"/>
        <v>2002</v>
      </c>
      <c r="DN53" s="9">
        <f t="shared" si="193"/>
        <v>2.461872211731375E-3</v>
      </c>
      <c r="DO53" s="9">
        <f t="shared" si="194"/>
        <v>3.424754079629358E-2</v>
      </c>
      <c r="DP53" s="9">
        <f t="shared" si="195"/>
        <v>3.393969703025243E-2</v>
      </c>
      <c r="DQ53" s="9">
        <f t="shared" si="196"/>
        <v>4.1035326498762445E-2</v>
      </c>
      <c r="DR53" s="9">
        <f t="shared" si="197"/>
        <v>4.518488915126273E-2</v>
      </c>
      <c r="DS53" s="9">
        <f t="shared" si="198"/>
        <v>3.8947970498760955E-2</v>
      </c>
      <c r="DT53" s="9">
        <f t="shared" si="199"/>
        <v>8.0998931021765516E-2</v>
      </c>
      <c r="DU53" s="9">
        <f t="shared" si="200"/>
        <v>9.4152060177721722E-2</v>
      </c>
      <c r="DV53" s="9">
        <f t="shared" si="201"/>
        <v>0.97789255705090861</v>
      </c>
      <c r="DW53">
        <f t="shared" si="202"/>
        <v>3.9433655203644433E-2</v>
      </c>
      <c r="DX53">
        <f t="shared" si="96"/>
        <v>2002</v>
      </c>
      <c r="DY53" s="9">
        <f t="shared" si="223"/>
        <v>6.2430738388762154E-2</v>
      </c>
      <c r="DZ53" s="9">
        <f t="shared" si="224"/>
        <v>0.8684850699087221</v>
      </c>
      <c r="EA53" s="9">
        <f t="shared" si="99"/>
        <v>0.86067844471885901</v>
      </c>
      <c r="EB53" s="9">
        <f t="shared" si="100"/>
        <v>1.0406168610758149</v>
      </c>
      <c r="EC53" s="9">
        <f t="shared" si="101"/>
        <v>1.1458458242817615</v>
      </c>
      <c r="ED53" s="9">
        <f t="shared" si="102"/>
        <v>0.98768349770328689</v>
      </c>
      <c r="EE53" s="9">
        <f t="shared" si="103"/>
        <v>2.054055871906078</v>
      </c>
      <c r="EF53" s="9">
        <f t="shared" si="104"/>
        <v>2.3876067204903757</v>
      </c>
      <c r="EG53" s="9">
        <f t="shared" si="105"/>
        <v>24.798425405934278</v>
      </c>
      <c r="EI53">
        <f t="shared" si="203"/>
        <v>2486</v>
      </c>
      <c r="EJ53" s="8">
        <f t="shared" si="204"/>
        <v>7248.7756288892579</v>
      </c>
      <c r="EK53" s="8">
        <f t="shared" si="205"/>
        <v>2767.3348842552427</v>
      </c>
      <c r="EL53" s="8">
        <f t="shared" si="206"/>
        <v>981.0150313749084</v>
      </c>
      <c r="EM53" s="8">
        <f t="shared" si="207"/>
        <v>1228.5082667649881</v>
      </c>
      <c r="EN53" s="8">
        <f t="shared" si="208"/>
        <v>1139.5706847299848</v>
      </c>
      <c r="EO53" s="8">
        <f t="shared" si="209"/>
        <v>64.557538627006323</v>
      </c>
      <c r="EP53" s="8">
        <f t="shared" si="210"/>
        <v>1.791759469228055</v>
      </c>
      <c r="EQ53">
        <f t="shared" si="108"/>
        <v>13431.553794110616</v>
      </c>
      <c r="ES53" s="8">
        <f t="shared" si="211"/>
        <v>7480.6056055231147</v>
      </c>
      <c r="ET53" s="8">
        <f t="shared" si="212"/>
        <v>2854.9158286469924</v>
      </c>
      <c r="EU53" s="8">
        <f t="shared" si="213"/>
        <v>1012.9431310315463</v>
      </c>
      <c r="EV53" s="8">
        <f t="shared" si="214"/>
        <v>1272.16408472541</v>
      </c>
      <c r="EW53" s="8">
        <f t="shared" si="215"/>
        <v>1164.286247395908</v>
      </c>
      <c r="EX53" s="8">
        <f t="shared" si="216"/>
        <v>62.990694836964011</v>
      </c>
      <c r="EY53" s="8">
        <f t="shared" si="217"/>
        <v>-2.7588594230787646</v>
      </c>
      <c r="EZ53">
        <f t="shared" si="110"/>
        <v>13845.146732736857</v>
      </c>
      <c r="FB53">
        <f t="shared" si="111"/>
        <v>16955.44584355794</v>
      </c>
      <c r="FC53">
        <f t="shared" si="218"/>
        <v>401.16425676985835</v>
      </c>
      <c r="FD53">
        <f t="shared" si="219"/>
        <v>17802.561571832844</v>
      </c>
      <c r="FE53">
        <f t="shared" si="220"/>
        <v>-32.358532878804908</v>
      </c>
      <c r="FG53">
        <f t="shared" si="221"/>
        <v>105.42524091447626</v>
      </c>
      <c r="FJ53">
        <v>19.462148095707651</v>
      </c>
    </row>
    <row r="54" spans="1:166" x14ac:dyDescent="0.3">
      <c r="A54">
        <v>6</v>
      </c>
      <c r="B54">
        <v>0.43</v>
      </c>
      <c r="D54">
        <v>2003</v>
      </c>
      <c r="E54">
        <f t="shared" si="78"/>
        <v>40.175891835724883</v>
      </c>
      <c r="F54">
        <f t="shared" si="125"/>
        <v>0.1949795008222</v>
      </c>
      <c r="G54">
        <f t="shared" si="126"/>
        <v>0.55137554369742536</v>
      </c>
      <c r="H54">
        <f t="shared" si="127"/>
        <v>0.10070747286111191</v>
      </c>
      <c r="I54" s="2">
        <v>5.2628918357248882</v>
      </c>
      <c r="J54">
        <f t="shared" si="128"/>
        <v>5.2628918357248882</v>
      </c>
      <c r="K54" s="2">
        <v>3.516</v>
      </c>
      <c r="L54">
        <f t="shared" si="129"/>
        <v>31.396999999999998</v>
      </c>
      <c r="M54" s="25">
        <f t="shared" si="130"/>
        <v>0.52393669657055997</v>
      </c>
      <c r="N54" s="25">
        <f t="shared" si="131"/>
        <v>12.039628673277658</v>
      </c>
      <c r="O54" s="25">
        <f t="shared" si="132"/>
        <v>11.684879868308009</v>
      </c>
      <c r="P54" s="25">
        <f t="shared" si="133"/>
        <v>4.9555679217298785</v>
      </c>
      <c r="Q54" s="25">
        <f t="shared" si="134"/>
        <v>1.5117756765629697</v>
      </c>
      <c r="R54" s="25">
        <f t="shared" si="135"/>
        <v>0.75861667524278975</v>
      </c>
      <c r="S54" s="25">
        <f t="shared" si="136"/>
        <v>0.79136271877844977</v>
      </c>
      <c r="T54" s="25">
        <f t="shared" si="137"/>
        <v>0.49119065303489989</v>
      </c>
      <c r="U54" s="25">
        <f t="shared" si="138"/>
        <v>4.3661391380879988E-2</v>
      </c>
      <c r="V54">
        <f t="shared" si="8"/>
        <v>32.8006202748861</v>
      </c>
      <c r="W54">
        <f t="shared" si="139"/>
        <v>4.6786235671859693</v>
      </c>
      <c r="X54">
        <f t="shared" si="140"/>
        <v>107.51087072096091</v>
      </c>
      <c r="Y54">
        <f t="shared" si="141"/>
        <v>104.34305268067875</v>
      </c>
      <c r="Z54">
        <f t="shared" si="142"/>
        <v>44.251981239633963</v>
      </c>
      <c r="AA54">
        <f t="shared" si="143"/>
        <v>13.499778417817849</v>
      </c>
      <c r="AB54">
        <f t="shared" si="144"/>
        <v>6.7742570399880186</v>
      </c>
      <c r="AC54">
        <f t="shared" si="145"/>
        <v>7.0666710129371406</v>
      </c>
      <c r="AD54">
        <f t="shared" si="146"/>
        <v>4.3862095942368464</v>
      </c>
      <c r="AE54">
        <f t="shared" si="147"/>
        <v>0.38988529726549742</v>
      </c>
      <c r="AF54">
        <f t="shared" si="17"/>
        <v>292.90132957070489</v>
      </c>
      <c r="AG54" s="2">
        <v>6.0900000000000003E-2</v>
      </c>
      <c r="AH54" s="2">
        <v>9.3399999999999997E-2</v>
      </c>
      <c r="AI54" s="2">
        <v>0.1031</v>
      </c>
      <c r="AJ54" s="2">
        <v>0.1207</v>
      </c>
      <c r="AK54" s="2">
        <v>0.13869999999999999</v>
      </c>
      <c r="AL54" s="2">
        <v>0.15440000000000001</v>
      </c>
      <c r="AM54" s="2">
        <v>0.17630000000000001</v>
      </c>
      <c r="AN54" s="2">
        <v>0.16700000000000001</v>
      </c>
      <c r="AO54" s="2">
        <v>0.192</v>
      </c>
      <c r="AP54">
        <f t="shared" si="119"/>
        <v>0.1071930948419301</v>
      </c>
      <c r="AQ54" s="2">
        <v>96</v>
      </c>
      <c r="AR54" s="2">
        <v>2206</v>
      </c>
      <c r="AS54" s="2">
        <v>2141</v>
      </c>
      <c r="AT54" s="2">
        <v>908</v>
      </c>
      <c r="AU54" s="2">
        <v>277</v>
      </c>
      <c r="AV54" s="2">
        <v>139</v>
      </c>
      <c r="AW54" s="2">
        <v>145</v>
      </c>
      <c r="AX54" s="2">
        <v>90</v>
      </c>
      <c r="AY54" s="2">
        <v>8</v>
      </c>
      <c r="AZ54">
        <f t="shared" si="83"/>
        <v>6010</v>
      </c>
      <c r="BA54">
        <f t="shared" si="148"/>
        <v>2003</v>
      </c>
      <c r="BB54">
        <f t="shared" si="222"/>
        <v>0.10924720185380717</v>
      </c>
      <c r="BC54">
        <f t="shared" si="123"/>
        <v>0.44444048918149021</v>
      </c>
      <c r="BD54">
        <f t="shared" si="149"/>
        <v>0.78424976189359141</v>
      </c>
      <c r="BE54">
        <f t="shared" si="150"/>
        <v>18.021405986846489</v>
      </c>
      <c r="BF54">
        <f t="shared" si="151"/>
        <v>17.490403543897699</v>
      </c>
      <c r="BG54">
        <f t="shared" si="152"/>
        <v>7.4176956645768861</v>
      </c>
      <c r="BH54">
        <f t="shared" si="153"/>
        <v>2.2628873337971336</v>
      </c>
      <c r="BI54">
        <f t="shared" si="154"/>
        <v>1.1355283010750958</v>
      </c>
      <c r="BJ54">
        <f t="shared" si="155"/>
        <v>1.1845439111934455</v>
      </c>
      <c r="BK54">
        <f t="shared" si="156"/>
        <v>0.73523415177524198</v>
      </c>
      <c r="BL54">
        <f t="shared" si="157"/>
        <v>6.5354146824465956E-2</v>
      </c>
      <c r="BM54" s="24">
        <f t="shared" si="158"/>
        <v>112.83022456420132</v>
      </c>
      <c r="BN54" s="24">
        <f t="shared" si="159"/>
        <v>163.41338885015207</v>
      </c>
      <c r="BO54" s="24">
        <f t="shared" si="160"/>
        <v>82.265948080997106</v>
      </c>
      <c r="BP54" s="24">
        <f t="shared" si="161"/>
        <v>37.152084462389851</v>
      </c>
      <c r="BQ54" s="24">
        <f t="shared" si="162"/>
        <v>12.175456884402193</v>
      </c>
      <c r="BR54" s="24">
        <f t="shared" si="163"/>
        <v>4.0780533313946057</v>
      </c>
      <c r="BS54" s="24">
        <f t="shared" si="164"/>
        <v>4.799709173393949</v>
      </c>
      <c r="BT54" s="24">
        <f t="shared" si="165"/>
        <v>1.638892055141947</v>
      </c>
      <c r="BU54" s="23">
        <f t="shared" si="166"/>
        <v>0.10911553820534595</v>
      </c>
      <c r="BV54">
        <f t="shared" si="167"/>
        <v>18.213134574908249</v>
      </c>
      <c r="BW54">
        <v>1.1375359281539659</v>
      </c>
      <c r="BX54" s="2">
        <v>31.396999999999998</v>
      </c>
      <c r="CJ54">
        <v>2003</v>
      </c>
      <c r="CK54">
        <f t="shared" si="168"/>
        <v>3708</v>
      </c>
      <c r="CL54">
        <f t="shared" si="169"/>
        <v>142.219259525925</v>
      </c>
      <c r="CM54" s="9">
        <f t="shared" si="170"/>
        <v>0.57740021574973033</v>
      </c>
      <c r="CN54" s="9">
        <f t="shared" si="171"/>
        <v>0.24487594390507011</v>
      </c>
      <c r="CO54" s="9">
        <f t="shared" si="172"/>
        <v>7.4703344120819845E-2</v>
      </c>
      <c r="CP54" s="9">
        <f t="shared" si="173"/>
        <v>3.7486515641855449E-2</v>
      </c>
      <c r="CQ54" s="27">
        <f t="shared" si="38"/>
        <v>3.9104638619201729E-2</v>
      </c>
      <c r="CR54" s="27">
        <f t="shared" si="39"/>
        <v>2.4271844660194174E-2</v>
      </c>
      <c r="CS54" s="27">
        <f t="shared" si="40"/>
        <v>2.1574973031283709E-3</v>
      </c>
      <c r="CT54" s="29">
        <f t="shared" si="174"/>
        <v>0.57844449728695801</v>
      </c>
      <c r="CU54" s="9">
        <f t="shared" si="175"/>
        <v>0.26123103569961592</v>
      </c>
      <c r="CV54" s="9">
        <f t="shared" si="176"/>
        <v>8.5610464609279888E-2</v>
      </c>
      <c r="CW54" s="9">
        <f t="shared" si="177"/>
        <v>2.8674409816141826E-2</v>
      </c>
      <c r="CX54" s="9">
        <f t="shared" si="178"/>
        <v>3.3748658159192674E-2</v>
      </c>
      <c r="CY54" s="9">
        <f t="shared" si="179"/>
        <v>1.1523699818189499E-2</v>
      </c>
      <c r="CZ54" s="9">
        <f t="shared" si="180"/>
        <v>7.6723461062216676E-4</v>
      </c>
      <c r="DA54">
        <f t="shared" si="181"/>
        <v>-1.2178621216935046</v>
      </c>
      <c r="DB54">
        <f t="shared" si="182"/>
        <v>-1.2088249327060137</v>
      </c>
      <c r="DC54">
        <f t="shared" si="124"/>
        <v>100</v>
      </c>
      <c r="DD54">
        <f t="shared" si="183"/>
        <v>7.1684432777208666</v>
      </c>
      <c r="DE54">
        <f t="shared" si="184"/>
        <v>86.640293865044001</v>
      </c>
      <c r="DF54">
        <f t="shared" si="185"/>
        <v>44.853987128928303</v>
      </c>
      <c r="DG54">
        <f t="shared" si="186"/>
        <v>24.778820876083088</v>
      </c>
      <c r="DH54">
        <f t="shared" si="187"/>
        <v>8.4007938740420904</v>
      </c>
      <c r="DI54">
        <f t="shared" si="188"/>
        <v>2.1839083550767202</v>
      </c>
      <c r="DJ54">
        <f t="shared" si="189"/>
        <v>2.8238025434220537</v>
      </c>
      <c r="DK54">
        <f t="shared" si="190"/>
        <v>0.41246725033180515</v>
      </c>
      <c r="DL54">
        <f t="shared" si="191"/>
        <v>1.0000000000000286E-4</v>
      </c>
      <c r="DM54">
        <f t="shared" si="192"/>
        <v>2003</v>
      </c>
      <c r="DN54" s="9">
        <f t="shared" si="193"/>
        <v>4.6760867357795426E-3</v>
      </c>
      <c r="DO54" s="9">
        <f t="shared" si="194"/>
        <v>8.2808064352468846E-2</v>
      </c>
      <c r="DP54" s="9">
        <f t="shared" si="195"/>
        <v>0.18039029932995215</v>
      </c>
      <c r="DQ54" s="9">
        <f t="shared" si="196"/>
        <v>0.16666116648391885</v>
      </c>
      <c r="DR54" s="9">
        <f t="shared" si="197"/>
        <v>0.15251097799063529</v>
      </c>
      <c r="DS54" s="9">
        <f t="shared" si="198"/>
        <v>0.25781146037028491</v>
      </c>
      <c r="DT54" s="9">
        <f t="shared" si="199"/>
        <v>0.21890084169949059</v>
      </c>
      <c r="DU54" s="9">
        <f t="shared" si="200"/>
        <v>0.54355818856328242</v>
      </c>
      <c r="DV54" s="9">
        <f t="shared" si="201"/>
        <v>0.99771488070089809</v>
      </c>
      <c r="DW54">
        <f t="shared" si="202"/>
        <v>0.18080484750765571</v>
      </c>
      <c r="DX54">
        <f t="shared" si="96"/>
        <v>2003</v>
      </c>
      <c r="DY54" s="9">
        <f t="shared" si="223"/>
        <v>2.5862618177765095E-2</v>
      </c>
      <c r="DZ54" s="9">
        <f t="shared" si="224"/>
        <v>0.45799692593398278</v>
      </c>
      <c r="EA54" s="9">
        <f t="shared" si="99"/>
        <v>0.99770720650791178</v>
      </c>
      <c r="EB54" s="9">
        <f t="shared" si="100"/>
        <v>0.92177377311115516</v>
      </c>
      <c r="EC54" s="9">
        <f t="shared" si="101"/>
        <v>0.8435115545460008</v>
      </c>
      <c r="ED54" s="9">
        <f t="shared" si="102"/>
        <v>1.4259101120580771</v>
      </c>
      <c r="EE54" s="9">
        <f t="shared" si="103"/>
        <v>1.2107022832461491</v>
      </c>
      <c r="EF54" s="9">
        <f t="shared" si="104"/>
        <v>3.0063253062961537</v>
      </c>
      <c r="EG54" s="9">
        <f t="shared" si="105"/>
        <v>5.5181865666441956</v>
      </c>
      <c r="EI54">
        <f t="shared" si="203"/>
        <v>3708</v>
      </c>
      <c r="EJ54" s="8">
        <f t="shared" si="204"/>
        <v>14283.143057470634</v>
      </c>
      <c r="EK54" s="8">
        <f t="shared" si="205"/>
        <v>5280.9345482692752</v>
      </c>
      <c r="EL54" s="8">
        <f t="shared" si="206"/>
        <v>1284.584097342419</v>
      </c>
      <c r="EM54" s="8">
        <f t="shared" si="207"/>
        <v>550.27865172428551</v>
      </c>
      <c r="EN54" s="8">
        <f t="shared" si="208"/>
        <v>580.0342727671308</v>
      </c>
      <c r="EO54" s="8">
        <f t="shared" si="209"/>
        <v>318.1526396202093</v>
      </c>
      <c r="EP54" s="8">
        <f t="shared" si="210"/>
        <v>10.604602902745253</v>
      </c>
      <c r="EQ54">
        <f t="shared" si="108"/>
        <v>22307.731870096701</v>
      </c>
      <c r="ES54" s="8">
        <f t="shared" si="211"/>
        <v>14666.930245093998</v>
      </c>
      <c r="ET54" s="8">
        <f t="shared" si="212"/>
        <v>5448.6269565034308</v>
      </c>
      <c r="EU54" s="8">
        <f t="shared" si="213"/>
        <v>1335.2366306013146</v>
      </c>
      <c r="EV54" s="8">
        <f t="shared" si="214"/>
        <v>565.73459292564132</v>
      </c>
      <c r="EW54" s="8">
        <f t="shared" si="215"/>
        <v>598.51988074001667</v>
      </c>
      <c r="EX54" s="8">
        <f t="shared" si="216"/>
        <v>322.14408311844807</v>
      </c>
      <c r="EY54" s="8">
        <f t="shared" si="217"/>
        <v>6.7565781754681202</v>
      </c>
      <c r="EZ54">
        <f t="shared" si="110"/>
        <v>22943.948967158314</v>
      </c>
      <c r="FB54">
        <f t="shared" si="111"/>
        <v>26770.291397121218</v>
      </c>
      <c r="FC54">
        <f t="shared" si="218"/>
        <v>663.89025688893651</v>
      </c>
      <c r="FD54">
        <f t="shared" si="219"/>
        <v>28102.294786987994</v>
      </c>
      <c r="FE54">
        <f t="shared" si="220"/>
        <v>-31.896035916226538</v>
      </c>
      <c r="FG54">
        <f t="shared" si="221"/>
        <v>156.77640566195714</v>
      </c>
      <c r="FJ54">
        <v>22.609129483282164</v>
      </c>
    </row>
    <row r="55" spans="1:166" x14ac:dyDescent="0.3">
      <c r="A55">
        <v>7</v>
      </c>
      <c r="B55">
        <v>0.43</v>
      </c>
      <c r="D55">
        <v>2004</v>
      </c>
      <c r="E55">
        <f t="shared" si="78"/>
        <v>26.733657595249873</v>
      </c>
      <c r="F55">
        <f t="shared" si="125"/>
        <v>0.26596031065485654</v>
      </c>
      <c r="G55">
        <f t="shared" si="126"/>
        <v>0.64955999957275989</v>
      </c>
      <c r="H55">
        <f t="shared" si="127"/>
        <v>0.2132528966772001</v>
      </c>
      <c r="I55" s="2">
        <v>5.8476575952498759</v>
      </c>
      <c r="J55">
        <f t="shared" si="128"/>
        <v>5.8476575952498759</v>
      </c>
      <c r="K55" s="2">
        <v>4.4540000000000006</v>
      </c>
      <c r="L55">
        <f t="shared" si="129"/>
        <v>16.431999999999999</v>
      </c>
      <c r="M55" s="25">
        <f t="shared" si="130"/>
        <v>2.8187678741060829</v>
      </c>
      <c r="N55" s="25">
        <f t="shared" si="131"/>
        <v>9.5232541219798854</v>
      </c>
      <c r="O55" s="25">
        <f t="shared" si="132"/>
        <v>18.952789618989492</v>
      </c>
      <c r="P55" s="25">
        <f t="shared" si="133"/>
        <v>8.3481667473525416</v>
      </c>
      <c r="Q55" s="25">
        <f t="shared" si="134"/>
        <v>3.2008514989849122</v>
      </c>
      <c r="R55" s="25">
        <f t="shared" si="135"/>
        <v>1.1246234996433475</v>
      </c>
      <c r="S55" s="25">
        <f t="shared" si="136"/>
        <v>0.32441062489711953</v>
      </c>
      <c r="T55" s="25">
        <f t="shared" si="137"/>
        <v>0.18022812494284415</v>
      </c>
      <c r="U55" s="25">
        <f t="shared" si="138"/>
        <v>4.3254749986282599E-2</v>
      </c>
      <c r="V55">
        <f t="shared" si="8"/>
        <v>44.516346860882507</v>
      </c>
      <c r="W55">
        <f t="shared" si="139"/>
        <v>10.399190324946373</v>
      </c>
      <c r="X55">
        <f t="shared" si="140"/>
        <v>35.133837389396824</v>
      </c>
      <c r="Y55">
        <f t="shared" si="141"/>
        <v>69.921921647785197</v>
      </c>
      <c r="Z55">
        <f t="shared" si="142"/>
        <v>30.798625054444752</v>
      </c>
      <c r="AA55">
        <f t="shared" si="143"/>
        <v>11.808799243673118</v>
      </c>
      <c r="AB55">
        <f t="shared" si="144"/>
        <v>4.1490375721013653</v>
      </c>
      <c r="AC55">
        <f t="shared" si="145"/>
        <v>1.1968377611830865</v>
      </c>
      <c r="AD55">
        <f t="shared" si="146"/>
        <v>0.66490986732393687</v>
      </c>
      <c r="AE55">
        <f t="shared" si="147"/>
        <v>0.15957836815774484</v>
      </c>
      <c r="AF55">
        <f t="shared" si="17"/>
        <v>164.2327372290124</v>
      </c>
      <c r="AG55" s="2">
        <v>6.3500000000000001E-2</v>
      </c>
      <c r="AH55" s="2">
        <v>8.1500000000000003E-2</v>
      </c>
      <c r="AI55" s="2">
        <v>0.1027</v>
      </c>
      <c r="AJ55" s="2">
        <v>0.11</v>
      </c>
      <c r="AK55" s="2">
        <v>0.1242</v>
      </c>
      <c r="AL55" s="2">
        <v>0.13400000000000001</v>
      </c>
      <c r="AM55" s="2">
        <v>0.15570000000000001</v>
      </c>
      <c r="AN55" s="2">
        <v>0.16569999999999999</v>
      </c>
      <c r="AO55" s="2">
        <v>0.127</v>
      </c>
      <c r="AP55">
        <f t="shared" si="119"/>
        <v>0.10005313360323886</v>
      </c>
      <c r="AQ55" s="2">
        <v>391</v>
      </c>
      <c r="AR55" s="2">
        <v>1321</v>
      </c>
      <c r="AS55" s="2">
        <v>2629</v>
      </c>
      <c r="AT55" s="2">
        <v>1158</v>
      </c>
      <c r="AU55" s="2">
        <v>444</v>
      </c>
      <c r="AV55" s="2">
        <v>156</v>
      </c>
      <c r="AW55" s="2">
        <v>45</v>
      </c>
      <c r="AX55" s="2">
        <v>25</v>
      </c>
      <c r="AY55" s="2">
        <v>6</v>
      </c>
      <c r="AZ55">
        <f t="shared" si="83"/>
        <v>6175</v>
      </c>
      <c r="BA55">
        <f t="shared" si="148"/>
        <v>2004</v>
      </c>
      <c r="BB55">
        <f t="shared" si="222"/>
        <v>1.0676203968114306</v>
      </c>
      <c r="BC55">
        <f t="shared" si="123"/>
        <v>0.66179807497559529</v>
      </c>
      <c r="BD55">
        <f t="shared" si="149"/>
        <v>3.7007609717698204</v>
      </c>
      <c r="BE55">
        <f t="shared" si="150"/>
        <v>12.50308246472617</v>
      </c>
      <c r="BF55">
        <f t="shared" si="151"/>
        <v>24.883121725787358</v>
      </c>
      <c r="BG55">
        <f t="shared" si="152"/>
        <v>10.960309988003713</v>
      </c>
      <c r="BH55">
        <f t="shared" si="153"/>
        <v>4.2023986482501279</v>
      </c>
      <c r="BI55">
        <f t="shared" si="154"/>
        <v>1.4765184439797749</v>
      </c>
      <c r="BJ55">
        <f t="shared" si="155"/>
        <v>0.42591878191724275</v>
      </c>
      <c r="BK55">
        <f t="shared" si="156"/>
        <v>0.23662154550957931</v>
      </c>
      <c r="BL55">
        <f t="shared" si="157"/>
        <v>5.6789170922299036E-2</v>
      </c>
      <c r="BM55" s="24">
        <f t="shared" si="158"/>
        <v>163.37322850540883</v>
      </c>
      <c r="BN55" s="24">
        <f t="shared" si="159"/>
        <v>79.816744975702449</v>
      </c>
      <c r="BO55" s="24">
        <f t="shared" si="160"/>
        <v>95.440798872495094</v>
      </c>
      <c r="BP55" s="24">
        <f t="shared" si="161"/>
        <v>37.997152244316723</v>
      </c>
      <c r="BQ55" s="24">
        <f t="shared" si="162"/>
        <v>15.857400739828536</v>
      </c>
      <c r="BR55" s="24">
        <f t="shared" si="163"/>
        <v>4.6306415012288786</v>
      </c>
      <c r="BS55" s="24">
        <f t="shared" si="164"/>
        <v>0.98635588463011037</v>
      </c>
      <c r="BT55" s="24">
        <f t="shared" si="165"/>
        <v>0.97768999142946234</v>
      </c>
      <c r="BU55" s="23">
        <f t="shared" si="166"/>
        <v>0.10014392090858164</v>
      </c>
      <c r="BV55">
        <f t="shared" si="167"/>
        <v>11.685298205980668</v>
      </c>
      <c r="BW55">
        <v>1.1575321591362187</v>
      </c>
      <c r="BX55" s="2">
        <v>16.431999999999999</v>
      </c>
      <c r="CJ55">
        <v>2004</v>
      </c>
      <c r="CK55">
        <f t="shared" si="168"/>
        <v>4463</v>
      </c>
      <c r="CL55">
        <f t="shared" si="169"/>
        <v>155.99018315483735</v>
      </c>
      <c r="CM55" s="9">
        <f t="shared" si="170"/>
        <v>0.58906565090746132</v>
      </c>
      <c r="CN55" s="9">
        <f t="shared" si="171"/>
        <v>0.25946672641720814</v>
      </c>
      <c r="CO55" s="9">
        <f t="shared" si="172"/>
        <v>9.9484651579654942E-2</v>
      </c>
      <c r="CP55" s="9">
        <f t="shared" si="173"/>
        <v>3.4954066771230113E-2</v>
      </c>
      <c r="CQ55" s="27">
        <f t="shared" si="38"/>
        <v>1.008290387631638E-2</v>
      </c>
      <c r="CR55" s="27">
        <f t="shared" si="39"/>
        <v>5.6016132646202104E-3</v>
      </c>
      <c r="CS55" s="27">
        <f t="shared" si="40"/>
        <v>1.3443871835088505E-3</v>
      </c>
      <c r="CT55" s="29">
        <f t="shared" si="174"/>
        <v>0.61183849484784336</v>
      </c>
      <c r="CU55" s="9">
        <f t="shared" si="175"/>
        <v>0.24358681729734483</v>
      </c>
      <c r="CV55" s="9">
        <f t="shared" si="176"/>
        <v>0.10165640182682732</v>
      </c>
      <c r="CW55" s="9">
        <f t="shared" si="177"/>
        <v>2.9685467428629528E-2</v>
      </c>
      <c r="CX55" s="9">
        <f t="shared" si="178"/>
        <v>6.3231920412007208E-3</v>
      </c>
      <c r="CY55" s="9">
        <f t="shared" si="179"/>
        <v>6.2676379478252033E-3</v>
      </c>
      <c r="CZ55" s="9">
        <f t="shared" si="180"/>
        <v>6.4198861032926555E-4</v>
      </c>
      <c r="DA55">
        <f t="shared" si="181"/>
        <v>-1.0955569986825135</v>
      </c>
      <c r="DB55">
        <f t="shared" si="182"/>
        <v>-1.0878367065913737</v>
      </c>
      <c r="DC55">
        <f t="shared" si="124"/>
        <v>100</v>
      </c>
      <c r="DD55">
        <f t="shared" si="183"/>
        <v>10.082283896604853</v>
      </c>
      <c r="DE55">
        <f t="shared" si="184"/>
        <v>37.54697842280742</v>
      </c>
      <c r="DF55">
        <f t="shared" si="185"/>
        <v>43.598718821818061</v>
      </c>
      <c r="DG55">
        <f t="shared" si="186"/>
        <v>18.688675508960465</v>
      </c>
      <c r="DH55">
        <f t="shared" si="187"/>
        <v>8.4541505925934963</v>
      </c>
      <c r="DI55">
        <f t="shared" si="188"/>
        <v>2.0294995576057557</v>
      </c>
      <c r="DJ55">
        <f t="shared" si="189"/>
        <v>0.23602647781574809</v>
      </c>
      <c r="DK55">
        <f t="shared" si="190"/>
        <v>0.56084032097703895</v>
      </c>
      <c r="DL55">
        <f t="shared" si="191"/>
        <v>1.0000000000000286E-4</v>
      </c>
      <c r="DM55">
        <f t="shared" si="192"/>
        <v>2004</v>
      </c>
      <c r="DN55" s="9">
        <f t="shared" si="193"/>
        <v>1.7653437174522519E-2</v>
      </c>
      <c r="DO55" s="9">
        <f t="shared" si="194"/>
        <v>0.14147579802877322</v>
      </c>
      <c r="DP55" s="9">
        <f t="shared" si="195"/>
        <v>0.26861413790000088</v>
      </c>
      <c r="DQ55" s="9">
        <f t="shared" si="196"/>
        <v>0.30877003565027178</v>
      </c>
      <c r="DR55" s="9">
        <f t="shared" si="197"/>
        <v>0.27463328396120679</v>
      </c>
      <c r="DS55" s="9">
        <f t="shared" si="198"/>
        <v>0.35655663372379576</v>
      </c>
      <c r="DT55" s="9">
        <f t="shared" si="199"/>
        <v>0.57885286917437895</v>
      </c>
      <c r="DU55" s="9">
        <f t="shared" si="200"/>
        <v>0.24320037634192918</v>
      </c>
      <c r="DV55" s="9">
        <f t="shared" si="201"/>
        <v>0.99769344766071444</v>
      </c>
      <c r="DW55">
        <f t="shared" si="202"/>
        <v>0.28285492549631852</v>
      </c>
      <c r="DX55">
        <f t="shared" si="96"/>
        <v>2004</v>
      </c>
      <c r="DY55" s="9">
        <f t="shared" si="223"/>
        <v>6.2411630780501597E-2</v>
      </c>
      <c r="DZ55" s="9">
        <f t="shared" si="224"/>
        <v>0.50017088364478413</v>
      </c>
      <c r="EA55" s="9">
        <f t="shared" si="99"/>
        <v>0.94965338655026188</v>
      </c>
      <c r="EB55" s="9">
        <f t="shared" si="100"/>
        <v>1.0916197945235731</v>
      </c>
      <c r="EC55" s="9">
        <f t="shared" si="101"/>
        <v>0.97093336267457453</v>
      </c>
      <c r="ED55" s="9">
        <f t="shared" si="102"/>
        <v>1.2605636373421982</v>
      </c>
      <c r="EE55" s="9">
        <f t="shared" si="103"/>
        <v>2.0464655800448948</v>
      </c>
      <c r="EF55" s="9">
        <f t="shared" si="104"/>
        <v>0.85980605045215852</v>
      </c>
      <c r="EG55" s="9">
        <f t="shared" si="105"/>
        <v>3.5272267078612347</v>
      </c>
      <c r="EI55">
        <f t="shared" si="203"/>
        <v>4463</v>
      </c>
      <c r="EJ55" s="8">
        <f t="shared" si="204"/>
        <v>18077.545499858159</v>
      </c>
      <c r="EK55" s="8">
        <f t="shared" si="205"/>
        <v>7015.4989394433696</v>
      </c>
      <c r="EL55" s="8">
        <f t="shared" si="206"/>
        <v>2266.5131442219845</v>
      </c>
      <c r="EM55" s="8">
        <f t="shared" si="207"/>
        <v>635.22193785505965</v>
      </c>
      <c r="EN55" s="8">
        <f t="shared" si="208"/>
        <v>129.12393363912724</v>
      </c>
      <c r="EO55" s="8">
        <f t="shared" si="209"/>
        <v>58.003605222980518</v>
      </c>
      <c r="EP55" s="8">
        <f t="shared" si="210"/>
        <v>6.5792512120101012</v>
      </c>
      <c r="EQ55">
        <f t="shared" si="108"/>
        <v>28188.486311452689</v>
      </c>
      <c r="ES55" s="8">
        <f t="shared" si="211"/>
        <v>18563.557552517319</v>
      </c>
      <c r="ET55" s="8">
        <f t="shared" si="212"/>
        <v>7210.2047274464994</v>
      </c>
      <c r="EU55" s="8">
        <f t="shared" si="213"/>
        <v>2343.1033324493155</v>
      </c>
      <c r="EV55" s="8">
        <f t="shared" si="214"/>
        <v>655.13907737515115</v>
      </c>
      <c r="EW55" s="8">
        <f t="shared" si="215"/>
        <v>130.12824035084913</v>
      </c>
      <c r="EX55" s="8">
        <f t="shared" si="216"/>
        <v>58.832625867671645</v>
      </c>
      <c r="EY55" s="8">
        <f t="shared" si="217"/>
        <v>2.9896427806775909</v>
      </c>
      <c r="EZ55">
        <f t="shared" si="110"/>
        <v>28963.955198787484</v>
      </c>
      <c r="FB55">
        <f t="shared" si="111"/>
        <v>33047.282507077995</v>
      </c>
      <c r="FC55">
        <f t="shared" si="218"/>
        <v>835.58801470274534</v>
      </c>
      <c r="FD55">
        <f t="shared" si="219"/>
        <v>34688.274706688411</v>
      </c>
      <c r="FE55">
        <f t="shared" si="220"/>
        <v>-29.935297572876152</v>
      </c>
      <c r="FG55">
        <f t="shared" si="221"/>
        <v>188.50318911887047</v>
      </c>
      <c r="FJ55">
        <v>15.614110893880664</v>
      </c>
    </row>
    <row r="56" spans="1:166" x14ac:dyDescent="0.3">
      <c r="A56">
        <v>8</v>
      </c>
      <c r="B56">
        <v>0.67</v>
      </c>
      <c r="D56">
        <v>2005</v>
      </c>
      <c r="E56">
        <f t="shared" si="78"/>
        <v>20.365423354774862</v>
      </c>
      <c r="F56">
        <f t="shared" si="125"/>
        <v>0.37375861683947276</v>
      </c>
      <c r="G56">
        <f t="shared" si="126"/>
        <v>0.81871998858018991</v>
      </c>
      <c r="H56">
        <f t="shared" si="127"/>
        <v>0.30639488982990026</v>
      </c>
      <c r="I56" s="2">
        <v>6.4324233547748637</v>
      </c>
      <c r="J56">
        <f t="shared" si="128"/>
        <v>6.4324233547748637</v>
      </c>
      <c r="K56" s="2">
        <v>4.2690000000000001</v>
      </c>
      <c r="L56">
        <f t="shared" si="129"/>
        <v>9.6639999999999997</v>
      </c>
      <c r="M56" s="25">
        <f t="shared" si="130"/>
        <v>1.6625877144240613</v>
      </c>
      <c r="N56" s="25">
        <f t="shared" si="131"/>
        <v>17.568363173436417</v>
      </c>
      <c r="O56" s="25">
        <f t="shared" si="132"/>
        <v>10.515602550465561</v>
      </c>
      <c r="P56" s="25">
        <f t="shared" si="133"/>
        <v>10.314397667828253</v>
      </c>
      <c r="Q56" s="25">
        <f t="shared" si="134"/>
        <v>4.0240976527461356</v>
      </c>
      <c r="R56" s="25">
        <f t="shared" si="135"/>
        <v>1.3978444477960261</v>
      </c>
      <c r="S56" s="25">
        <f t="shared" si="136"/>
        <v>0.36005084261412795</v>
      </c>
      <c r="T56" s="25">
        <f t="shared" si="137"/>
        <v>3.1769191995364224E-2</v>
      </c>
      <c r="U56" s="25">
        <f t="shared" si="138"/>
        <v>5.2948653325607054E-2</v>
      </c>
      <c r="V56">
        <f t="shared" si="8"/>
        <v>45.927661894631555</v>
      </c>
      <c r="W56">
        <f t="shared" si="139"/>
        <v>3.763702898148074</v>
      </c>
      <c r="X56">
        <f t="shared" si="140"/>
        <v>39.770593044762137</v>
      </c>
      <c r="Y56">
        <f t="shared" si="141"/>
        <v>23.804821515038455</v>
      </c>
      <c r="Z56">
        <f t="shared" si="142"/>
        <v>23.349341546472765</v>
      </c>
      <c r="AA56">
        <f t="shared" si="143"/>
        <v>9.1095993713138093</v>
      </c>
      <c r="AB56">
        <f t="shared" si="144"/>
        <v>3.1643871500353233</v>
      </c>
      <c r="AC56">
        <f t="shared" si="145"/>
        <v>0.81506941743334094</v>
      </c>
      <c r="AD56">
        <f t="shared" si="146"/>
        <v>7.1917889773530086E-2</v>
      </c>
      <c r="AE56">
        <f t="shared" si="147"/>
        <v>0.11986314962255014</v>
      </c>
      <c r="AF56">
        <f t="shared" si="17"/>
        <v>103.96929598259999</v>
      </c>
      <c r="AG56" s="2">
        <v>5.5899999999999998E-2</v>
      </c>
      <c r="AH56" s="2">
        <v>7.5499999999999998E-2</v>
      </c>
      <c r="AI56" s="2">
        <v>9.1300000000000006E-2</v>
      </c>
      <c r="AJ56" s="2">
        <v>0.11219999999999999</v>
      </c>
      <c r="AK56" s="2">
        <v>0.12039999999999999</v>
      </c>
      <c r="AL56" s="2">
        <v>0.13320000000000001</v>
      </c>
      <c r="AM56" s="2">
        <v>0.13750000000000001</v>
      </c>
      <c r="AN56" s="2">
        <v>0.1525</v>
      </c>
      <c r="AO56" s="2">
        <v>0.13700000000000001</v>
      </c>
      <c r="AP56">
        <f t="shared" si="119"/>
        <v>9.2950518791791573E-2</v>
      </c>
      <c r="AQ56" s="2">
        <v>157</v>
      </c>
      <c r="AR56" s="2">
        <v>1659</v>
      </c>
      <c r="AS56" s="2">
        <v>993</v>
      </c>
      <c r="AT56" s="2">
        <v>974</v>
      </c>
      <c r="AU56" s="2">
        <v>380</v>
      </c>
      <c r="AV56" s="2">
        <v>132</v>
      </c>
      <c r="AW56" s="2">
        <v>34</v>
      </c>
      <c r="AX56" s="2">
        <v>3</v>
      </c>
      <c r="AY56" s="2">
        <v>5</v>
      </c>
      <c r="AZ56">
        <f t="shared" si="83"/>
        <v>4337</v>
      </c>
      <c r="BA56">
        <f t="shared" si="148"/>
        <v>2005</v>
      </c>
      <c r="BB56">
        <f t="shared" si="222"/>
        <v>0.80852662626154814</v>
      </c>
      <c r="BC56">
        <f t="shared" si="123"/>
        <v>1.4453192794169034</v>
      </c>
      <c r="BD56">
        <f t="shared" si="149"/>
        <v>2.5051459460349244</v>
      </c>
      <c r="BE56">
        <f t="shared" si="150"/>
        <v>26.471574041222546</v>
      </c>
      <c r="BF56">
        <f t="shared" si="151"/>
        <v>15.844649200080765</v>
      </c>
      <c r="BG56">
        <f t="shared" si="152"/>
        <v>15.541478671579725</v>
      </c>
      <c r="BH56">
        <f t="shared" si="153"/>
        <v>6.0634105700208369</v>
      </c>
      <c r="BI56">
        <f t="shared" si="154"/>
        <v>2.1062373559019751</v>
      </c>
      <c r="BJ56">
        <f t="shared" si="155"/>
        <v>0.54251568258081173</v>
      </c>
      <c r="BK56">
        <f t="shared" si="156"/>
        <v>4.7869030815953978E-2</v>
      </c>
      <c r="BL56">
        <f t="shared" si="157"/>
        <v>7.9781718026589954E-2</v>
      </c>
      <c r="BM56" s="24">
        <f t="shared" si="158"/>
        <v>136.51004904697055</v>
      </c>
      <c r="BN56" s="24">
        <f t="shared" si="159"/>
        <v>111.6026799610699</v>
      </c>
      <c r="BO56" s="24">
        <f t="shared" si="160"/>
        <v>41.118299522536461</v>
      </c>
      <c r="BP56" s="24">
        <f t="shared" si="161"/>
        <v>36.717248436860636</v>
      </c>
      <c r="BQ56" s="24">
        <f t="shared" si="162"/>
        <v>11.866476151955901</v>
      </c>
      <c r="BR56" s="24">
        <f t="shared" si="163"/>
        <v>4.6115161042607458</v>
      </c>
      <c r="BS56" s="24">
        <f t="shared" si="164"/>
        <v>0.90389690432140224</v>
      </c>
      <c r="BT56" s="24">
        <f t="shared" si="165"/>
        <v>8.0179236485766095E-2</v>
      </c>
      <c r="BU56" s="23">
        <f t="shared" si="166"/>
        <v>0.132830371352197</v>
      </c>
      <c r="BV56">
        <f t="shared" si="167"/>
        <v>6.5086771351291697</v>
      </c>
      <c r="BW56">
        <v>1.1926721659389283</v>
      </c>
      <c r="BX56" s="2">
        <v>9.6639999999999997</v>
      </c>
      <c r="CJ56">
        <v>2005</v>
      </c>
      <c r="CK56">
        <f t="shared" si="168"/>
        <v>2521</v>
      </c>
      <c r="CL56">
        <f t="shared" si="169"/>
        <v>95.430446727773116</v>
      </c>
      <c r="CM56" s="9">
        <f t="shared" si="170"/>
        <v>0.39389131297104324</v>
      </c>
      <c r="CN56" s="9">
        <f t="shared" si="171"/>
        <v>0.38635462118207059</v>
      </c>
      <c r="CO56" s="9">
        <f t="shared" si="172"/>
        <v>0.1507338357794526</v>
      </c>
      <c r="CP56" s="9">
        <f t="shared" si="173"/>
        <v>5.2360174533915116E-2</v>
      </c>
      <c r="CQ56" s="27">
        <f t="shared" si="38"/>
        <v>1.3486711622372074E-2</v>
      </c>
      <c r="CR56" s="27">
        <f t="shared" si="39"/>
        <v>1.1900039666798889E-3</v>
      </c>
      <c r="CS56" s="27">
        <f t="shared" si="40"/>
        <v>1.9833399444664813E-3</v>
      </c>
      <c r="CT56" s="29">
        <f t="shared" si="174"/>
        <v>0.43087191700811567</v>
      </c>
      <c r="CU56" s="9">
        <f t="shared" si="175"/>
        <v>0.38475402448446067</v>
      </c>
      <c r="CV56" s="9">
        <f t="shared" si="176"/>
        <v>0.12434685741130877</v>
      </c>
      <c r="CW56" s="9">
        <f t="shared" si="177"/>
        <v>4.8323320935672161E-2</v>
      </c>
      <c r="CX56" s="9">
        <f t="shared" si="178"/>
        <v>9.4717874149733098E-3</v>
      </c>
      <c r="CY56" s="9">
        <f t="shared" si="179"/>
        <v>8.4018506917909607E-4</v>
      </c>
      <c r="CZ56" s="9">
        <f t="shared" si="180"/>
        <v>1.3919076762902692E-3</v>
      </c>
      <c r="DA56">
        <f t="shared" si="181"/>
        <v>-1.2578405581872023</v>
      </c>
      <c r="DB56">
        <f t="shared" si="182"/>
        <v>-1.2502928332303134</v>
      </c>
      <c r="DC56">
        <f t="shared" si="124"/>
        <v>100</v>
      </c>
      <c r="DD56">
        <f t="shared" si="183"/>
        <v>8.5067346078357673</v>
      </c>
      <c r="DE56">
        <f t="shared" si="184"/>
        <v>43.89615707523182</v>
      </c>
      <c r="DF56">
        <f t="shared" si="185"/>
        <v>12.468430917989181</v>
      </c>
      <c r="DG56">
        <f t="shared" si="186"/>
        <v>10.861372097452659</v>
      </c>
      <c r="DH56">
        <f t="shared" si="187"/>
        <v>1.7789679291889282</v>
      </c>
      <c r="DI56">
        <f t="shared" si="188"/>
        <v>1.1074343005627445</v>
      </c>
      <c r="DJ56">
        <f t="shared" si="189"/>
        <v>1.3303791264625553E-3</v>
      </c>
      <c r="DK56">
        <f t="shared" si="190"/>
        <v>5.4101367444789328E-4</v>
      </c>
      <c r="DL56">
        <f t="shared" si="191"/>
        <v>9.9999999999988987E-5</v>
      </c>
      <c r="DM56">
        <f t="shared" si="192"/>
        <v>2005</v>
      </c>
      <c r="DN56" s="9">
        <f t="shared" si="193"/>
        <v>1.2406917030280313E-2</v>
      </c>
      <c r="DO56" s="9">
        <f t="shared" si="194"/>
        <v>0.20636831841439229</v>
      </c>
      <c r="DP56" s="9">
        <f t="shared" si="195"/>
        <v>0.41606979665784266</v>
      </c>
      <c r="DQ56" s="9">
        <f t="shared" si="196"/>
        <v>0.48708489854944476</v>
      </c>
      <c r="DR56" s="9">
        <f t="shared" si="197"/>
        <v>0.69344342157240935</v>
      </c>
      <c r="DS56" s="9">
        <f t="shared" si="198"/>
        <v>0.55795964768861184</v>
      </c>
      <c r="DT56" s="9">
        <f t="shared" si="199"/>
        <v>0.99631862685046335</v>
      </c>
      <c r="DU56" s="9">
        <f t="shared" si="200"/>
        <v>0.98325564126775677</v>
      </c>
      <c r="DV56" s="9">
        <f t="shared" si="201"/>
        <v>0.99811493801009044</v>
      </c>
      <c r="DW56">
        <f t="shared" si="202"/>
        <v>0.48359660591406289</v>
      </c>
      <c r="DX56">
        <f t="shared" si="96"/>
        <v>2005</v>
      </c>
      <c r="DY56" s="9">
        <f t="shared" si="223"/>
        <v>2.5655508906704514E-2</v>
      </c>
      <c r="DZ56" s="9">
        <f t="shared" si="224"/>
        <v>0.42673649047707501</v>
      </c>
      <c r="EA56" s="9">
        <f t="shared" si="99"/>
        <v>0.86036541937968025</v>
      </c>
      <c r="EB56" s="9">
        <f t="shared" si="100"/>
        <v>1.0072132281176551</v>
      </c>
      <c r="EC56" s="9">
        <f t="shared" si="101"/>
        <v>1.4339294633007351</v>
      </c>
      <c r="ED56" s="9">
        <f t="shared" si="102"/>
        <v>1.1537708099377431</v>
      </c>
      <c r="EE56" s="9">
        <f t="shared" si="103"/>
        <v>2.0602266737734576</v>
      </c>
      <c r="EF56" s="9">
        <f t="shared" si="104"/>
        <v>2.0332145206215224</v>
      </c>
      <c r="EG56" s="9">
        <f t="shared" si="105"/>
        <v>2.0639411563352859</v>
      </c>
      <c r="EI56">
        <f t="shared" si="203"/>
        <v>2521</v>
      </c>
      <c r="EJ56" s="8">
        <f t="shared" si="204"/>
        <v>5863.7949371828599</v>
      </c>
      <c r="EK56" s="8">
        <f t="shared" si="205"/>
        <v>5732.8543394906901</v>
      </c>
      <c r="EL56" s="8">
        <f t="shared" si="206"/>
        <v>1881.1543194915237</v>
      </c>
      <c r="EM56" s="8">
        <f t="shared" si="207"/>
        <v>515.89082458782252</v>
      </c>
      <c r="EN56" s="8">
        <f t="shared" si="208"/>
        <v>88.580827542197667</v>
      </c>
      <c r="EO56" s="8">
        <f t="shared" si="209"/>
        <v>1.791759469228055</v>
      </c>
      <c r="EP56" s="8">
        <f t="shared" si="210"/>
        <v>4.7874917427820449</v>
      </c>
      <c r="EQ56">
        <f t="shared" si="108"/>
        <v>14088.854499507102</v>
      </c>
      <c r="ES56" s="8">
        <f t="shared" si="211"/>
        <v>6051.3570533133961</v>
      </c>
      <c r="ET56" s="8">
        <f t="shared" si="212"/>
        <v>5903.5785765007431</v>
      </c>
      <c r="EU56" s="8">
        <f t="shared" si="213"/>
        <v>1935.2188517793547</v>
      </c>
      <c r="EV56" s="8">
        <f t="shared" si="214"/>
        <v>533.47911708107529</v>
      </c>
      <c r="EW56" s="8">
        <f t="shared" si="215"/>
        <v>88.774411591841471</v>
      </c>
      <c r="EX56" s="8">
        <f t="shared" si="216"/>
        <v>-1.5487012689289545</v>
      </c>
      <c r="EY56" s="8">
        <f t="shared" si="217"/>
        <v>1.611865891502527</v>
      </c>
      <c r="EZ56">
        <f t="shared" si="110"/>
        <v>14512.471174888984</v>
      </c>
      <c r="FB56">
        <f t="shared" si="111"/>
        <v>17229.343124493207</v>
      </c>
      <c r="FC56">
        <f t="shared" si="218"/>
        <v>408.37131482142814</v>
      </c>
      <c r="FD56">
        <f t="shared" si="219"/>
        <v>18090.027708641319</v>
      </c>
      <c r="FE56">
        <f t="shared" si="220"/>
        <v>-28.696593944801862</v>
      </c>
      <c r="FG56">
        <f t="shared" si="221"/>
        <v>106.89601895552524</v>
      </c>
      <c r="FJ56">
        <v>8.5889524665751864</v>
      </c>
    </row>
    <row r="57" spans="1:166" x14ac:dyDescent="0.3">
      <c r="A57">
        <v>9</v>
      </c>
      <c r="B57">
        <v>0.99</v>
      </c>
      <c r="D57">
        <v>2006</v>
      </c>
      <c r="E57">
        <f t="shared" si="78"/>
        <v>9.7927789351806034</v>
      </c>
      <c r="F57">
        <f t="shared" si="125"/>
        <v>0.56499457841463363</v>
      </c>
      <c r="G57">
        <f t="shared" si="126"/>
        <v>1.0956849604339538</v>
      </c>
      <c r="H57">
        <f t="shared" si="127"/>
        <v>0</v>
      </c>
      <c r="I57" s="2">
        <v>6.9177789351806025</v>
      </c>
      <c r="J57">
        <f t="shared" si="128"/>
        <v>6.9177789351806025</v>
      </c>
      <c r="K57" s="2">
        <v>0</v>
      </c>
      <c r="L57">
        <f t="shared" si="129"/>
        <v>2.875</v>
      </c>
      <c r="M57" s="25">
        <f t="shared" si="130"/>
        <v>0</v>
      </c>
      <c r="N57" s="25">
        <f t="shared" si="131"/>
        <v>0</v>
      </c>
      <c r="O57" s="25">
        <f t="shared" si="132"/>
        <v>0</v>
      </c>
      <c r="P57" s="25">
        <f t="shared" si="133"/>
        <v>0</v>
      </c>
      <c r="Q57" s="25">
        <f t="shared" si="134"/>
        <v>0</v>
      </c>
      <c r="R57" s="25">
        <f t="shared" si="135"/>
        <v>0</v>
      </c>
      <c r="S57" s="25">
        <f t="shared" si="136"/>
        <v>0</v>
      </c>
      <c r="T57" s="25">
        <f t="shared" si="137"/>
        <v>0</v>
      </c>
      <c r="U57" s="25">
        <f t="shared" si="138"/>
        <v>0</v>
      </c>
      <c r="V57">
        <f t="shared" si="8"/>
        <v>0</v>
      </c>
      <c r="W57">
        <f t="shared" si="139"/>
        <v>5.5018113909766999</v>
      </c>
      <c r="X57">
        <f t="shared" si="140"/>
        <v>13.596430448965407</v>
      </c>
      <c r="Y57">
        <f t="shared" si="141"/>
        <v>12.236787404068867</v>
      </c>
      <c r="Z57">
        <f t="shared" si="142"/>
        <v>2.8773841182694233</v>
      </c>
      <c r="AA57">
        <f t="shared" si="143"/>
        <v>1.9604155531066403</v>
      </c>
      <c r="AB57">
        <f t="shared" si="144"/>
        <v>0.28457645125741549</v>
      </c>
      <c r="AC57">
        <f t="shared" si="145"/>
        <v>3.1619605695268387E-2</v>
      </c>
      <c r="AD57">
        <f t="shared" si="146"/>
        <v>0</v>
      </c>
      <c r="AE57">
        <f t="shared" si="147"/>
        <v>0</v>
      </c>
      <c r="AF57">
        <f t="shared" si="17"/>
        <v>36.48902497233972</v>
      </c>
      <c r="AG57" s="2">
        <v>5.4800000000000001E-2</v>
      </c>
      <c r="AH57" s="2">
        <v>6.93E-2</v>
      </c>
      <c r="AI57" s="2">
        <v>8.77E-2</v>
      </c>
      <c r="AJ57" s="2">
        <v>0.10199999999999999</v>
      </c>
      <c r="AK57" s="2">
        <v>0.1169</v>
      </c>
      <c r="AL57" s="2">
        <v>0.1103</v>
      </c>
      <c r="AM57" s="2">
        <v>0.128</v>
      </c>
      <c r="AN57" s="2">
        <v>0.16400000000000001</v>
      </c>
      <c r="AO57" s="2">
        <v>0.17199999999999999</v>
      </c>
      <c r="AP57">
        <f t="shared" si="119"/>
        <v>7.8790814558058919E-2</v>
      </c>
      <c r="AQ57" s="2">
        <v>174</v>
      </c>
      <c r="AR57" s="2">
        <v>430</v>
      </c>
      <c r="AS57" s="2">
        <v>387</v>
      </c>
      <c r="AT57" s="2">
        <v>91</v>
      </c>
      <c r="AU57" s="2">
        <v>62</v>
      </c>
      <c r="AV57" s="2">
        <v>9</v>
      </c>
      <c r="AW57" s="2">
        <v>1</v>
      </c>
      <c r="AX57" s="2">
        <v>0</v>
      </c>
      <c r="AY57" s="2">
        <v>0</v>
      </c>
      <c r="AZ57">
        <f t="shared" si="83"/>
        <v>1154</v>
      </c>
      <c r="BA57">
        <f t="shared" si="148"/>
        <v>2006</v>
      </c>
      <c r="BB57">
        <f t="shared" si="222"/>
        <v>2.4598108151777316</v>
      </c>
      <c r="BC57">
        <f t="shared" si="123"/>
        <v>1.5909701505997076</v>
      </c>
      <c r="BD57">
        <f t="shared" si="149"/>
        <v>13.238370415942715</v>
      </c>
      <c r="BE57">
        <f t="shared" si="150"/>
        <v>32.715513096869927</v>
      </c>
      <c r="BF57">
        <f t="shared" si="151"/>
        <v>29.443961787182939</v>
      </c>
      <c r="BG57">
        <f t="shared" si="152"/>
        <v>6.923515562360846</v>
      </c>
      <c r="BH57">
        <f t="shared" si="153"/>
        <v>4.7171204930370587</v>
      </c>
      <c r="BI57">
        <f t="shared" si="154"/>
        <v>0.68474329737634732</v>
      </c>
      <c r="BJ57">
        <f t="shared" si="155"/>
        <v>7.6082588597371922E-2</v>
      </c>
      <c r="BK57">
        <f t="shared" si="156"/>
        <v>0</v>
      </c>
      <c r="BL57">
        <f t="shared" si="157"/>
        <v>0</v>
      </c>
      <c r="BM57" s="24">
        <f t="shared" si="158"/>
        <v>178.04160570509899</v>
      </c>
      <c r="BN57" s="24">
        <f t="shared" si="159"/>
        <v>93.194667657395229</v>
      </c>
      <c r="BO57" s="24">
        <f t="shared" si="160"/>
        <v>47.577245238172388</v>
      </c>
      <c r="BP57" s="24">
        <f t="shared" si="161"/>
        <v>10.392466484704128</v>
      </c>
      <c r="BQ57" s="24">
        <f t="shared" si="162"/>
        <v>6.8020226763213003</v>
      </c>
      <c r="BR57" s="24">
        <f t="shared" si="163"/>
        <v>0.95264656658311864</v>
      </c>
      <c r="BS57" s="24">
        <f t="shared" si="164"/>
        <v>0.48124584296750672</v>
      </c>
      <c r="BT57" s="24">
        <f t="shared" si="165"/>
        <v>4.046644821018471E-4</v>
      </c>
      <c r="BU57" s="23">
        <f t="shared" si="166"/>
        <v>1E-4</v>
      </c>
      <c r="BV57">
        <f t="shared" si="167"/>
        <v>5.3261950770865365</v>
      </c>
      <c r="BW57">
        <v>0.89539760345706021</v>
      </c>
      <c r="BX57" s="2">
        <v>2.875</v>
      </c>
      <c r="CJ57">
        <v>2006</v>
      </c>
      <c r="CK57">
        <f t="shared" si="168"/>
        <v>550</v>
      </c>
      <c r="CL57">
        <f t="shared" si="169"/>
        <v>66.206131473230542</v>
      </c>
      <c r="CM57" s="9">
        <f t="shared" si="170"/>
        <v>0.70363636363636362</v>
      </c>
      <c r="CN57" s="9">
        <f t="shared" si="171"/>
        <v>0.16545454545454547</v>
      </c>
      <c r="CO57" s="9">
        <f t="shared" si="172"/>
        <v>0.11272727272727273</v>
      </c>
      <c r="CP57" s="9">
        <f t="shared" si="173"/>
        <v>1.6363636363636365E-2</v>
      </c>
      <c r="CQ57" s="27">
        <f t="shared" si="38"/>
        <v>1.8181818181818182E-3</v>
      </c>
      <c r="CR57" s="27">
        <f t="shared" si="39"/>
        <v>0</v>
      </c>
      <c r="CS57" s="27">
        <f t="shared" si="40"/>
        <v>0</v>
      </c>
      <c r="CT57" s="29">
        <f t="shared" si="174"/>
        <v>0.71862294593378462</v>
      </c>
      <c r="CU57" s="9">
        <f t="shared" si="175"/>
        <v>0.15697135980382976</v>
      </c>
      <c r="CV57" s="9">
        <f t="shared" si="176"/>
        <v>0.10274007142482862</v>
      </c>
      <c r="CW57" s="9">
        <f t="shared" si="177"/>
        <v>1.43890987946986E-2</v>
      </c>
      <c r="CX57" s="9">
        <f t="shared" si="178"/>
        <v>7.2689014183239401E-3</v>
      </c>
      <c r="CY57" s="9">
        <f t="shared" si="179"/>
        <v>6.1121904134433095E-6</v>
      </c>
      <c r="CZ57" s="9">
        <f t="shared" si="180"/>
        <v>1.5104341210516658E-6</v>
      </c>
      <c r="DA57">
        <f t="shared" si="181"/>
        <v>-0.87373350488746138</v>
      </c>
      <c r="DB57">
        <f t="shared" si="182"/>
        <v>-0.8692831496641823</v>
      </c>
      <c r="DC57">
        <f t="shared" si="124"/>
        <v>100</v>
      </c>
      <c r="DD57">
        <f t="shared" si="183"/>
        <v>10.593266265768031</v>
      </c>
      <c r="DE57">
        <f t="shared" si="184"/>
        <v>39.29388240395361</v>
      </c>
      <c r="DF57">
        <f t="shared" si="185"/>
        <v>15.320020338604007</v>
      </c>
      <c r="DG57">
        <f t="shared" si="186"/>
        <v>3.4689509223432822</v>
      </c>
      <c r="DH57">
        <f t="shared" si="187"/>
        <v>2.0849021832842416</v>
      </c>
      <c r="DI57">
        <f t="shared" si="188"/>
        <v>0.26790326920677132</v>
      </c>
      <c r="DJ57">
        <f t="shared" si="189"/>
        <v>0.40516325437013478</v>
      </c>
      <c r="DK57">
        <f t="shared" si="190"/>
        <v>4.046644821018471E-4</v>
      </c>
      <c r="DL57">
        <f t="shared" si="191"/>
        <v>1E-4</v>
      </c>
      <c r="DM57">
        <f t="shared" si="192"/>
        <v>2006</v>
      </c>
      <c r="DN57" s="9" t="str">
        <f t="shared" si="193"/>
        <v/>
      </c>
      <c r="DO57" s="9" t="str">
        <f t="shared" si="194"/>
        <v/>
      </c>
      <c r="DP57" s="9" t="str">
        <f t="shared" si="195"/>
        <v/>
      </c>
      <c r="DQ57" s="9" t="str">
        <f t="shared" si="196"/>
        <v/>
      </c>
      <c r="DR57" s="9" t="str">
        <f t="shared" si="197"/>
        <v/>
      </c>
      <c r="DS57" s="9" t="str">
        <f t="shared" si="198"/>
        <v/>
      </c>
      <c r="DT57" s="9" t="str">
        <f t="shared" si="199"/>
        <v/>
      </c>
      <c r="DU57" s="9" t="str">
        <f t="shared" si="200"/>
        <v/>
      </c>
      <c r="DV57" s="9" t="str">
        <f t="shared" si="201"/>
        <v/>
      </c>
      <c r="DW57">
        <f t="shared" si="202"/>
        <v>0</v>
      </c>
      <c r="DX57">
        <f t="shared" si="96"/>
        <v>2006</v>
      </c>
      <c r="DY57" s="9" t="str">
        <f t="shared" si="223"/>
        <v/>
      </c>
      <c r="DZ57" s="9" t="str">
        <f t="shared" si="224"/>
        <v/>
      </c>
      <c r="EA57" s="9" t="str">
        <f t="shared" si="99"/>
        <v/>
      </c>
      <c r="EB57" s="9" t="str">
        <f t="shared" si="100"/>
        <v/>
      </c>
      <c r="EC57" s="9" t="str">
        <f t="shared" si="101"/>
        <v/>
      </c>
      <c r="ED57" s="9" t="str">
        <f t="shared" si="102"/>
        <v/>
      </c>
      <c r="EE57" s="9" t="str">
        <f t="shared" si="103"/>
        <v/>
      </c>
      <c r="EF57" s="9" t="str">
        <f t="shared" si="104"/>
        <v/>
      </c>
      <c r="EG57" s="9" t="str">
        <f t="shared" si="105"/>
        <v/>
      </c>
      <c r="EI57">
        <f t="shared" si="203"/>
        <v>550</v>
      </c>
      <c r="EJ57" s="8">
        <f t="shared" si="204"/>
        <v>1922.8087224138078</v>
      </c>
      <c r="EK57" s="8">
        <f t="shared" si="205"/>
        <v>322.66349912672621</v>
      </c>
      <c r="EL57" s="8">
        <f t="shared" si="206"/>
        <v>196.86618167288998</v>
      </c>
      <c r="EM57" s="8">
        <f t="shared" si="207"/>
        <v>12.801827480081471</v>
      </c>
      <c r="EN57" s="8">
        <f t="shared" si="208"/>
        <v>0</v>
      </c>
      <c r="EO57" s="8">
        <f t="shared" si="209"/>
        <v>0</v>
      </c>
      <c r="EP57" s="8">
        <f t="shared" si="210"/>
        <v>0</v>
      </c>
      <c r="EQ57">
        <f t="shared" si="108"/>
        <v>2455.1402306935056</v>
      </c>
      <c r="ES57" s="8">
        <f t="shared" si="211"/>
        <v>1988.893896986136</v>
      </c>
      <c r="ET57" s="8">
        <f t="shared" si="212"/>
        <v>333.76212696354219</v>
      </c>
      <c r="EU57" s="8">
        <f t="shared" si="213"/>
        <v>202.72845115914771</v>
      </c>
      <c r="EV57" s="8">
        <f t="shared" si="214"/>
        <v>10.411638192905659</v>
      </c>
      <c r="EW57" s="8">
        <f t="shared" si="215"/>
        <v>-1.7408576477622686</v>
      </c>
      <c r="EX57" s="8">
        <f t="shared" si="216"/>
        <v>0</v>
      </c>
      <c r="EY57" s="8">
        <f t="shared" si="217"/>
        <v>0</v>
      </c>
      <c r="EZ57">
        <f t="shared" si="110"/>
        <v>2534.0552556539697</v>
      </c>
      <c r="FB57">
        <f t="shared" si="111"/>
        <v>2924.5291022120368</v>
      </c>
      <c r="FC57">
        <f t="shared" si="218"/>
        <v>52.00498474616397</v>
      </c>
      <c r="FD57">
        <f t="shared" si="219"/>
        <v>3070.9527403817792</v>
      </c>
      <c r="FE57">
        <f t="shared" si="220"/>
        <v>-15.503628463114183</v>
      </c>
      <c r="FG57">
        <f t="shared" si="221"/>
        <v>24.070204129596569</v>
      </c>
      <c r="FJ57">
        <v>3.1288597562274978</v>
      </c>
    </row>
    <row r="58" spans="1:166" x14ac:dyDescent="0.3">
      <c r="A58">
        <v>10</v>
      </c>
      <c r="B58">
        <v>1.26</v>
      </c>
      <c r="D58">
        <v>2007</v>
      </c>
      <c r="E58">
        <f t="shared" si="78"/>
        <v>8.970806234537358</v>
      </c>
      <c r="F58">
        <f t="shared" si="125"/>
        <v>0.53026208158225285</v>
      </c>
      <c r="G58">
        <f t="shared" si="126"/>
        <v>0.95150669477051664</v>
      </c>
      <c r="H58">
        <f t="shared" si="127"/>
        <v>0</v>
      </c>
      <c r="I58" s="2">
        <v>6.7248062345373576</v>
      </c>
      <c r="J58">
        <f t="shared" si="128"/>
        <v>6.7248062345373576</v>
      </c>
      <c r="K58" s="2">
        <v>0</v>
      </c>
      <c r="L58">
        <f t="shared" si="129"/>
        <v>2.246</v>
      </c>
      <c r="M58" s="25">
        <f t="shared" si="130"/>
        <v>0</v>
      </c>
      <c r="N58" s="25">
        <f t="shared" si="131"/>
        <v>0</v>
      </c>
      <c r="O58" s="25">
        <f t="shared" si="132"/>
        <v>0</v>
      </c>
      <c r="P58" s="25">
        <f t="shared" si="133"/>
        <v>0</v>
      </c>
      <c r="Q58" s="25">
        <f t="shared" si="134"/>
        <v>0</v>
      </c>
      <c r="R58" s="25">
        <f t="shared" si="135"/>
        <v>0</v>
      </c>
      <c r="S58" s="25">
        <f t="shared" si="136"/>
        <v>0</v>
      </c>
      <c r="T58" s="25">
        <f t="shared" si="137"/>
        <v>0</v>
      </c>
      <c r="U58" s="25">
        <f t="shared" si="138"/>
        <v>0</v>
      </c>
      <c r="V58">
        <f t="shared" si="8"/>
        <v>0</v>
      </c>
      <c r="W58">
        <f t="shared" si="139"/>
        <v>0.33381389058157335</v>
      </c>
      <c r="X58">
        <f t="shared" si="140"/>
        <v>14.449372692316677</v>
      </c>
      <c r="Y58">
        <f t="shared" si="141"/>
        <v>10.062104416101713</v>
      </c>
      <c r="Z58">
        <f t="shared" si="142"/>
        <v>3.1473881111976918</v>
      </c>
      <c r="AA58">
        <f t="shared" si="143"/>
        <v>0.5245646851996153</v>
      </c>
      <c r="AB58">
        <f t="shared" si="144"/>
        <v>0.19075079461804192</v>
      </c>
      <c r="AC58">
        <f t="shared" si="145"/>
        <v>0</v>
      </c>
      <c r="AD58">
        <f t="shared" si="146"/>
        <v>0</v>
      </c>
      <c r="AE58">
        <f t="shared" si="147"/>
        <v>0</v>
      </c>
      <c r="AF58">
        <f t="shared" si="17"/>
        <v>28.707994590015311</v>
      </c>
      <c r="AG58" s="2">
        <v>5.4600000000000003E-2</v>
      </c>
      <c r="AH58" s="2">
        <v>7.2700000000000001E-2</v>
      </c>
      <c r="AI58" s="2">
        <v>8.0500000000000002E-2</v>
      </c>
      <c r="AJ58" s="2">
        <v>9.2399999999999996E-2</v>
      </c>
      <c r="AK58" s="2">
        <v>9.8100000000000007E-2</v>
      </c>
      <c r="AL58" s="2">
        <v>0.13120000000000001</v>
      </c>
      <c r="AM58" s="2">
        <v>0.15359999999999999</v>
      </c>
      <c r="AN58" s="2">
        <v>0.16719999999999999</v>
      </c>
      <c r="AO58" s="2">
        <v>0.16919999999999999</v>
      </c>
      <c r="AP58">
        <f t="shared" si="119"/>
        <v>7.8236046511627896E-2</v>
      </c>
      <c r="AQ58" s="2">
        <v>7</v>
      </c>
      <c r="AR58" s="2">
        <v>303</v>
      </c>
      <c r="AS58" s="2">
        <v>211</v>
      </c>
      <c r="AT58" s="2">
        <v>66</v>
      </c>
      <c r="AU58" s="2">
        <v>11</v>
      </c>
      <c r="AV58" s="2">
        <v>4</v>
      </c>
      <c r="AW58" s="2">
        <v>0</v>
      </c>
      <c r="AX58" s="2">
        <v>0</v>
      </c>
      <c r="AY58" s="2">
        <v>0</v>
      </c>
      <c r="AZ58">
        <f t="shared" si="83"/>
        <v>602</v>
      </c>
      <c r="BA58">
        <f t="shared" si="148"/>
        <v>2007</v>
      </c>
      <c r="BB58">
        <f t="shared" si="222"/>
        <v>1.5045730103598431</v>
      </c>
      <c r="BC58">
        <f t="shared" si="123"/>
        <v>1.6410240690183944</v>
      </c>
      <c r="BD58">
        <f t="shared" si="149"/>
        <v>0.99948073577833307</v>
      </c>
      <c r="BE58">
        <f t="shared" si="150"/>
        <v>43.263237562976414</v>
      </c>
      <c r="BF58">
        <f t="shared" si="151"/>
        <v>30.127205035604039</v>
      </c>
      <c r="BG58">
        <f t="shared" si="152"/>
        <v>9.4236755087671398</v>
      </c>
      <c r="BH58">
        <f t="shared" si="153"/>
        <v>1.5706125847945234</v>
      </c>
      <c r="BI58">
        <f t="shared" si="154"/>
        <v>0.5711318490161903</v>
      </c>
      <c r="BJ58">
        <f t="shared" si="155"/>
        <v>0</v>
      </c>
      <c r="BK58">
        <f t="shared" si="156"/>
        <v>0</v>
      </c>
      <c r="BL58">
        <f t="shared" si="157"/>
        <v>0</v>
      </c>
      <c r="BM58" s="24">
        <f t="shared" si="158"/>
        <v>74.017745360898829</v>
      </c>
      <c r="BN58" s="24">
        <f t="shared" si="159"/>
        <v>126.65457085338184</v>
      </c>
      <c r="BO58" s="24">
        <f t="shared" si="160"/>
        <v>46.479386982182056</v>
      </c>
      <c r="BP58" s="24">
        <f t="shared" si="161"/>
        <v>13.935721332977753</v>
      </c>
      <c r="BQ58" s="24">
        <f t="shared" si="162"/>
        <v>2.4411890592945578</v>
      </c>
      <c r="BR58" s="24">
        <f t="shared" si="163"/>
        <v>1.3045260419628175</v>
      </c>
      <c r="BS58" s="24">
        <f t="shared" si="164"/>
        <v>0.14325537648380968</v>
      </c>
      <c r="BT58" s="24">
        <f t="shared" si="165"/>
        <v>0.17577340041897183</v>
      </c>
      <c r="BU58" s="23">
        <f t="shared" si="166"/>
        <v>1E-4</v>
      </c>
      <c r="BV58">
        <f t="shared" si="167"/>
        <v>5.9572362273168995</v>
      </c>
      <c r="BW58">
        <v>0.6663116178665659</v>
      </c>
      <c r="BX58" s="2">
        <v>2.246</v>
      </c>
      <c r="CJ58">
        <v>2007</v>
      </c>
      <c r="CK58">
        <f t="shared" si="168"/>
        <v>292</v>
      </c>
      <c r="CL58">
        <f t="shared" si="169"/>
        <v>64.479952193319974</v>
      </c>
      <c r="CM58" s="9">
        <f t="shared" si="170"/>
        <v>0.7226027397260274</v>
      </c>
      <c r="CN58" s="9">
        <f t="shared" si="171"/>
        <v>0.22602739726027396</v>
      </c>
      <c r="CO58" s="9">
        <f t="shared" si="172"/>
        <v>3.7671232876712327E-2</v>
      </c>
      <c r="CP58" s="9">
        <f t="shared" si="173"/>
        <v>1.3698630136986301E-2</v>
      </c>
      <c r="CQ58" s="27">
        <f t="shared" si="38"/>
        <v>0</v>
      </c>
      <c r="CR58" s="27">
        <f t="shared" si="39"/>
        <v>0</v>
      </c>
      <c r="CS58" s="27">
        <f t="shared" si="40"/>
        <v>0</v>
      </c>
      <c r="CT58" s="29">
        <f t="shared" si="174"/>
        <v>0.72083469979677262</v>
      </c>
      <c r="CU58" s="9">
        <f t="shared" si="175"/>
        <v>0.21612487073806286</v>
      </c>
      <c r="CV58" s="9">
        <f t="shared" si="176"/>
        <v>3.7859659882741994E-2</v>
      </c>
      <c r="CW58" s="9">
        <f t="shared" si="177"/>
        <v>2.0231498281072926E-2</v>
      </c>
      <c r="CX58" s="9">
        <f t="shared" si="178"/>
        <v>2.2217041361058997E-3</v>
      </c>
      <c r="CY58" s="9">
        <f t="shared" si="179"/>
        <v>2.7260162956073298E-3</v>
      </c>
      <c r="CZ58" s="9">
        <f t="shared" si="180"/>
        <v>1.550869636196161E-6</v>
      </c>
      <c r="DA58">
        <f t="shared" si="181"/>
        <v>-0.7595505075203921</v>
      </c>
      <c r="DB58">
        <f t="shared" si="182"/>
        <v>-0.75586606204629581</v>
      </c>
      <c r="DC58">
        <f t="shared" si="124"/>
        <v>100</v>
      </c>
      <c r="DD58">
        <f t="shared" si="183"/>
        <v>4.693487467530967</v>
      </c>
      <c r="DE58">
        <f t="shared" si="184"/>
        <v>54.180143020068563</v>
      </c>
      <c r="DF58">
        <f t="shared" si="185"/>
        <v>13.815245356927292</v>
      </c>
      <c r="DG58">
        <f t="shared" si="186"/>
        <v>4.5120458242106132</v>
      </c>
      <c r="DH58">
        <f t="shared" si="187"/>
        <v>0.87057647450003439</v>
      </c>
      <c r="DI58">
        <f t="shared" si="188"/>
        <v>0.73339419294662722</v>
      </c>
      <c r="DJ58">
        <f t="shared" si="189"/>
        <v>0.14325537648380968</v>
      </c>
      <c r="DK58">
        <f t="shared" si="190"/>
        <v>0.17577340041897183</v>
      </c>
      <c r="DL58">
        <f t="shared" si="191"/>
        <v>1E-4</v>
      </c>
      <c r="DM58">
        <f t="shared" si="192"/>
        <v>2007</v>
      </c>
      <c r="DN58" s="9" t="str">
        <f t="shared" si="193"/>
        <v/>
      </c>
      <c r="DO58" s="9" t="str">
        <f t="shared" si="194"/>
        <v/>
      </c>
      <c r="DP58" s="9" t="str">
        <f t="shared" si="195"/>
        <v/>
      </c>
      <c r="DQ58" s="9" t="str">
        <f t="shared" si="196"/>
        <v/>
      </c>
      <c r="DR58" s="9" t="str">
        <f t="shared" si="197"/>
        <v/>
      </c>
      <c r="DS58" s="9" t="str">
        <f t="shared" si="198"/>
        <v/>
      </c>
      <c r="DT58" s="9" t="str">
        <f t="shared" si="199"/>
        <v/>
      </c>
      <c r="DU58" s="9" t="str">
        <f t="shared" si="200"/>
        <v/>
      </c>
      <c r="DV58" s="9" t="str">
        <f t="shared" si="201"/>
        <v/>
      </c>
      <c r="DW58">
        <f t="shared" si="202"/>
        <v>0</v>
      </c>
      <c r="DX58">
        <f t="shared" si="96"/>
        <v>2007</v>
      </c>
      <c r="DY58" s="9" t="str">
        <f t="shared" si="223"/>
        <v/>
      </c>
      <c r="DZ58" s="9" t="str">
        <f t="shared" si="224"/>
        <v/>
      </c>
      <c r="EA58" s="9" t="str">
        <f t="shared" si="99"/>
        <v/>
      </c>
      <c r="EB58" s="9" t="str">
        <f t="shared" si="100"/>
        <v/>
      </c>
      <c r="EC58" s="9" t="str">
        <f t="shared" si="101"/>
        <v/>
      </c>
      <c r="ED58" s="9" t="str">
        <f t="shared" si="102"/>
        <v/>
      </c>
      <c r="EE58" s="9" t="str">
        <f t="shared" si="103"/>
        <v/>
      </c>
      <c r="EF58" s="9" t="str">
        <f t="shared" si="104"/>
        <v/>
      </c>
      <c r="EG58" s="9" t="str">
        <f t="shared" si="105"/>
        <v/>
      </c>
      <c r="EI58">
        <f t="shared" si="203"/>
        <v>292</v>
      </c>
      <c r="EJ58" s="8">
        <f t="shared" si="204"/>
        <v>921.83732870780489</v>
      </c>
      <c r="EK58" s="8">
        <f t="shared" si="205"/>
        <v>213.53224149456327</v>
      </c>
      <c r="EL58" s="8">
        <f t="shared" si="206"/>
        <v>17.50230784587389</v>
      </c>
      <c r="EM58" s="8">
        <f t="shared" si="207"/>
        <v>3.1780538303479458</v>
      </c>
      <c r="EN58" s="8">
        <f t="shared" si="208"/>
        <v>0</v>
      </c>
      <c r="EO58" s="8">
        <f t="shared" si="209"/>
        <v>0</v>
      </c>
      <c r="EP58" s="8">
        <f t="shared" si="210"/>
        <v>0</v>
      </c>
      <c r="EQ58">
        <f t="shared" si="108"/>
        <v>1156.0499318785899</v>
      </c>
      <c r="ES58" s="8">
        <f t="shared" si="211"/>
        <v>954.97029541090285</v>
      </c>
      <c r="ET58" s="8">
        <f t="shared" si="212"/>
        <v>220.48716005345642</v>
      </c>
      <c r="EU58" s="8">
        <f t="shared" si="213"/>
        <v>15.653364772603449</v>
      </c>
      <c r="EV58" s="8">
        <f t="shared" si="214"/>
        <v>0.87649003015271831</v>
      </c>
      <c r="EW58" s="8">
        <f t="shared" si="215"/>
        <v>0</v>
      </c>
      <c r="EX58" s="8">
        <f t="shared" si="216"/>
        <v>0</v>
      </c>
      <c r="EY58" s="8">
        <f t="shared" si="217"/>
        <v>0</v>
      </c>
      <c r="EZ58">
        <f t="shared" si="110"/>
        <v>1191.9873102671156</v>
      </c>
      <c r="FB58">
        <f t="shared" si="111"/>
        <v>1369.3697110846936</v>
      </c>
      <c r="FC58">
        <f t="shared" si="218"/>
        <v>19.505570235559734</v>
      </c>
      <c r="FD58">
        <f t="shared" si="219"/>
        <v>1436.6604720066059</v>
      </c>
      <c r="FE58">
        <f t="shared" si="220"/>
        <v>-11.847812297826977</v>
      </c>
      <c r="FG58">
        <f t="shared" si="221"/>
        <v>13.228468855578507</v>
      </c>
      <c r="FJ58">
        <v>2.7234461423533327</v>
      </c>
    </row>
    <row r="59" spans="1:166" x14ac:dyDescent="0.3">
      <c r="D59">
        <v>2008</v>
      </c>
      <c r="E59">
        <f t="shared" si="78"/>
        <v>9.3000718218703611</v>
      </c>
      <c r="F59">
        <f t="shared" si="125"/>
        <v>0.57733734726744923</v>
      </c>
      <c r="G59">
        <f t="shared" si="126"/>
        <v>1.0635822853406722</v>
      </c>
      <c r="H59">
        <f t="shared" si="127"/>
        <v>0</v>
      </c>
      <c r="I59" s="2">
        <v>6.5610718218703603</v>
      </c>
      <c r="J59">
        <f t="shared" si="128"/>
        <v>6.5610718218703603</v>
      </c>
      <c r="K59" s="2">
        <v>0</v>
      </c>
      <c r="L59">
        <f t="shared" si="129"/>
        <v>2.7389999999999999</v>
      </c>
      <c r="M59" s="25">
        <f t="shared" si="130"/>
        <v>0</v>
      </c>
      <c r="N59" s="25">
        <f t="shared" si="131"/>
        <v>0</v>
      </c>
      <c r="O59" s="25">
        <f t="shared" si="132"/>
        <v>0</v>
      </c>
      <c r="P59" s="25">
        <f t="shared" si="133"/>
        <v>0</v>
      </c>
      <c r="Q59" s="25">
        <f t="shared" si="134"/>
        <v>0</v>
      </c>
      <c r="R59" s="25">
        <f t="shared" si="135"/>
        <v>0</v>
      </c>
      <c r="S59" s="25">
        <f t="shared" si="136"/>
        <v>0</v>
      </c>
      <c r="T59" s="25">
        <f t="shared" si="137"/>
        <v>0</v>
      </c>
      <c r="U59" s="25">
        <f t="shared" si="138"/>
        <v>0</v>
      </c>
      <c r="V59">
        <f t="shared" si="8"/>
        <v>0</v>
      </c>
      <c r="W59">
        <f t="shared" si="139"/>
        <v>1.7262887115335681</v>
      </c>
      <c r="X59">
        <f t="shared" si="140"/>
        <v>8.1519189155751839</v>
      </c>
      <c r="Y59">
        <f t="shared" si="141"/>
        <v>17.870284995319714</v>
      </c>
      <c r="Z59">
        <f t="shared" si="142"/>
        <v>3.8042288272684188</v>
      </c>
      <c r="AA59">
        <f t="shared" si="143"/>
        <v>1.0229859031310033</v>
      </c>
      <c r="AB59">
        <f t="shared" si="144"/>
        <v>0.25574647578275084</v>
      </c>
      <c r="AC59">
        <f t="shared" si="145"/>
        <v>0.19180985683706314</v>
      </c>
      <c r="AD59">
        <f t="shared" si="146"/>
        <v>3.1968309472843855E-2</v>
      </c>
      <c r="AE59">
        <f t="shared" si="147"/>
        <v>3.1968309472843855E-2</v>
      </c>
      <c r="AF59">
        <f t="shared" si="17"/>
        <v>33.087200304393384</v>
      </c>
      <c r="AG59" s="2">
        <v>5.6500000000000002E-2</v>
      </c>
      <c r="AH59" s="2">
        <v>6.0299999999999999E-2</v>
      </c>
      <c r="AI59" s="2">
        <v>8.77E-2</v>
      </c>
      <c r="AJ59" s="2">
        <v>0.10340000000000001</v>
      </c>
      <c r="AK59" s="2">
        <v>0.11559999999999999</v>
      </c>
      <c r="AL59" s="2">
        <v>0.13150000000000001</v>
      </c>
      <c r="AM59" s="2">
        <v>0.14499999999999999</v>
      </c>
      <c r="AN59" s="2">
        <v>0.13900000000000001</v>
      </c>
      <c r="AO59" s="2">
        <v>0.16200000000000001</v>
      </c>
      <c r="AP59">
        <f t="shared" si="119"/>
        <v>8.2781256038647347E-2</v>
      </c>
      <c r="AQ59" s="2">
        <v>54</v>
      </c>
      <c r="AR59" s="2">
        <v>255</v>
      </c>
      <c r="AS59" s="2">
        <v>559</v>
      </c>
      <c r="AT59" s="2">
        <v>119</v>
      </c>
      <c r="AU59" s="2">
        <v>32</v>
      </c>
      <c r="AV59" s="2">
        <v>8</v>
      </c>
      <c r="AW59" s="2">
        <v>6</v>
      </c>
      <c r="AX59" s="2">
        <v>1</v>
      </c>
      <c r="AY59" s="2">
        <v>1</v>
      </c>
      <c r="AZ59">
        <f t="shared" si="83"/>
        <v>1035</v>
      </c>
      <c r="BA59">
        <f t="shared" si="148"/>
        <v>2008</v>
      </c>
      <c r="BB59">
        <f t="shared" si="222"/>
        <v>0.95868838151760827</v>
      </c>
      <c r="BC59">
        <f t="shared" si="123"/>
        <v>0.85944240144113382</v>
      </c>
      <c r="BD59">
        <f t="shared" si="149"/>
        <v>4.1351968680744022</v>
      </c>
      <c r="BE59">
        <f t="shared" si="150"/>
        <v>19.527318543684675</v>
      </c>
      <c r="BF59">
        <f t="shared" si="151"/>
        <v>42.806945356547978</v>
      </c>
      <c r="BG59">
        <f t="shared" si="152"/>
        <v>9.1127486537195157</v>
      </c>
      <c r="BH59">
        <f t="shared" si="153"/>
        <v>2.4504870329329789</v>
      </c>
      <c r="BI59">
        <f t="shared" si="154"/>
        <v>0.61262175823324472</v>
      </c>
      <c r="BJ59">
        <f t="shared" si="155"/>
        <v>0.45946631867493359</v>
      </c>
      <c r="BK59">
        <f t="shared" si="156"/>
        <v>7.657771977915559E-2</v>
      </c>
      <c r="BL59">
        <f t="shared" si="157"/>
        <v>7.657771977915559E-2</v>
      </c>
      <c r="BM59" s="24">
        <f t="shared" si="158"/>
        <v>208.60345056763109</v>
      </c>
      <c r="BN59" s="24">
        <f t="shared" si="159"/>
        <v>60.026246371581408</v>
      </c>
      <c r="BO59" s="24">
        <f t="shared" si="160"/>
        <v>68.553663878286471</v>
      </c>
      <c r="BP59" s="24">
        <f t="shared" si="161"/>
        <v>13.442601641015443</v>
      </c>
      <c r="BQ59" s="24">
        <f t="shared" si="162"/>
        <v>3.4739060910153059</v>
      </c>
      <c r="BR59" s="24">
        <f t="shared" si="163"/>
        <v>0.61409951599982715</v>
      </c>
      <c r="BS59" s="24">
        <f t="shared" si="164"/>
        <v>0.46035043638840811</v>
      </c>
      <c r="BT59" s="24">
        <f t="shared" si="165"/>
        <v>7.6913189681160399E-2</v>
      </c>
      <c r="BU59" s="23">
        <f t="shared" si="166"/>
        <v>7.6677719779155593E-2</v>
      </c>
      <c r="BV59">
        <f t="shared" si="167"/>
        <v>4.8032922763887624</v>
      </c>
      <c r="BW59">
        <v>0.68833204701557549</v>
      </c>
      <c r="BX59" s="2">
        <v>2.7389999999999999</v>
      </c>
      <c r="CJ59">
        <v>2008</v>
      </c>
      <c r="CK59">
        <f t="shared" si="168"/>
        <v>726</v>
      </c>
      <c r="CL59">
        <f t="shared" si="169"/>
        <v>86.698212472165778</v>
      </c>
      <c r="CM59" s="9">
        <f t="shared" si="170"/>
        <v>0.76997245179063356</v>
      </c>
      <c r="CN59" s="9">
        <f t="shared" si="171"/>
        <v>0.16391184573002754</v>
      </c>
      <c r="CO59" s="9">
        <f t="shared" si="172"/>
        <v>4.4077134986225897E-2</v>
      </c>
      <c r="CP59" s="9">
        <f t="shared" si="173"/>
        <v>1.1019283746556474E-2</v>
      </c>
      <c r="CQ59" s="27">
        <f t="shared" si="38"/>
        <v>8.2644628099173556E-3</v>
      </c>
      <c r="CR59" s="27">
        <f t="shared" si="39"/>
        <v>1.3774104683195593E-3</v>
      </c>
      <c r="CS59" s="27">
        <f t="shared" si="40"/>
        <v>1.3774104683195593E-3</v>
      </c>
      <c r="CT59" s="29">
        <f t="shared" si="174"/>
        <v>0.79071600121277508</v>
      </c>
      <c r="CU59" s="9">
        <f t="shared" si="175"/>
        <v>0.15505050516850222</v>
      </c>
      <c r="CV59" s="9">
        <f t="shared" si="176"/>
        <v>4.0068947120802452E-2</v>
      </c>
      <c r="CW59" s="9">
        <f t="shared" si="177"/>
        <v>7.0831854370351881E-3</v>
      </c>
      <c r="CX59" s="9">
        <f t="shared" si="178"/>
        <v>5.3098030889183832E-3</v>
      </c>
      <c r="CY59" s="9">
        <f t="shared" si="179"/>
        <v>8.8713697189377657E-4</v>
      </c>
      <c r="CZ59" s="9">
        <f t="shared" si="180"/>
        <v>8.8442100007278426E-4</v>
      </c>
      <c r="DA59">
        <f t="shared" si="181"/>
        <v>-0.74532860481207586</v>
      </c>
      <c r="DB59">
        <f t="shared" si="182"/>
        <v>-0.73726163117428811</v>
      </c>
      <c r="DC59">
        <f t="shared" si="124"/>
        <v>100</v>
      </c>
      <c r="DD59">
        <f t="shared" si="183"/>
        <v>13.142864886940304</v>
      </c>
      <c r="DE59">
        <f t="shared" si="184"/>
        <v>26.312538908972421</v>
      </c>
      <c r="DF59">
        <f t="shared" si="185"/>
        <v>21.7522795841932</v>
      </c>
      <c r="DG59">
        <f t="shared" si="186"/>
        <v>4.3298529872959275</v>
      </c>
      <c r="DH59">
        <f t="shared" si="187"/>
        <v>1.023419058082327</v>
      </c>
      <c r="DI59">
        <f t="shared" si="188"/>
        <v>1.4777577665824326E-3</v>
      </c>
      <c r="DJ59">
        <f t="shared" si="189"/>
        <v>8.8411771347451928E-4</v>
      </c>
      <c r="DK59">
        <f t="shared" si="190"/>
        <v>3.3546990200480908E-4</v>
      </c>
      <c r="DL59">
        <f t="shared" si="191"/>
        <v>1.0000000000000286E-4</v>
      </c>
      <c r="DM59">
        <f t="shared" si="192"/>
        <v>2008</v>
      </c>
      <c r="DN59" s="9" t="str">
        <f t="shared" si="193"/>
        <v/>
      </c>
      <c r="DO59" s="9" t="str">
        <f t="shared" si="194"/>
        <v/>
      </c>
      <c r="DP59" s="9" t="str">
        <f t="shared" si="195"/>
        <v/>
      </c>
      <c r="DQ59" s="9" t="str">
        <f t="shared" si="196"/>
        <v/>
      </c>
      <c r="DR59" s="9" t="str">
        <f t="shared" si="197"/>
        <v/>
      </c>
      <c r="DS59" s="9" t="str">
        <f t="shared" si="198"/>
        <v/>
      </c>
      <c r="DT59" s="9" t="str">
        <f t="shared" si="199"/>
        <v/>
      </c>
      <c r="DU59" s="9" t="str">
        <f t="shared" si="200"/>
        <v/>
      </c>
      <c r="DV59" s="9" t="str">
        <f t="shared" si="201"/>
        <v/>
      </c>
      <c r="DW59">
        <f t="shared" si="202"/>
        <v>0</v>
      </c>
      <c r="DX59">
        <f t="shared" si="96"/>
        <v>2008</v>
      </c>
      <c r="DY59" s="9" t="str">
        <f t="shared" si="223"/>
        <v/>
      </c>
      <c r="DZ59" s="9" t="str">
        <f t="shared" si="224"/>
        <v/>
      </c>
      <c r="EA59" s="9" t="str">
        <f t="shared" si="99"/>
        <v/>
      </c>
      <c r="EB59" s="9" t="str">
        <f t="shared" si="100"/>
        <v/>
      </c>
      <c r="EC59" s="9" t="str">
        <f t="shared" si="101"/>
        <v/>
      </c>
      <c r="ED59" s="9" t="str">
        <f t="shared" si="102"/>
        <v/>
      </c>
      <c r="EE59" s="9" t="str">
        <f t="shared" si="103"/>
        <v/>
      </c>
      <c r="EF59" s="9" t="str">
        <f t="shared" si="104"/>
        <v/>
      </c>
      <c r="EG59" s="9" t="str">
        <f t="shared" si="105"/>
        <v/>
      </c>
      <c r="EI59">
        <f t="shared" si="203"/>
        <v>726</v>
      </c>
      <c r="EJ59" s="8">
        <f t="shared" si="204"/>
        <v>2981.3997178391974</v>
      </c>
      <c r="EK59" s="8">
        <f t="shared" si="205"/>
        <v>453.02489623849613</v>
      </c>
      <c r="EL59" s="8">
        <f t="shared" si="206"/>
        <v>81.557959456115029</v>
      </c>
      <c r="EM59" s="8">
        <f t="shared" si="207"/>
        <v>10.604602902745253</v>
      </c>
      <c r="EN59" s="8">
        <f t="shared" si="208"/>
        <v>6.5792512120101012</v>
      </c>
      <c r="EO59" s="8">
        <f t="shared" si="209"/>
        <v>0</v>
      </c>
      <c r="EP59" s="8">
        <f t="shared" si="210"/>
        <v>0</v>
      </c>
      <c r="EQ59">
        <f t="shared" si="108"/>
        <v>3533.166427648564</v>
      </c>
      <c r="ES59" s="8">
        <f t="shared" si="211"/>
        <v>3079.5461984851831</v>
      </c>
      <c r="ET59" s="8">
        <f t="shared" si="212"/>
        <v>468.84002476154836</v>
      </c>
      <c r="EU59" s="8">
        <f t="shared" si="213"/>
        <v>82.623935884495495</v>
      </c>
      <c r="EV59" s="8">
        <f t="shared" si="214"/>
        <v>7.5864396380641645</v>
      </c>
      <c r="EW59" s="8">
        <f t="shared" si="215"/>
        <v>3.3771126939996909</v>
      </c>
      <c r="EX59" s="8">
        <f t="shared" si="216"/>
        <v>-3.5665869667116681</v>
      </c>
      <c r="EY59" s="8">
        <f t="shared" si="217"/>
        <v>-3.569653164930227</v>
      </c>
      <c r="EZ59">
        <f t="shared" si="110"/>
        <v>3634.8374713316489</v>
      </c>
      <c r="FB59">
        <f t="shared" si="111"/>
        <v>4060.7741390876172</v>
      </c>
      <c r="FC59">
        <f t="shared" si="218"/>
        <v>77.562658018101587</v>
      </c>
      <c r="FD59">
        <f t="shared" si="219"/>
        <v>4264.6433261193961</v>
      </c>
      <c r="FE59">
        <f t="shared" si="220"/>
        <v>-24.635485330592473</v>
      </c>
      <c r="FG59">
        <f t="shared" si="221"/>
        <v>31.466116564585636</v>
      </c>
      <c r="FJ59">
        <v>2.9855768814513159</v>
      </c>
    </row>
    <row r="60" spans="1:166" x14ac:dyDescent="0.3">
      <c r="D60">
        <v>2009</v>
      </c>
      <c r="E60">
        <f t="shared" si="78"/>
        <v>17.916571994062345</v>
      </c>
      <c r="F60">
        <f t="shared" si="125"/>
        <v>0.47987196596045556</v>
      </c>
      <c r="G60">
        <f t="shared" si="126"/>
        <v>0.92313777315006729</v>
      </c>
      <c r="H60">
        <f t="shared" si="127"/>
        <v>0</v>
      </c>
      <c r="I60" s="2">
        <v>7.3095719940623454</v>
      </c>
      <c r="J60">
        <f t="shared" si="128"/>
        <v>7.3095719940623454</v>
      </c>
      <c r="K60" s="2">
        <v>0</v>
      </c>
      <c r="L60">
        <f t="shared" si="129"/>
        <v>10.606999999999999</v>
      </c>
      <c r="M60" s="25">
        <f t="shared" si="130"/>
        <v>0</v>
      </c>
      <c r="N60" s="25">
        <f t="shared" si="131"/>
        <v>0</v>
      </c>
      <c r="O60" s="25">
        <f t="shared" si="132"/>
        <v>0</v>
      </c>
      <c r="P60" s="25">
        <f t="shared" si="133"/>
        <v>0</v>
      </c>
      <c r="Q60" s="25">
        <f t="shared" si="134"/>
        <v>0</v>
      </c>
      <c r="R60" s="25">
        <f t="shared" si="135"/>
        <v>0</v>
      </c>
      <c r="S60" s="25">
        <f t="shared" si="136"/>
        <v>0</v>
      </c>
      <c r="T60" s="25">
        <f t="shared" si="137"/>
        <v>0</v>
      </c>
      <c r="U60" s="25">
        <f t="shared" si="138"/>
        <v>0</v>
      </c>
      <c r="V60">
        <f t="shared" si="8"/>
        <v>0</v>
      </c>
      <c r="W60">
        <f t="shared" si="139"/>
        <v>3.2346819607367476</v>
      </c>
      <c r="X60">
        <f t="shared" si="140"/>
        <v>88.512660925614639</v>
      </c>
      <c r="Y60">
        <f t="shared" si="141"/>
        <v>20.878401746573555</v>
      </c>
      <c r="Z60">
        <f t="shared" si="142"/>
        <v>16.908564794760274</v>
      </c>
      <c r="AA60">
        <f t="shared" si="143"/>
        <v>3.0141354634137874</v>
      </c>
      <c r="AB60">
        <f t="shared" si="144"/>
        <v>0.73515499107653359</v>
      </c>
      <c r="AC60">
        <f t="shared" si="145"/>
        <v>0</v>
      </c>
      <c r="AD60">
        <f t="shared" si="146"/>
        <v>0</v>
      </c>
      <c r="AE60">
        <f t="shared" si="147"/>
        <v>0</v>
      </c>
      <c r="AF60">
        <f t="shared" si="17"/>
        <v>133.28359988217557</v>
      </c>
      <c r="AG60" s="2">
        <v>4.6100000000000002E-2</v>
      </c>
      <c r="AH60" s="2">
        <v>7.5300000000000006E-2</v>
      </c>
      <c r="AI60" s="2">
        <v>7.7700000000000005E-2</v>
      </c>
      <c r="AJ60" s="2">
        <v>0.1038</v>
      </c>
      <c r="AK60" s="2">
        <v>0.1101</v>
      </c>
      <c r="AL60" s="2">
        <v>0.1138</v>
      </c>
      <c r="AM60" s="2">
        <v>0.1439</v>
      </c>
      <c r="AN60" s="2">
        <v>0.15770000000000001</v>
      </c>
      <c r="AO60" s="2">
        <v>0.15340000000000001</v>
      </c>
      <c r="AP60">
        <f t="shared" si="119"/>
        <v>7.9582184225041389E-2</v>
      </c>
      <c r="AQ60" s="2">
        <v>44</v>
      </c>
      <c r="AR60" s="2">
        <v>1204</v>
      </c>
      <c r="AS60" s="2">
        <v>284</v>
      </c>
      <c r="AT60" s="2">
        <v>230</v>
      </c>
      <c r="AU60" s="2">
        <v>41</v>
      </c>
      <c r="AV60" s="2">
        <v>10</v>
      </c>
      <c r="AW60" s="2">
        <v>0</v>
      </c>
      <c r="AX60" s="2">
        <v>0</v>
      </c>
      <c r="AY60" s="2">
        <v>0</v>
      </c>
      <c r="AZ60">
        <f t="shared" si="83"/>
        <v>1813</v>
      </c>
      <c r="BA60">
        <f t="shared" si="148"/>
        <v>2009</v>
      </c>
      <c r="BB60">
        <f t="shared" si="222"/>
        <v>0.11506581244594999</v>
      </c>
      <c r="BC60">
        <f t="shared" si="123"/>
        <v>1.1900312269299895</v>
      </c>
      <c r="BD60">
        <f t="shared" si="149"/>
        <v>2.2291072565192809</v>
      </c>
      <c r="BE60">
        <f t="shared" si="150"/>
        <v>60.996480382936682</v>
      </c>
      <c r="BF60">
        <f t="shared" si="151"/>
        <v>14.387874110260812</v>
      </c>
      <c r="BG60">
        <f t="shared" si="152"/>
        <v>11.652151568168968</v>
      </c>
      <c r="BH60">
        <f t="shared" si="153"/>
        <v>2.0771226708475115</v>
      </c>
      <c r="BI60">
        <f t="shared" si="154"/>
        <v>0.50661528557256386</v>
      </c>
      <c r="BJ60">
        <f t="shared" si="155"/>
        <v>0</v>
      </c>
      <c r="BK60">
        <f t="shared" si="156"/>
        <v>0</v>
      </c>
      <c r="BL60">
        <f t="shared" si="157"/>
        <v>0</v>
      </c>
      <c r="BM60" s="24">
        <f t="shared" si="158"/>
        <v>129.59462972213939</v>
      </c>
      <c r="BN60" s="24">
        <f t="shared" si="159"/>
        <v>167.00285027274364</v>
      </c>
      <c r="BO60" s="24">
        <f t="shared" si="160"/>
        <v>33.078108045627275</v>
      </c>
      <c r="BP60" s="24">
        <f t="shared" si="161"/>
        <v>21.028989601644081</v>
      </c>
      <c r="BQ60" s="24">
        <f t="shared" si="162"/>
        <v>3.3049495082798224</v>
      </c>
      <c r="BR60" s="24">
        <f t="shared" si="163"/>
        <v>0.71365015736468784</v>
      </c>
      <c r="BS60" s="24">
        <f t="shared" si="164"/>
        <v>8.517284755556521E-4</v>
      </c>
      <c r="BT60" s="24">
        <f t="shared" si="165"/>
        <v>4.127221539436506E-4</v>
      </c>
      <c r="BU60" s="23">
        <f t="shared" si="166"/>
        <v>1E-4</v>
      </c>
      <c r="BV60">
        <f t="shared" si="167"/>
        <v>7.9227660305862955</v>
      </c>
      <c r="BW60">
        <v>0.91637839117738618</v>
      </c>
      <c r="BX60" s="2">
        <v>10.606999999999999</v>
      </c>
      <c r="CJ60">
        <v>2009</v>
      </c>
      <c r="CK60">
        <f t="shared" si="168"/>
        <v>565</v>
      </c>
      <c r="CL60">
        <f t="shared" si="169"/>
        <v>58.12706176354537</v>
      </c>
      <c r="CM60" s="9">
        <f t="shared" si="170"/>
        <v>0.50265486725663722</v>
      </c>
      <c r="CN60" s="9">
        <f t="shared" si="171"/>
        <v>0.40707964601769914</v>
      </c>
      <c r="CO60" s="9">
        <f t="shared" si="172"/>
        <v>7.2566371681415928E-2</v>
      </c>
      <c r="CP60" s="9">
        <f t="shared" si="173"/>
        <v>1.7699115044247787E-2</v>
      </c>
      <c r="CQ60" s="27">
        <f t="shared" si="38"/>
        <v>0</v>
      </c>
      <c r="CR60" s="27">
        <f t="shared" si="39"/>
        <v>0</v>
      </c>
      <c r="CS60" s="27">
        <f t="shared" si="40"/>
        <v>0</v>
      </c>
      <c r="CT60" s="29">
        <f t="shared" si="174"/>
        <v>0.56906554437906143</v>
      </c>
      <c r="CU60" s="9">
        <f t="shared" si="175"/>
        <v>0.36177623577788515</v>
      </c>
      <c r="CV60" s="9">
        <f t="shared" si="176"/>
        <v>5.6857329581254272E-2</v>
      </c>
      <c r="CW60" s="9">
        <f t="shared" si="177"/>
        <v>1.2277416675003113E-2</v>
      </c>
      <c r="CX60" s="9">
        <f t="shared" si="178"/>
        <v>1.4652873372825756E-5</v>
      </c>
      <c r="CY60" s="9">
        <f t="shared" si="179"/>
        <v>7.1003443391403453E-6</v>
      </c>
      <c r="CZ60" s="9">
        <f t="shared" si="180"/>
        <v>1.7203690839696876E-6</v>
      </c>
      <c r="DA60">
        <f t="shared" si="181"/>
        <v>-0.98320068326487498</v>
      </c>
      <c r="DB60">
        <f t="shared" si="182"/>
        <v>-0.97854812338059616</v>
      </c>
      <c r="DC60">
        <f t="shared" si="124"/>
        <v>100</v>
      </c>
      <c r="DD60">
        <f t="shared" si="183"/>
        <v>8.1868349865201324</v>
      </c>
      <c r="DE60">
        <f t="shared" si="184"/>
        <v>68.873347565589782</v>
      </c>
      <c r="DF60">
        <f t="shared" si="185"/>
        <v>15.790563512503693</v>
      </c>
      <c r="DG60">
        <f t="shared" si="186"/>
        <v>9.3768380334751136</v>
      </c>
      <c r="DH60">
        <f t="shared" si="187"/>
        <v>1.2278268374323109</v>
      </c>
      <c r="DI60">
        <f t="shared" si="188"/>
        <v>0.20703487179212399</v>
      </c>
      <c r="DJ60">
        <f t="shared" si="189"/>
        <v>8.517284755556521E-4</v>
      </c>
      <c r="DK60">
        <f t="shared" si="190"/>
        <v>4.127221539436506E-4</v>
      </c>
      <c r="DL60">
        <f t="shared" si="191"/>
        <v>1E-4</v>
      </c>
      <c r="DM60">
        <f t="shared" si="192"/>
        <v>2009</v>
      </c>
      <c r="DN60" s="9" t="str">
        <f t="shared" si="193"/>
        <v/>
      </c>
      <c r="DO60" s="9" t="str">
        <f t="shared" si="194"/>
        <v/>
      </c>
      <c r="DP60" s="9" t="str">
        <f t="shared" si="195"/>
        <v/>
      </c>
      <c r="DQ60" s="9" t="str">
        <f t="shared" si="196"/>
        <v/>
      </c>
      <c r="DR60" s="9" t="str">
        <f t="shared" si="197"/>
        <v/>
      </c>
      <c r="DS60" s="9" t="str">
        <f t="shared" si="198"/>
        <v/>
      </c>
      <c r="DT60" s="9" t="str">
        <f t="shared" si="199"/>
        <v/>
      </c>
      <c r="DU60" s="9" t="str">
        <f t="shared" si="200"/>
        <v/>
      </c>
      <c r="DV60" s="9" t="str">
        <f t="shared" si="201"/>
        <v/>
      </c>
      <c r="DW60">
        <f t="shared" si="202"/>
        <v>0</v>
      </c>
      <c r="DX60">
        <f t="shared" si="96"/>
        <v>2009</v>
      </c>
      <c r="DY60" s="9" t="str">
        <f t="shared" si="223"/>
        <v/>
      </c>
      <c r="DZ60" s="9" t="str">
        <f t="shared" si="224"/>
        <v/>
      </c>
      <c r="EA60" s="9" t="str">
        <f t="shared" si="99"/>
        <v/>
      </c>
      <c r="EB60" s="9" t="str">
        <f t="shared" si="100"/>
        <v/>
      </c>
      <c r="EC60" s="9" t="str">
        <f t="shared" si="101"/>
        <v/>
      </c>
      <c r="ED60" s="9" t="str">
        <f t="shared" si="102"/>
        <v/>
      </c>
      <c r="EE60" s="9" t="str">
        <f t="shared" si="103"/>
        <v/>
      </c>
      <c r="EF60" s="9" t="str">
        <f t="shared" si="104"/>
        <v/>
      </c>
      <c r="EG60" s="9" t="str">
        <f t="shared" si="105"/>
        <v/>
      </c>
      <c r="EI60">
        <f t="shared" si="203"/>
        <v>565</v>
      </c>
      <c r="EJ60" s="8">
        <f t="shared" si="204"/>
        <v>1324.0524027171766</v>
      </c>
      <c r="EK60" s="8">
        <f t="shared" si="205"/>
        <v>1024.3965815586134</v>
      </c>
      <c r="EL60" s="8">
        <f t="shared" si="206"/>
        <v>114.03421178146169</v>
      </c>
      <c r="EM60" s="8">
        <f t="shared" si="207"/>
        <v>15.104412573075518</v>
      </c>
      <c r="EN60" s="8">
        <f t="shared" si="208"/>
        <v>0</v>
      </c>
      <c r="EO60" s="8">
        <f t="shared" si="209"/>
        <v>0</v>
      </c>
      <c r="EP60" s="8">
        <f t="shared" si="210"/>
        <v>0</v>
      </c>
      <c r="EQ60">
        <f t="shared" si="108"/>
        <v>2477.5876086303274</v>
      </c>
      <c r="ES60" s="8">
        <f t="shared" si="211"/>
        <v>1375.5728135484469</v>
      </c>
      <c r="ET60" s="8">
        <f t="shared" si="212"/>
        <v>1057.3387531226456</v>
      </c>
      <c r="EU60" s="8">
        <f t="shared" si="213"/>
        <v>115.68074764943805</v>
      </c>
      <c r="EV60" s="8">
        <f t="shared" si="214"/>
        <v>12.410912681469263</v>
      </c>
      <c r="EW60" s="8">
        <f t="shared" si="215"/>
        <v>0</v>
      </c>
      <c r="EX60" s="8">
        <f t="shared" si="216"/>
        <v>0</v>
      </c>
      <c r="EY60" s="8">
        <f t="shared" si="217"/>
        <v>0</v>
      </c>
      <c r="EZ60">
        <f t="shared" si="110"/>
        <v>2561.0032270019997</v>
      </c>
      <c r="FB60">
        <f t="shared" si="111"/>
        <v>3019.394036989127</v>
      </c>
      <c r="FC60">
        <f t="shared" si="218"/>
        <v>54.094884877886663</v>
      </c>
      <c r="FD60">
        <f t="shared" si="219"/>
        <v>3170.6236894992398</v>
      </c>
      <c r="FE60">
        <f t="shared" si="220"/>
        <v>-13.719149260553877</v>
      </c>
      <c r="FG60">
        <f t="shared" si="221"/>
        <v>24.700537575760411</v>
      </c>
      <c r="FJ60">
        <v>7.210057486830757</v>
      </c>
    </row>
    <row r="61" spans="1:166" x14ac:dyDescent="0.3">
      <c r="D61">
        <v>2010</v>
      </c>
      <c r="E61">
        <f t="shared" si="78"/>
        <v>10.7366812</v>
      </c>
      <c r="F61">
        <f t="shared" si="125"/>
        <v>0.53029284277904254</v>
      </c>
      <c r="G61">
        <f t="shared" si="126"/>
        <v>0.94186467625846793</v>
      </c>
      <c r="H61">
        <f t="shared" si="127"/>
        <v>0</v>
      </c>
      <c r="I61" s="2">
        <v>8.2726811999999992</v>
      </c>
      <c r="J61">
        <f t="shared" si="128"/>
        <v>8.2726811999999992</v>
      </c>
      <c r="K61" s="2">
        <v>0</v>
      </c>
      <c r="L61">
        <f t="shared" si="129"/>
        <v>2.464</v>
      </c>
      <c r="M61" s="25">
        <f t="shared" si="130"/>
        <v>0</v>
      </c>
      <c r="N61" s="25">
        <f t="shared" si="131"/>
        <v>0</v>
      </c>
      <c r="O61" s="25">
        <f t="shared" si="132"/>
        <v>0</v>
      </c>
      <c r="P61" s="25">
        <f t="shared" si="133"/>
        <v>0</v>
      </c>
      <c r="Q61" s="25">
        <f t="shared" si="134"/>
        <v>0</v>
      </c>
      <c r="R61" s="25">
        <f t="shared" si="135"/>
        <v>0</v>
      </c>
      <c r="S61" s="25">
        <f t="shared" si="136"/>
        <v>0</v>
      </c>
      <c r="T61" s="25">
        <f t="shared" si="137"/>
        <v>0</v>
      </c>
      <c r="U61" s="25">
        <f t="shared" si="138"/>
        <v>0</v>
      </c>
      <c r="V61">
        <f t="shared" si="8"/>
        <v>0</v>
      </c>
      <c r="W61">
        <f t="shared" si="139"/>
        <v>5.7463891159885137</v>
      </c>
      <c r="X61">
        <f t="shared" si="140"/>
        <v>9.6365008490032089</v>
      </c>
      <c r="Y61">
        <f t="shared" si="141"/>
        <v>13.865584973691384</v>
      </c>
      <c r="Z61">
        <f t="shared" si="142"/>
        <v>1.6948619583673987</v>
      </c>
      <c r="AA61">
        <f t="shared" si="143"/>
        <v>1.468880363918412</v>
      </c>
      <c r="AB61">
        <f t="shared" si="144"/>
        <v>0.22598159444898647</v>
      </c>
      <c r="AC61">
        <f t="shared" si="145"/>
        <v>3.2283084921283782E-2</v>
      </c>
      <c r="AD61">
        <f t="shared" si="146"/>
        <v>0</v>
      </c>
      <c r="AE61">
        <f t="shared" si="147"/>
        <v>0</v>
      </c>
      <c r="AF61">
        <f t="shared" si="17"/>
        <v>32.670481940339187</v>
      </c>
      <c r="AG61" s="2">
        <v>4.3999999999999997E-2</v>
      </c>
      <c r="AH61" s="2">
        <v>7.0999999999999994E-2</v>
      </c>
      <c r="AI61" s="2">
        <v>8.5400000000000004E-2</v>
      </c>
      <c r="AJ61" s="2">
        <v>9.2299999999999993E-2</v>
      </c>
      <c r="AK61" s="2">
        <v>0.1065</v>
      </c>
      <c r="AL61" s="2">
        <v>0.11700000000000001</v>
      </c>
      <c r="AM61" s="2">
        <v>0.1095</v>
      </c>
      <c r="AN61" s="2">
        <v>0.15609999999999999</v>
      </c>
      <c r="AO61" s="2">
        <v>0.15870000000000001</v>
      </c>
      <c r="AP61">
        <f t="shared" si="119"/>
        <v>7.5419762845849794E-2</v>
      </c>
      <c r="AQ61" s="2">
        <v>356</v>
      </c>
      <c r="AR61" s="2">
        <v>597</v>
      </c>
      <c r="AS61" s="2">
        <v>859</v>
      </c>
      <c r="AT61" s="2">
        <v>105</v>
      </c>
      <c r="AU61" s="2">
        <v>91</v>
      </c>
      <c r="AV61" s="2">
        <v>14</v>
      </c>
      <c r="AW61" s="2">
        <v>2</v>
      </c>
      <c r="AX61" s="2">
        <v>0</v>
      </c>
      <c r="AY61" s="2">
        <v>0</v>
      </c>
      <c r="AZ61">
        <f t="shared" si="83"/>
        <v>2024</v>
      </c>
      <c r="BA61">
        <f t="shared" si="148"/>
        <v>2010</v>
      </c>
      <c r="BB61">
        <f t="shared" si="222"/>
        <v>2.4963394868264102</v>
      </c>
      <c r="BC61">
        <f t="shared" si="123"/>
        <v>0.91113229381144623</v>
      </c>
      <c r="BD61">
        <f t="shared" si="149"/>
        <v>19.293037827809574</v>
      </c>
      <c r="BE61">
        <f t="shared" si="150"/>
        <v>32.353774110118863</v>
      </c>
      <c r="BF61">
        <f t="shared" si="151"/>
        <v>46.552582848562984</v>
      </c>
      <c r="BG61">
        <f t="shared" si="152"/>
        <v>5.6903622806741714</v>
      </c>
      <c r="BH61">
        <f t="shared" si="153"/>
        <v>4.931647309917615</v>
      </c>
      <c r="BI61">
        <f t="shared" si="154"/>
        <v>0.75871497075655614</v>
      </c>
      <c r="BJ61">
        <f t="shared" si="155"/>
        <v>0.10838785296522231</v>
      </c>
      <c r="BK61">
        <f t="shared" si="156"/>
        <v>0</v>
      </c>
      <c r="BL61">
        <f t="shared" si="157"/>
        <v>0</v>
      </c>
      <c r="BM61" s="24">
        <f t="shared" si="158"/>
        <v>332.20677861705178</v>
      </c>
      <c r="BN61" s="24">
        <f t="shared" si="159"/>
        <v>97.280912891553328</v>
      </c>
      <c r="BO61" s="24">
        <f t="shared" si="160"/>
        <v>80.966925775262411</v>
      </c>
      <c r="BP61" s="24">
        <f t="shared" si="161"/>
        <v>14.275407375880505</v>
      </c>
      <c r="BQ61" s="24">
        <f t="shared" si="162"/>
        <v>6.5447375730307282</v>
      </c>
      <c r="BR61" s="24">
        <f t="shared" si="163"/>
        <v>0.7598338710183089</v>
      </c>
      <c r="BS61" s="24">
        <f t="shared" si="164"/>
        <v>0.10908428749845811</v>
      </c>
      <c r="BT61" s="24">
        <f t="shared" si="165"/>
        <v>3.1988630237312829E-4</v>
      </c>
      <c r="BU61" s="23">
        <f t="shared" si="166"/>
        <v>1E-4</v>
      </c>
      <c r="BV61">
        <f t="shared" si="167"/>
        <v>7.3275316119367879</v>
      </c>
      <c r="BW61">
        <v>0.63329806512621767</v>
      </c>
      <c r="BX61" s="2">
        <v>2.464</v>
      </c>
      <c r="CJ61">
        <v>2010</v>
      </c>
      <c r="CK61">
        <f t="shared" si="168"/>
        <v>1071</v>
      </c>
      <c r="CL61">
        <f t="shared" si="169"/>
        <v>102.6564087689928</v>
      </c>
      <c r="CM61" s="9">
        <f t="shared" si="170"/>
        <v>0.8020541549953315</v>
      </c>
      <c r="CN61" s="9">
        <f t="shared" si="171"/>
        <v>9.8039215686274508E-2</v>
      </c>
      <c r="CO61" s="9">
        <f t="shared" si="172"/>
        <v>8.4967320261437912E-2</v>
      </c>
      <c r="CP61" s="9">
        <f t="shared" si="173"/>
        <v>1.3071895424836602E-2</v>
      </c>
      <c r="CQ61" s="27">
        <f t="shared" si="38"/>
        <v>1.8674136321195146E-3</v>
      </c>
      <c r="CR61" s="27">
        <f t="shared" si="39"/>
        <v>0</v>
      </c>
      <c r="CS61" s="27">
        <f t="shared" si="40"/>
        <v>0</v>
      </c>
      <c r="CT61" s="29">
        <f t="shared" si="174"/>
        <v>0.78871769182440299</v>
      </c>
      <c r="CU61" s="9">
        <f t="shared" si="175"/>
        <v>0.1390600698686468</v>
      </c>
      <c r="CV61" s="9">
        <f t="shared" si="176"/>
        <v>6.3753813829181549E-2</v>
      </c>
      <c r="CW61" s="9">
        <f t="shared" si="177"/>
        <v>7.401718802848044E-3</v>
      </c>
      <c r="CX61" s="9">
        <f t="shared" si="178"/>
        <v>1.0626154646022142E-3</v>
      </c>
      <c r="CY61" s="9">
        <f t="shared" si="179"/>
        <v>3.1160870150149791E-6</v>
      </c>
      <c r="CZ61" s="9">
        <f t="shared" si="180"/>
        <v>9.7412330315420918E-7</v>
      </c>
      <c r="DA61">
        <f t="shared" si="181"/>
        <v>-0.69458430650477698</v>
      </c>
      <c r="DB61">
        <f t="shared" si="182"/>
        <v>-0.68865466142484655</v>
      </c>
      <c r="DC61">
        <f t="shared" si="124"/>
        <v>100</v>
      </c>
      <c r="DD61">
        <f t="shared" si="183"/>
        <v>20.113552798778503</v>
      </c>
      <c r="DE61">
        <f t="shared" si="184"/>
        <v>42.183780091530146</v>
      </c>
      <c r="DF61">
        <f t="shared" si="185"/>
        <v>29.075177421768021</v>
      </c>
      <c r="DG61">
        <f t="shared" si="186"/>
        <v>8.5850450952063326</v>
      </c>
      <c r="DH61">
        <f t="shared" si="187"/>
        <v>1.6130902631131132</v>
      </c>
      <c r="DI61">
        <f t="shared" si="188"/>
        <v>1.1189002617527644E-3</v>
      </c>
      <c r="DJ61">
        <f t="shared" si="189"/>
        <v>6.9643453323579851E-4</v>
      </c>
      <c r="DK61">
        <f t="shared" si="190"/>
        <v>3.1988630237312829E-4</v>
      </c>
      <c r="DL61">
        <f t="shared" si="191"/>
        <v>1E-4</v>
      </c>
      <c r="DM61">
        <f t="shared" si="192"/>
        <v>2010</v>
      </c>
      <c r="DN61" s="9" t="str">
        <f t="shared" si="193"/>
        <v/>
      </c>
      <c r="DO61" s="9" t="str">
        <f t="shared" si="194"/>
        <v/>
      </c>
      <c r="DP61" s="9" t="str">
        <f t="shared" si="195"/>
        <v/>
      </c>
      <c r="DQ61" s="9" t="str">
        <f t="shared" si="196"/>
        <v/>
      </c>
      <c r="DR61" s="9" t="str">
        <f t="shared" si="197"/>
        <v/>
      </c>
      <c r="DS61" s="9" t="str">
        <f t="shared" si="198"/>
        <v/>
      </c>
      <c r="DT61" s="9" t="str">
        <f t="shared" si="199"/>
        <v/>
      </c>
      <c r="DU61" s="9" t="str">
        <f t="shared" si="200"/>
        <v/>
      </c>
      <c r="DV61" s="9" t="str">
        <f t="shared" si="201"/>
        <v/>
      </c>
      <c r="DW61">
        <f t="shared" si="202"/>
        <v>0</v>
      </c>
      <c r="DX61">
        <f t="shared" si="96"/>
        <v>2010</v>
      </c>
      <c r="DY61" s="9" t="str">
        <f t="shared" si="223"/>
        <v/>
      </c>
      <c r="DZ61" s="9" t="str">
        <f t="shared" si="224"/>
        <v/>
      </c>
      <c r="EA61" s="9" t="str">
        <f t="shared" si="99"/>
        <v/>
      </c>
      <c r="EB61" s="9" t="str">
        <f t="shared" si="100"/>
        <v/>
      </c>
      <c r="EC61" s="9" t="str">
        <f t="shared" si="101"/>
        <v/>
      </c>
      <c r="ED61" s="9" t="str">
        <f t="shared" si="102"/>
        <v/>
      </c>
      <c r="EE61" s="9" t="str">
        <f t="shared" si="103"/>
        <v/>
      </c>
      <c r="EF61" s="9" t="str">
        <f t="shared" si="104"/>
        <v/>
      </c>
      <c r="EG61" s="9" t="str">
        <f t="shared" si="105"/>
        <v/>
      </c>
      <c r="EI61">
        <f t="shared" si="203"/>
        <v>1071</v>
      </c>
      <c r="EJ61" s="8">
        <f t="shared" si="204"/>
        <v>4948.5024239906979</v>
      </c>
      <c r="EK61" s="8">
        <f t="shared" si="205"/>
        <v>386.9125491232175</v>
      </c>
      <c r="EL61" s="8">
        <f t="shared" si="206"/>
        <v>322.66349912672621</v>
      </c>
      <c r="EM61" s="8">
        <f t="shared" si="207"/>
        <v>25.191221182738683</v>
      </c>
      <c r="EN61" s="8">
        <f t="shared" si="208"/>
        <v>0.6931471805599454</v>
      </c>
      <c r="EO61" s="8">
        <f t="shared" si="209"/>
        <v>0</v>
      </c>
      <c r="EP61" s="8">
        <f t="shared" si="210"/>
        <v>0</v>
      </c>
      <c r="EQ61">
        <f t="shared" si="108"/>
        <v>5683.9628406039401</v>
      </c>
      <c r="ES61" s="8">
        <f t="shared" si="211"/>
        <v>5096.9276362704104</v>
      </c>
      <c r="ET61" s="8">
        <f t="shared" si="212"/>
        <v>407.11014427268066</v>
      </c>
      <c r="EU61" s="8">
        <f t="shared" si="213"/>
        <v>331.00721994585871</v>
      </c>
      <c r="EV61" s="8">
        <f t="shared" si="214"/>
        <v>22.520381513343327</v>
      </c>
      <c r="EW61" s="8">
        <f t="shared" si="215"/>
        <v>-2.9485841567329119</v>
      </c>
      <c r="EX61" s="8">
        <f t="shared" si="216"/>
        <v>0</v>
      </c>
      <c r="EY61" s="8">
        <f t="shared" si="217"/>
        <v>0</v>
      </c>
      <c r="EZ61">
        <f t="shared" si="110"/>
        <v>5854.6167978455605</v>
      </c>
      <c r="FB61">
        <f t="shared" si="111"/>
        <v>6405.0759738268671</v>
      </c>
      <c r="FC61">
        <f t="shared" si="218"/>
        <v>132.87583963582111</v>
      </c>
      <c r="FD61">
        <f t="shared" si="219"/>
        <v>6726.8427377101716</v>
      </c>
      <c r="FE61">
        <f t="shared" si="220"/>
        <v>-18.236967005863335</v>
      </c>
      <c r="FG61">
        <f t="shared" si="221"/>
        <v>45.96378582635397</v>
      </c>
      <c r="FJ61">
        <v>3.2967181865799349</v>
      </c>
    </row>
    <row r="62" spans="1:166" x14ac:dyDescent="0.3">
      <c r="D62">
        <v>2011</v>
      </c>
      <c r="E62">
        <f t="shared" si="78"/>
        <v>18.434486392874813</v>
      </c>
      <c r="F62">
        <f t="shared" si="125"/>
        <v>0.42718487263365412</v>
      </c>
      <c r="G62">
        <f t="shared" si="126"/>
        <v>0.75451498153799978</v>
      </c>
      <c r="H62">
        <f t="shared" si="127"/>
        <v>0</v>
      </c>
      <c r="I62" s="2">
        <v>8.771486392874813</v>
      </c>
      <c r="J62">
        <f t="shared" si="128"/>
        <v>8.771486392874813</v>
      </c>
      <c r="K62" s="2">
        <v>0</v>
      </c>
      <c r="L62">
        <f t="shared" si="129"/>
        <v>9.6630000000000003</v>
      </c>
      <c r="M62" s="25">
        <f t="shared" si="130"/>
        <v>0</v>
      </c>
      <c r="N62" s="25">
        <f t="shared" si="131"/>
        <v>0</v>
      </c>
      <c r="O62" s="25">
        <f t="shared" si="132"/>
        <v>0</v>
      </c>
      <c r="P62" s="25">
        <f t="shared" si="133"/>
        <v>0</v>
      </c>
      <c r="Q62" s="25">
        <f t="shared" si="134"/>
        <v>0</v>
      </c>
      <c r="R62" s="25">
        <f t="shared" si="135"/>
        <v>0</v>
      </c>
      <c r="S62" s="25">
        <f t="shared" si="136"/>
        <v>0</v>
      </c>
      <c r="T62" s="25">
        <f t="shared" si="137"/>
        <v>0</v>
      </c>
      <c r="U62" s="25">
        <f t="shared" si="138"/>
        <v>0</v>
      </c>
      <c r="V62">
        <f t="shared" si="8"/>
        <v>0</v>
      </c>
      <c r="W62">
        <f t="shared" si="139"/>
        <v>6.7286325098300406</v>
      </c>
      <c r="X62">
        <f t="shared" si="140"/>
        <v>87.472222627790529</v>
      </c>
      <c r="Y62">
        <f t="shared" si="141"/>
        <v>29.302109317001793</v>
      </c>
      <c r="Z62">
        <f t="shared" si="142"/>
        <v>13.34873868885637</v>
      </c>
      <c r="AA62">
        <f t="shared" si="143"/>
        <v>1.3023159696445241</v>
      </c>
      <c r="AB62">
        <f t="shared" si="144"/>
        <v>0.65115798482226206</v>
      </c>
      <c r="AC62">
        <f t="shared" si="145"/>
        <v>0</v>
      </c>
      <c r="AD62">
        <f t="shared" si="146"/>
        <v>0</v>
      </c>
      <c r="AE62">
        <f t="shared" si="147"/>
        <v>0</v>
      </c>
      <c r="AF62">
        <f t="shared" si="17"/>
        <v>138.80517709794549</v>
      </c>
      <c r="AG62" s="2">
        <v>4.5699999999999998E-2</v>
      </c>
      <c r="AH62" s="2">
        <v>6.5799999999999997E-2</v>
      </c>
      <c r="AI62" s="2">
        <v>7.2099999999999997E-2</v>
      </c>
      <c r="AJ62" s="2">
        <v>9.6299999999999997E-2</v>
      </c>
      <c r="AK62" s="2">
        <v>9.8699999999999996E-2</v>
      </c>
      <c r="AL62" s="2">
        <v>0.1123</v>
      </c>
      <c r="AM62" s="2">
        <v>0.13600000000000001</v>
      </c>
      <c r="AN62" s="2">
        <v>0.15679999999999999</v>
      </c>
      <c r="AO62" s="2">
        <v>0.16309999999999999</v>
      </c>
      <c r="AP62">
        <f t="shared" si="119"/>
        <v>6.961555903049256E-2</v>
      </c>
      <c r="AQ62" s="2">
        <v>62</v>
      </c>
      <c r="AR62" s="2">
        <v>806</v>
      </c>
      <c r="AS62" s="2">
        <v>270</v>
      </c>
      <c r="AT62" s="2">
        <v>123</v>
      </c>
      <c r="AU62" s="2">
        <v>12</v>
      </c>
      <c r="AV62" s="2">
        <v>6</v>
      </c>
      <c r="AW62" s="2">
        <v>0</v>
      </c>
      <c r="AX62" s="2">
        <v>0</v>
      </c>
      <c r="AY62" s="2">
        <v>0</v>
      </c>
      <c r="AZ62">
        <f t="shared" si="83"/>
        <v>1279</v>
      </c>
      <c r="BA62">
        <f t="shared" si="148"/>
        <v>2011</v>
      </c>
      <c r="BB62">
        <f t="shared" si="222"/>
        <v>0.12199158216197867</v>
      </c>
      <c r="BC62">
        <f t="shared" si="123"/>
        <v>1.3529631078708932</v>
      </c>
      <c r="BD62">
        <f t="shared" si="149"/>
        <v>6.1078452346713554</v>
      </c>
      <c r="BE62">
        <f t="shared" si="150"/>
        <v>79.401988050727624</v>
      </c>
      <c r="BF62">
        <f t="shared" si="151"/>
        <v>26.598680860665578</v>
      </c>
      <c r="BG62">
        <f t="shared" si="152"/>
        <v>12.117176836525431</v>
      </c>
      <c r="BH62">
        <f t="shared" si="153"/>
        <v>1.1821635938073589</v>
      </c>
      <c r="BI62">
        <f t="shared" si="154"/>
        <v>0.59108179690367946</v>
      </c>
      <c r="BJ62">
        <f t="shared" si="155"/>
        <v>0</v>
      </c>
      <c r="BK62">
        <f t="shared" si="156"/>
        <v>0</v>
      </c>
      <c r="BL62">
        <f t="shared" si="157"/>
        <v>0</v>
      </c>
      <c r="BM62" s="24">
        <f t="shared" si="158"/>
        <v>73.152682363509626</v>
      </c>
      <c r="BN62" s="24">
        <f t="shared" si="159"/>
        <v>259.74708728903823</v>
      </c>
      <c r="BO62" s="24">
        <f t="shared" si="160"/>
        <v>53.895410782487758</v>
      </c>
      <c r="BP62" s="24">
        <f t="shared" si="161"/>
        <v>28.566985251653755</v>
      </c>
      <c r="BQ62" s="24">
        <f t="shared" si="162"/>
        <v>6.6960323231446113</v>
      </c>
      <c r="BR62" s="24">
        <f t="shared" si="163"/>
        <v>1.157765745028086</v>
      </c>
      <c r="BS62" s="24">
        <f t="shared" si="164"/>
        <v>6.5457561474005846E-4</v>
      </c>
      <c r="BT62" s="24">
        <f t="shared" si="165"/>
        <v>3.3046386880930577E-4</v>
      </c>
      <c r="BU62" s="23">
        <f t="shared" si="166"/>
        <v>1E-4</v>
      </c>
      <c r="BV62">
        <f t="shared" si="167"/>
        <v>11.761746300496046</v>
      </c>
      <c r="BW62">
        <v>0.6710605085039808</v>
      </c>
      <c r="BX62" s="2">
        <v>9.6630000000000003</v>
      </c>
      <c r="CJ62">
        <v>2011</v>
      </c>
      <c r="CK62">
        <f t="shared" si="168"/>
        <v>411</v>
      </c>
      <c r="CL62">
        <f t="shared" si="169"/>
        <v>90.317279141797755</v>
      </c>
      <c r="CM62" s="9">
        <f t="shared" si="170"/>
        <v>0.65693430656934304</v>
      </c>
      <c r="CN62" s="9">
        <f t="shared" si="171"/>
        <v>0.29927007299270075</v>
      </c>
      <c r="CO62" s="9">
        <f t="shared" si="172"/>
        <v>2.9197080291970802E-2</v>
      </c>
      <c r="CP62" s="9">
        <f t="shared" si="173"/>
        <v>1.4598540145985401E-2</v>
      </c>
      <c r="CQ62" s="27">
        <f t="shared" si="38"/>
        <v>0</v>
      </c>
      <c r="CR62" s="27">
        <f t="shared" si="39"/>
        <v>0</v>
      </c>
      <c r="CS62" s="27">
        <f t="shared" si="40"/>
        <v>0</v>
      </c>
      <c r="CT62" s="29">
        <f t="shared" si="174"/>
        <v>0.59673421624971879</v>
      </c>
      <c r="CU62" s="9">
        <f t="shared" si="175"/>
        <v>0.31629590177095246</v>
      </c>
      <c r="CV62" s="9">
        <f t="shared" si="176"/>
        <v>7.4138995181994669E-2</v>
      </c>
      <c r="CW62" s="9">
        <f t="shared" si="177"/>
        <v>1.2818873155051522E-2</v>
      </c>
      <c r="CX62" s="9">
        <f t="shared" si="178"/>
        <v>7.2475125575071569E-6</v>
      </c>
      <c r="CY62" s="9">
        <f t="shared" si="179"/>
        <v>3.6589218801695616E-6</v>
      </c>
      <c r="CZ62" s="9">
        <f t="shared" si="180"/>
        <v>1.1072078449462635E-6</v>
      </c>
      <c r="DA62">
        <f t="shared" si="181"/>
        <v>-0.82321248639654954</v>
      </c>
      <c r="DB62">
        <f t="shared" si="182"/>
        <v>-0.81968364850709996</v>
      </c>
      <c r="DC62">
        <f t="shared" si="124"/>
        <v>100</v>
      </c>
      <c r="DD62">
        <f t="shared" si="183"/>
        <v>4.3095259034490923</v>
      </c>
      <c r="DE62">
        <f t="shared" si="184"/>
        <v>117.17192763512682</v>
      </c>
      <c r="DF62">
        <f t="shared" si="185"/>
        <v>23.061816615284744</v>
      </c>
      <c r="DG62">
        <f t="shared" si="186"/>
        <v>16.449808415128324</v>
      </c>
      <c r="DH62">
        <f t="shared" si="187"/>
        <v>5.5138687293372524</v>
      </c>
      <c r="DI62">
        <f t="shared" si="188"/>
        <v>0.56668394812440659</v>
      </c>
      <c r="DJ62">
        <f t="shared" si="189"/>
        <v>6.5457561474005846E-4</v>
      </c>
      <c r="DK62">
        <f t="shared" si="190"/>
        <v>3.3046386880930577E-4</v>
      </c>
      <c r="DL62">
        <f t="shared" si="191"/>
        <v>1E-4</v>
      </c>
      <c r="DM62">
        <f t="shared" si="192"/>
        <v>2011</v>
      </c>
      <c r="DN62" s="9" t="str">
        <f t="shared" si="193"/>
        <v/>
      </c>
      <c r="DO62" s="9" t="str">
        <f t="shared" si="194"/>
        <v/>
      </c>
      <c r="DP62" s="9" t="str">
        <f t="shared" si="195"/>
        <v/>
      </c>
      <c r="DQ62" s="9" t="str">
        <f t="shared" si="196"/>
        <v/>
      </c>
      <c r="DR62" s="9" t="str">
        <f t="shared" si="197"/>
        <v/>
      </c>
      <c r="DS62" s="9" t="str">
        <f t="shared" si="198"/>
        <v/>
      </c>
      <c r="DT62" s="9" t="str">
        <f t="shared" si="199"/>
        <v/>
      </c>
      <c r="DU62" s="9" t="str">
        <f t="shared" si="200"/>
        <v/>
      </c>
      <c r="DV62" s="9" t="str">
        <f t="shared" si="201"/>
        <v/>
      </c>
      <c r="DW62">
        <f t="shared" si="202"/>
        <v>0</v>
      </c>
      <c r="DX62">
        <f t="shared" si="96"/>
        <v>2011</v>
      </c>
      <c r="DY62" s="9" t="str">
        <f t="shared" si="223"/>
        <v/>
      </c>
      <c r="DZ62" s="9" t="str">
        <f t="shared" si="224"/>
        <v/>
      </c>
      <c r="EA62" s="9" t="str">
        <f t="shared" si="99"/>
        <v/>
      </c>
      <c r="EB62" s="9" t="str">
        <f t="shared" si="100"/>
        <v/>
      </c>
      <c r="EC62" s="9" t="str">
        <f t="shared" si="101"/>
        <v/>
      </c>
      <c r="ED62" s="9" t="str">
        <f t="shared" si="102"/>
        <v/>
      </c>
      <c r="EE62" s="9" t="str">
        <f t="shared" si="103"/>
        <v/>
      </c>
      <c r="EF62" s="9" t="str">
        <f t="shared" si="104"/>
        <v/>
      </c>
      <c r="EG62" s="9" t="str">
        <f t="shared" si="105"/>
        <v/>
      </c>
      <c r="EI62">
        <f t="shared" si="203"/>
        <v>411</v>
      </c>
      <c r="EJ62" s="8">
        <f t="shared" si="204"/>
        <v>1245.2923870840991</v>
      </c>
      <c r="EK62" s="8">
        <f t="shared" si="205"/>
        <v>472.22438392698064</v>
      </c>
      <c r="EL62" s="8">
        <f t="shared" si="206"/>
        <v>19.987214495661885</v>
      </c>
      <c r="EM62" s="8">
        <f t="shared" si="207"/>
        <v>6.5792512120101012</v>
      </c>
      <c r="EN62" s="8">
        <f t="shared" si="208"/>
        <v>0</v>
      </c>
      <c r="EO62" s="8">
        <f t="shared" si="209"/>
        <v>0</v>
      </c>
      <c r="EP62" s="8">
        <f t="shared" si="210"/>
        <v>0</v>
      </c>
      <c r="EQ62">
        <f t="shared" si="108"/>
        <v>1744.0832367187518</v>
      </c>
      <c r="ES62" s="8">
        <f t="shared" si="211"/>
        <v>1285.5768959384143</v>
      </c>
      <c r="ET62" s="8">
        <f t="shared" si="212"/>
        <v>490.67282712815086</v>
      </c>
      <c r="EU62" s="8">
        <f t="shared" si="213"/>
        <v>20.955659494605975</v>
      </c>
      <c r="EV62" s="8">
        <f t="shared" si="214"/>
        <v>3.8154560667440061</v>
      </c>
      <c r="EW62" s="8">
        <f t="shared" si="215"/>
        <v>0</v>
      </c>
      <c r="EX62" s="8">
        <f t="shared" si="216"/>
        <v>0</v>
      </c>
      <c r="EY62" s="8">
        <f t="shared" si="217"/>
        <v>0</v>
      </c>
      <c r="EZ62">
        <f t="shared" si="110"/>
        <v>1801.0208386279151</v>
      </c>
      <c r="FB62">
        <f t="shared" si="111"/>
        <v>2066.5702490558674</v>
      </c>
      <c r="FC62">
        <f t="shared" si="218"/>
        <v>33.587373384796265</v>
      </c>
      <c r="FD62">
        <f t="shared" si="219"/>
        <v>2169.4276233410155</v>
      </c>
      <c r="FE62">
        <f t="shared" si="220"/>
        <v>-12.332398991188711</v>
      </c>
      <c r="FG62">
        <f t="shared" si="221"/>
        <v>18.229114195144977</v>
      </c>
      <c r="FJ62">
        <v>8.6330777907797547</v>
      </c>
    </row>
    <row r="63" spans="1:166" x14ac:dyDescent="0.3">
      <c r="D63">
        <v>2012</v>
      </c>
      <c r="E63">
        <f t="shared" si="78"/>
        <v>14.763252152399801</v>
      </c>
      <c r="F63">
        <f t="shared" si="125"/>
        <v>0.47374476829063922</v>
      </c>
      <c r="G63">
        <f t="shared" si="126"/>
        <v>0.80178157089665059</v>
      </c>
      <c r="H63">
        <f t="shared" si="127"/>
        <v>0</v>
      </c>
      <c r="I63" s="2">
        <v>9.3562521523998008</v>
      </c>
      <c r="J63">
        <f t="shared" si="128"/>
        <v>9.3562521523998008</v>
      </c>
      <c r="K63" s="2">
        <v>0</v>
      </c>
      <c r="L63">
        <f t="shared" si="129"/>
        <v>5.407</v>
      </c>
      <c r="M63" s="25">
        <f t="shared" si="130"/>
        <v>0</v>
      </c>
      <c r="N63" s="25">
        <f t="shared" si="131"/>
        <v>0</v>
      </c>
      <c r="O63" s="25">
        <f t="shared" si="132"/>
        <v>0</v>
      </c>
      <c r="P63" s="25">
        <f t="shared" si="133"/>
        <v>0</v>
      </c>
      <c r="Q63" s="25">
        <f t="shared" si="134"/>
        <v>0</v>
      </c>
      <c r="R63" s="25">
        <f t="shared" si="135"/>
        <v>0</v>
      </c>
      <c r="S63" s="25">
        <f t="shared" si="136"/>
        <v>0</v>
      </c>
      <c r="T63" s="25">
        <f t="shared" si="137"/>
        <v>0</v>
      </c>
      <c r="U63" s="25">
        <f t="shared" si="138"/>
        <v>0</v>
      </c>
      <c r="V63">
        <f t="shared" si="8"/>
        <v>0</v>
      </c>
      <c r="W63">
        <f t="shared" si="139"/>
        <v>1.2947095274883016</v>
      </c>
      <c r="X63">
        <f t="shared" si="140"/>
        <v>11.447957927264984</v>
      </c>
      <c r="Y63">
        <f t="shared" si="141"/>
        <v>38.228002364259858</v>
      </c>
      <c r="Z63">
        <f t="shared" si="142"/>
        <v>6.3372624240216879</v>
      </c>
      <c r="AA63">
        <f t="shared" si="143"/>
        <v>3.6115581556252625</v>
      </c>
      <c r="AB63">
        <f t="shared" si="144"/>
        <v>0.40885564025946369</v>
      </c>
      <c r="AC63">
        <f t="shared" si="145"/>
        <v>0.20442782012973185</v>
      </c>
      <c r="AD63">
        <f t="shared" si="146"/>
        <v>0</v>
      </c>
      <c r="AE63">
        <f t="shared" si="147"/>
        <v>0</v>
      </c>
      <c r="AF63">
        <f t="shared" si="17"/>
        <v>61.532773859049279</v>
      </c>
      <c r="AG63" s="2">
        <v>5.1799999999999999E-2</v>
      </c>
      <c r="AH63" s="2">
        <v>7.8399999999999997E-2</v>
      </c>
      <c r="AI63" s="2">
        <v>8.7499999999999994E-2</v>
      </c>
      <c r="AJ63" s="2">
        <v>9.8900000000000002E-2</v>
      </c>
      <c r="AK63" s="2">
        <v>0.11020000000000001</v>
      </c>
      <c r="AL63" s="2">
        <v>0.1167</v>
      </c>
      <c r="AM63" s="2">
        <v>0.12230000000000001</v>
      </c>
      <c r="AN63" s="2">
        <v>0.15529999999999999</v>
      </c>
      <c r="AO63" s="2">
        <v>0.1613</v>
      </c>
      <c r="AP63">
        <f t="shared" si="119"/>
        <v>8.787187153931339E-2</v>
      </c>
      <c r="AQ63" s="2">
        <v>19</v>
      </c>
      <c r="AR63" s="2">
        <v>168</v>
      </c>
      <c r="AS63" s="2">
        <v>561</v>
      </c>
      <c r="AT63" s="2">
        <v>93</v>
      </c>
      <c r="AU63" s="2">
        <v>53</v>
      </c>
      <c r="AV63" s="2">
        <v>6</v>
      </c>
      <c r="AW63" s="2">
        <v>3</v>
      </c>
      <c r="AX63" s="2">
        <v>0</v>
      </c>
      <c r="AY63" s="2">
        <v>0</v>
      </c>
      <c r="AZ63">
        <f t="shared" si="83"/>
        <v>903</v>
      </c>
      <c r="BA63">
        <f t="shared" si="148"/>
        <v>2012</v>
      </c>
      <c r="BB63">
        <f t="shared" si="222"/>
        <v>1.4405582546242908</v>
      </c>
      <c r="BC63">
        <f t="shared" si="123"/>
        <v>0.38843267592471103</v>
      </c>
      <c r="BD63">
        <f t="shared" si="149"/>
        <v>2.2403604222849922</v>
      </c>
      <c r="BE63">
        <f t="shared" si="150"/>
        <v>19.809502681256774</v>
      </c>
      <c r="BF63">
        <f t="shared" si="151"/>
        <v>66.149589310625288</v>
      </c>
      <c r="BG63">
        <f t="shared" si="152"/>
        <v>10.965974698552856</v>
      </c>
      <c r="BH63">
        <f t="shared" si="153"/>
        <v>6.2494264411107672</v>
      </c>
      <c r="BI63">
        <f t="shared" si="154"/>
        <v>0.70748223861631321</v>
      </c>
      <c r="BJ63">
        <f t="shared" si="155"/>
        <v>0.3537411193081566</v>
      </c>
      <c r="BK63">
        <f t="shared" si="156"/>
        <v>0</v>
      </c>
      <c r="BL63">
        <f t="shared" si="157"/>
        <v>0</v>
      </c>
      <c r="BM63" s="24">
        <f t="shared" si="158"/>
        <v>103.71290418080969</v>
      </c>
      <c r="BN63" s="24">
        <f t="shared" si="159"/>
        <v>55.038744767680285</v>
      </c>
      <c r="BO63" s="24">
        <f t="shared" si="160"/>
        <v>148.04983669531569</v>
      </c>
      <c r="BP63" s="24">
        <f t="shared" si="161"/>
        <v>22.408503808403669</v>
      </c>
      <c r="BQ63" s="24">
        <f t="shared" si="162"/>
        <v>12.641632064674059</v>
      </c>
      <c r="BR63" s="24">
        <f t="shared" si="163"/>
        <v>3.8801665909887721</v>
      </c>
      <c r="BS63" s="24">
        <f t="shared" si="164"/>
        <v>0.35451412800530618</v>
      </c>
      <c r="BT63" s="24">
        <f t="shared" si="165"/>
        <v>2.9664086535773852E-4</v>
      </c>
      <c r="BU63" s="23">
        <f t="shared" si="166"/>
        <v>1E-4</v>
      </c>
      <c r="BV63">
        <f t="shared" si="167"/>
        <v>10.393310858414925</v>
      </c>
      <c r="BW63">
        <v>0.54349510758628705</v>
      </c>
      <c r="BX63" s="2">
        <v>5.407</v>
      </c>
      <c r="CJ63">
        <v>2012</v>
      </c>
      <c r="CK63">
        <f t="shared" si="168"/>
        <v>716</v>
      </c>
      <c r="CL63">
        <f t="shared" si="169"/>
        <v>187.33504992825291</v>
      </c>
      <c r="CM63" s="9">
        <f t="shared" si="170"/>
        <v>0.78351955307262566</v>
      </c>
      <c r="CN63" s="9">
        <f t="shared" si="171"/>
        <v>0.12988826815642457</v>
      </c>
      <c r="CO63" s="9">
        <f t="shared" si="172"/>
        <v>7.4022346368715089E-2</v>
      </c>
      <c r="CP63" s="9">
        <f t="shared" si="173"/>
        <v>8.3798882681564244E-3</v>
      </c>
      <c r="CQ63" s="27">
        <f t="shared" si="38"/>
        <v>4.1899441340782122E-3</v>
      </c>
      <c r="CR63" s="27">
        <f t="shared" si="39"/>
        <v>0</v>
      </c>
      <c r="CS63" s="27">
        <f t="shared" si="40"/>
        <v>0</v>
      </c>
      <c r="CT63" s="29">
        <f t="shared" si="174"/>
        <v>0.79029437765125643</v>
      </c>
      <c r="CU63" s="9">
        <f t="shared" si="175"/>
        <v>0.11961725164076802</v>
      </c>
      <c r="CV63" s="9">
        <f t="shared" si="176"/>
        <v>6.7481403343985294E-2</v>
      </c>
      <c r="CW63" s="9">
        <f t="shared" si="177"/>
        <v>2.0712443253277108E-2</v>
      </c>
      <c r="CX63" s="9">
        <f t="shared" si="178"/>
        <v>1.8924068301211165E-3</v>
      </c>
      <c r="CY63" s="9">
        <f t="shared" si="179"/>
        <v>1.5834776539219351E-6</v>
      </c>
      <c r="CZ63" s="9">
        <f t="shared" si="180"/>
        <v>5.3380293777538597E-7</v>
      </c>
      <c r="DA63">
        <f t="shared" si="181"/>
        <v>-0.71852430230547359</v>
      </c>
      <c r="DB63">
        <f t="shared" si="182"/>
        <v>-0.71319640175978749</v>
      </c>
      <c r="DC63">
        <f t="shared" si="124"/>
        <v>100</v>
      </c>
      <c r="DD63">
        <f t="shared" si="183"/>
        <v>6.5224792026250835</v>
      </c>
      <c r="DE63">
        <f t="shared" si="184"/>
        <v>22.888773921913685</v>
      </c>
      <c r="DF63">
        <f t="shared" si="185"/>
        <v>69.193947089692287</v>
      </c>
      <c r="DG63">
        <f t="shared" si="186"/>
        <v>11.442529109850813</v>
      </c>
      <c r="DH63">
        <f t="shared" si="187"/>
        <v>6.3922056235632922</v>
      </c>
      <c r="DI63">
        <f t="shared" si="188"/>
        <v>3.172684352372459</v>
      </c>
      <c r="DJ63">
        <f t="shared" si="189"/>
        <v>7.7300869714957976E-4</v>
      </c>
      <c r="DK63">
        <f t="shared" si="190"/>
        <v>2.9664086535773852E-4</v>
      </c>
      <c r="DL63">
        <f t="shared" si="191"/>
        <v>1E-4</v>
      </c>
      <c r="DM63">
        <f t="shared" si="192"/>
        <v>2012</v>
      </c>
      <c r="DN63" s="9" t="str">
        <f t="shared" si="193"/>
        <v/>
      </c>
      <c r="DO63" s="9" t="str">
        <f t="shared" si="194"/>
        <v/>
      </c>
      <c r="DP63" s="9" t="str">
        <f t="shared" si="195"/>
        <v/>
      </c>
      <c r="DQ63" s="9" t="str">
        <f t="shared" si="196"/>
        <v/>
      </c>
      <c r="DR63" s="9" t="str">
        <f t="shared" si="197"/>
        <v/>
      </c>
      <c r="DS63" s="9" t="str">
        <f t="shared" si="198"/>
        <v/>
      </c>
      <c r="DT63" s="9" t="str">
        <f t="shared" si="199"/>
        <v/>
      </c>
      <c r="DU63" s="9" t="str">
        <f t="shared" si="200"/>
        <v/>
      </c>
      <c r="DV63" s="9" t="str">
        <f t="shared" si="201"/>
        <v/>
      </c>
      <c r="DW63">
        <f t="shared" si="202"/>
        <v>0</v>
      </c>
      <c r="DX63">
        <f t="shared" si="96"/>
        <v>2012</v>
      </c>
      <c r="DY63" s="9" t="str">
        <f t="shared" si="223"/>
        <v/>
      </c>
      <c r="DZ63" s="9" t="str">
        <f t="shared" si="224"/>
        <v/>
      </c>
      <c r="EA63" s="9" t="str">
        <f t="shared" si="99"/>
        <v/>
      </c>
      <c r="EB63" s="9" t="str">
        <f t="shared" si="100"/>
        <v/>
      </c>
      <c r="EC63" s="9" t="str">
        <f t="shared" si="101"/>
        <v/>
      </c>
      <c r="ED63" s="9" t="str">
        <f t="shared" si="102"/>
        <v/>
      </c>
      <c r="EE63" s="9" t="str">
        <f t="shared" si="103"/>
        <v/>
      </c>
      <c r="EF63" s="9" t="str">
        <f t="shared" si="104"/>
        <v/>
      </c>
      <c r="EG63" s="9" t="str">
        <f t="shared" si="105"/>
        <v/>
      </c>
      <c r="EI63">
        <f t="shared" si="203"/>
        <v>716</v>
      </c>
      <c r="EJ63" s="8">
        <f t="shared" si="204"/>
        <v>2994.057375528449</v>
      </c>
      <c r="EK63" s="8">
        <f t="shared" si="205"/>
        <v>331.71788719692836</v>
      </c>
      <c r="EL63" s="8">
        <f t="shared" si="206"/>
        <v>160.33112821663096</v>
      </c>
      <c r="EM63" s="8">
        <f t="shared" si="207"/>
        <v>6.5792512120101012</v>
      </c>
      <c r="EN63" s="8">
        <f t="shared" si="208"/>
        <v>1.791759469228055</v>
      </c>
      <c r="EO63" s="8">
        <f t="shared" si="209"/>
        <v>0</v>
      </c>
      <c r="EP63" s="8">
        <f t="shared" si="210"/>
        <v>0</v>
      </c>
      <c r="EQ63">
        <f t="shared" si="108"/>
        <v>3494.4774016232468</v>
      </c>
      <c r="ES63" s="8">
        <f t="shared" si="211"/>
        <v>3091.1455090571035</v>
      </c>
      <c r="ET63" s="8">
        <f t="shared" si="212"/>
        <v>342.77389957885327</v>
      </c>
      <c r="EU63" s="8">
        <f t="shared" si="213"/>
        <v>164.74279714411378</v>
      </c>
      <c r="EV63" s="8">
        <f t="shared" si="214"/>
        <v>5.6094943783324798</v>
      </c>
      <c r="EW63" s="8">
        <f t="shared" si="215"/>
        <v>-2.0426822873085806</v>
      </c>
      <c r="EX63" s="8">
        <f t="shared" si="216"/>
        <v>0</v>
      </c>
      <c r="EY63" s="8">
        <f t="shared" si="217"/>
        <v>0</v>
      </c>
      <c r="EZ63">
        <f t="shared" si="110"/>
        <v>3602.2290178710941</v>
      </c>
      <c r="FB63">
        <f t="shared" si="111"/>
        <v>3994.9608945478362</v>
      </c>
      <c r="FC63">
        <f t="shared" si="218"/>
        <v>76.054510773014755</v>
      </c>
      <c r="FD63">
        <f t="shared" si="219"/>
        <v>4195.5091819281697</v>
      </c>
      <c r="FE63">
        <f t="shared" si="220"/>
        <v>-16.742160359471654</v>
      </c>
      <c r="FG63">
        <f t="shared" si="221"/>
        <v>31.045894267143073</v>
      </c>
      <c r="FJ63">
        <v>7.2606251833259572</v>
      </c>
    </row>
    <row r="64" spans="1:166" x14ac:dyDescent="0.3">
      <c r="D64">
        <v>2013</v>
      </c>
      <c r="E64">
        <f t="shared" si="78"/>
        <v>22.527071503018306</v>
      </c>
      <c r="F64">
        <f t="shared" si="125"/>
        <v>0.5506416613102979</v>
      </c>
      <c r="G64">
        <f t="shared" si="126"/>
        <v>1.0638372305250334</v>
      </c>
      <c r="H64">
        <f t="shared" si="127"/>
        <v>0</v>
      </c>
      <c r="I64" s="2">
        <v>10.269071503018308</v>
      </c>
      <c r="J64">
        <f t="shared" si="128"/>
        <v>10.269071503018308</v>
      </c>
      <c r="K64" s="2">
        <v>0</v>
      </c>
      <c r="L64">
        <f t="shared" si="129"/>
        <v>12.257999999999999</v>
      </c>
      <c r="M64" s="25">
        <f t="shared" si="130"/>
        <v>0</v>
      </c>
      <c r="N64" s="25">
        <f t="shared" si="131"/>
        <v>0</v>
      </c>
      <c r="O64" s="25">
        <f t="shared" si="132"/>
        <v>0</v>
      </c>
      <c r="P64" s="25">
        <f t="shared" si="133"/>
        <v>0</v>
      </c>
      <c r="Q64" s="25">
        <f t="shared" si="134"/>
        <v>0</v>
      </c>
      <c r="R64" s="25">
        <f t="shared" si="135"/>
        <v>0</v>
      </c>
      <c r="S64" s="25">
        <f t="shared" si="136"/>
        <v>0</v>
      </c>
      <c r="T64" s="25">
        <f t="shared" si="137"/>
        <v>0</v>
      </c>
      <c r="U64" s="25">
        <f t="shared" si="138"/>
        <v>0</v>
      </c>
      <c r="V64">
        <f t="shared" si="8"/>
        <v>0</v>
      </c>
      <c r="W64">
        <f t="shared" si="139"/>
        <v>4.3035491934502357</v>
      </c>
      <c r="X64">
        <f t="shared" si="140"/>
        <v>30.411747633714995</v>
      </c>
      <c r="Y64">
        <f t="shared" si="141"/>
        <v>18.935616451181033</v>
      </c>
      <c r="Z64">
        <f t="shared" si="142"/>
        <v>59.962785428739949</v>
      </c>
      <c r="AA64">
        <f t="shared" si="143"/>
        <v>6.3118721503936781</v>
      </c>
      <c r="AB64">
        <f t="shared" si="144"/>
        <v>5.7380655912669809</v>
      </c>
      <c r="AC64">
        <f t="shared" si="145"/>
        <v>0.57380655912669798</v>
      </c>
      <c r="AD64">
        <f t="shared" si="146"/>
        <v>0</v>
      </c>
      <c r="AE64">
        <f t="shared" si="147"/>
        <v>0</v>
      </c>
      <c r="AF64">
        <f t="shared" si="17"/>
        <v>126.23744300787357</v>
      </c>
      <c r="AG64" s="2">
        <v>5.6399999999999999E-2</v>
      </c>
      <c r="AH64" s="2">
        <v>7.8899999999999998E-2</v>
      </c>
      <c r="AI64" s="2">
        <v>9.3899999999999997E-2</v>
      </c>
      <c r="AJ64" s="2">
        <v>0.105</v>
      </c>
      <c r="AK64" s="2">
        <v>0.1207</v>
      </c>
      <c r="AL64" s="2">
        <v>0.1225</v>
      </c>
      <c r="AM64" s="2">
        <v>0.13400000000000001</v>
      </c>
      <c r="AN64" s="2">
        <v>0.153</v>
      </c>
      <c r="AO64" s="2">
        <v>0.15970000000000001</v>
      </c>
      <c r="AP64">
        <f t="shared" si="119"/>
        <v>9.7102727272727271E-2</v>
      </c>
      <c r="AQ64" s="2">
        <v>15</v>
      </c>
      <c r="AR64" s="2">
        <v>106</v>
      </c>
      <c r="AS64" s="2">
        <v>66</v>
      </c>
      <c r="AT64" s="2">
        <v>209</v>
      </c>
      <c r="AU64" s="2">
        <v>22</v>
      </c>
      <c r="AV64" s="2">
        <v>20</v>
      </c>
      <c r="AW64" s="2">
        <v>2</v>
      </c>
      <c r="AX64" s="2">
        <v>0</v>
      </c>
      <c r="AY64" s="2">
        <v>0</v>
      </c>
      <c r="AZ64">
        <f t="shared" si="83"/>
        <v>440</v>
      </c>
      <c r="BA64">
        <f t="shared" si="148"/>
        <v>2013</v>
      </c>
      <c r="BB64">
        <f t="shared" si="222"/>
        <v>-0.39725180901213608</v>
      </c>
      <c r="BC64">
        <f t="shared" si="123"/>
        <v>1.035559329634544</v>
      </c>
      <c r="BD64">
        <f t="shared" si="149"/>
        <v>3.6052744643740606</v>
      </c>
      <c r="BE64">
        <f t="shared" si="150"/>
        <v>25.477272881576699</v>
      </c>
      <c r="BF64">
        <f t="shared" si="151"/>
        <v>15.863207643245866</v>
      </c>
      <c r="BG64">
        <f t="shared" si="152"/>
        <v>50.23349087027858</v>
      </c>
      <c r="BH64">
        <f t="shared" si="153"/>
        <v>5.2877358810819564</v>
      </c>
      <c r="BI64">
        <f t="shared" si="154"/>
        <v>4.8070326191654145</v>
      </c>
      <c r="BJ64">
        <f t="shared" si="155"/>
        <v>0.48070326191654145</v>
      </c>
      <c r="BK64">
        <f t="shared" si="156"/>
        <v>0</v>
      </c>
      <c r="BL64">
        <f t="shared" si="157"/>
        <v>0</v>
      </c>
      <c r="BM64" s="24">
        <f t="shared" si="158"/>
        <v>381.51695824225465</v>
      </c>
      <c r="BN64" s="24">
        <f t="shared" si="159"/>
        <v>86.485316943016457</v>
      </c>
      <c r="BO64" s="24">
        <f t="shared" si="160"/>
        <v>30.025920398895838</v>
      </c>
      <c r="BP64" s="24">
        <f t="shared" si="161"/>
        <v>69.803780631326873</v>
      </c>
      <c r="BQ64" s="24">
        <f t="shared" si="162"/>
        <v>9.2448852153450805</v>
      </c>
      <c r="BR64" s="24">
        <f t="shared" si="163"/>
        <v>4.8089908799780527</v>
      </c>
      <c r="BS64" s="24">
        <f t="shared" si="164"/>
        <v>2.1701596629454367</v>
      </c>
      <c r="BT64" s="24">
        <f t="shared" si="165"/>
        <v>4.054575793560375E-4</v>
      </c>
      <c r="BU64" s="23">
        <f t="shared" si="166"/>
        <v>1E-4</v>
      </c>
      <c r="BV64">
        <f t="shared" si="167"/>
        <v>8.3802102795881748</v>
      </c>
      <c r="BW64">
        <v>0.8974871629442589</v>
      </c>
      <c r="BX64" s="2">
        <v>12.257999999999999</v>
      </c>
      <c r="CJ64">
        <v>2013</v>
      </c>
      <c r="CK64">
        <f t="shared" si="168"/>
        <v>319</v>
      </c>
      <c r="CL64">
        <f t="shared" si="169"/>
        <v>116.05424224607064</v>
      </c>
      <c r="CM64" s="9">
        <f t="shared" si="170"/>
        <v>0.20689655172413793</v>
      </c>
      <c r="CN64" s="9">
        <f t="shared" si="171"/>
        <v>0.65517241379310343</v>
      </c>
      <c r="CO64" s="9">
        <f t="shared" si="172"/>
        <v>6.8965517241379309E-2</v>
      </c>
      <c r="CP64" s="9">
        <f t="shared" si="173"/>
        <v>6.2695924764890276E-2</v>
      </c>
      <c r="CQ64" s="27">
        <f t="shared" si="38"/>
        <v>6.269592476489028E-3</v>
      </c>
      <c r="CR64" s="27">
        <f t="shared" si="39"/>
        <v>0</v>
      </c>
      <c r="CS64" s="27">
        <f t="shared" si="40"/>
        <v>0</v>
      </c>
      <c r="CT64" s="29">
        <f t="shared" si="174"/>
        <v>0.25872316097874015</v>
      </c>
      <c r="CU64" s="9">
        <f t="shared" si="175"/>
        <v>0.6014754762977248</v>
      </c>
      <c r="CV64" s="9">
        <f t="shared" si="176"/>
        <v>7.9660036862272424E-2</v>
      </c>
      <c r="CW64" s="9">
        <f t="shared" si="177"/>
        <v>4.1437441552386468E-2</v>
      </c>
      <c r="CX64" s="9">
        <f t="shared" si="178"/>
        <v>1.8699528952539551E-2</v>
      </c>
      <c r="CY64" s="9">
        <f t="shared" si="179"/>
        <v>3.4936902909274344E-6</v>
      </c>
      <c r="CZ64" s="9">
        <f t="shared" si="180"/>
        <v>8.616660456751705E-7</v>
      </c>
      <c r="DA64">
        <f t="shared" si="181"/>
        <v>-1.0118156170471218</v>
      </c>
      <c r="DB64">
        <f t="shared" si="182"/>
        <v>-1.0072516676043493</v>
      </c>
      <c r="DC64">
        <f t="shared" si="124"/>
        <v>100</v>
      </c>
      <c r="DD64">
        <f t="shared" si="183"/>
        <v>24.291507895338196</v>
      </c>
      <c r="DE64">
        <f t="shared" si="184"/>
        <v>39.637506947064914</v>
      </c>
      <c r="DF64">
        <f t="shared" si="185"/>
        <v>11.965458327103178</v>
      </c>
      <c r="DG64">
        <f t="shared" si="186"/>
        <v>19.570289761048294</v>
      </c>
      <c r="DH64">
        <f t="shared" si="187"/>
        <v>3.9571493342631241</v>
      </c>
      <c r="DI64">
        <f t="shared" si="188"/>
        <v>1.9582608126382794E-3</v>
      </c>
      <c r="DJ64">
        <f t="shared" si="189"/>
        <v>1.6894564010288953</v>
      </c>
      <c r="DK64">
        <f t="shared" si="190"/>
        <v>4.054575793560375E-4</v>
      </c>
      <c r="DL64">
        <f t="shared" si="191"/>
        <v>1E-4</v>
      </c>
      <c r="DM64">
        <f t="shared" si="192"/>
        <v>2013</v>
      </c>
      <c r="DN64" s="9" t="str">
        <f t="shared" si="193"/>
        <v/>
      </c>
      <c r="DO64" s="9" t="str">
        <f t="shared" si="194"/>
        <v/>
      </c>
      <c r="DP64" s="9" t="str">
        <f t="shared" si="195"/>
        <v/>
      </c>
      <c r="DQ64" s="9" t="str">
        <f t="shared" si="196"/>
        <v/>
      </c>
      <c r="DR64" s="9" t="str">
        <f t="shared" si="197"/>
        <v/>
      </c>
      <c r="DS64" s="9" t="str">
        <f t="shared" si="198"/>
        <v/>
      </c>
      <c r="DT64" s="9" t="str">
        <f t="shared" si="199"/>
        <v/>
      </c>
      <c r="DU64" s="9" t="str">
        <f t="shared" si="200"/>
        <v/>
      </c>
      <c r="DV64" s="9" t="str">
        <f t="shared" si="201"/>
        <v/>
      </c>
      <c r="DW64">
        <f t="shared" si="202"/>
        <v>0</v>
      </c>
      <c r="DX64">
        <f t="shared" si="96"/>
        <v>2013</v>
      </c>
      <c r="DY64" s="9" t="str">
        <f t="shared" si="223"/>
        <v/>
      </c>
      <c r="DZ64" s="9" t="str">
        <f t="shared" si="224"/>
        <v/>
      </c>
      <c r="EA64" s="9" t="str">
        <f t="shared" si="99"/>
        <v/>
      </c>
      <c r="EB64" s="9" t="str">
        <f t="shared" si="100"/>
        <v/>
      </c>
      <c r="EC64" s="9" t="str">
        <f t="shared" si="101"/>
        <v/>
      </c>
      <c r="ED64" s="9" t="str">
        <f t="shared" si="102"/>
        <v/>
      </c>
      <c r="EE64" s="9" t="str">
        <f t="shared" si="103"/>
        <v/>
      </c>
      <c r="EF64" s="9" t="str">
        <f t="shared" si="104"/>
        <v/>
      </c>
      <c r="EG64" s="9" t="str">
        <f t="shared" si="105"/>
        <v/>
      </c>
      <c r="EI64">
        <f t="shared" si="203"/>
        <v>319</v>
      </c>
      <c r="EJ64" s="8">
        <f t="shared" si="204"/>
        <v>213.53224149456327</v>
      </c>
      <c r="EK64" s="8">
        <f t="shared" si="205"/>
        <v>911.13836304361121</v>
      </c>
      <c r="EL64" s="8">
        <f t="shared" si="206"/>
        <v>48.471181351835227</v>
      </c>
      <c r="EM64" s="8">
        <f t="shared" si="207"/>
        <v>42.335616460753478</v>
      </c>
      <c r="EN64" s="8">
        <f t="shared" si="208"/>
        <v>0.6931471805599454</v>
      </c>
      <c r="EO64" s="8">
        <f t="shared" si="209"/>
        <v>0</v>
      </c>
      <c r="EP64" s="8">
        <f t="shared" si="210"/>
        <v>0</v>
      </c>
      <c r="EQ64">
        <f t="shared" si="108"/>
        <v>1216.1705495313231</v>
      </c>
      <c r="ES64" s="8">
        <f t="shared" si="211"/>
        <v>223.24524067313362</v>
      </c>
      <c r="ET64" s="8">
        <f t="shared" si="212"/>
        <v>941.53129796661767</v>
      </c>
      <c r="EU64" s="8">
        <f t="shared" si="213"/>
        <v>48.88452205865979</v>
      </c>
      <c r="EV64" s="8">
        <f t="shared" si="214"/>
        <v>40.640796552251359</v>
      </c>
      <c r="EW64" s="8">
        <f t="shared" si="215"/>
        <v>-1.1082596789734003</v>
      </c>
      <c r="EX64" s="8">
        <f t="shared" si="216"/>
        <v>0</v>
      </c>
      <c r="EY64" s="8">
        <f t="shared" si="217"/>
        <v>0</v>
      </c>
      <c r="EZ64">
        <f t="shared" si="110"/>
        <v>1253.1935975716892</v>
      </c>
      <c r="FB64">
        <f t="shared" si="111"/>
        <v>1523.8977571058967</v>
      </c>
      <c r="FC64">
        <f t="shared" si="218"/>
        <v>22.534239577947559</v>
      </c>
      <c r="FD64">
        <f t="shared" si="219"/>
        <v>1599.0865770343307</v>
      </c>
      <c r="FE64">
        <f t="shared" si="220"/>
        <v>-15.631532310120292</v>
      </c>
      <c r="FG64">
        <f t="shared" si="221"/>
        <v>14.363069058673421</v>
      </c>
      <c r="FJ64">
        <v>11.005720502320194</v>
      </c>
    </row>
    <row r="65" spans="4:166" x14ac:dyDescent="0.3">
      <c r="D65">
        <v>2014</v>
      </c>
      <c r="E65">
        <f t="shared" si="78"/>
        <v>24.822215793199405</v>
      </c>
      <c r="F65">
        <f t="shared" si="125"/>
        <v>0.40566146594329483</v>
      </c>
      <c r="G65">
        <f t="shared" si="126"/>
        <v>0.78336175133887309</v>
      </c>
      <c r="H65">
        <f t="shared" si="127"/>
        <v>0</v>
      </c>
      <c r="I65" s="2">
        <v>10.885215793199405</v>
      </c>
      <c r="J65">
        <f t="shared" si="128"/>
        <v>10.885215793199405</v>
      </c>
      <c r="K65" s="2">
        <v>0</v>
      </c>
      <c r="L65">
        <f t="shared" si="129"/>
        <v>13.936999999999999</v>
      </c>
      <c r="M65" s="25">
        <f t="shared" si="130"/>
        <v>0</v>
      </c>
      <c r="N65" s="25">
        <f t="shared" si="131"/>
        <v>0</v>
      </c>
      <c r="O65" s="25">
        <f t="shared" si="132"/>
        <v>0</v>
      </c>
      <c r="P65" s="25">
        <f t="shared" si="133"/>
        <v>0</v>
      </c>
      <c r="Q65" s="25">
        <f t="shared" si="134"/>
        <v>0</v>
      </c>
      <c r="R65" s="25">
        <f t="shared" si="135"/>
        <v>0</v>
      </c>
      <c r="S65" s="25">
        <f t="shared" si="136"/>
        <v>0</v>
      </c>
      <c r="T65" s="25">
        <f t="shared" si="137"/>
        <v>0</v>
      </c>
      <c r="U65" s="25">
        <f t="shared" si="138"/>
        <v>0</v>
      </c>
      <c r="V65">
        <f t="shared" si="8"/>
        <v>0</v>
      </c>
      <c r="W65">
        <f t="shared" si="139"/>
        <v>4.6502394020787108</v>
      </c>
      <c r="X65">
        <f t="shared" si="140"/>
        <v>121.48750437930632</v>
      </c>
      <c r="Y65">
        <f t="shared" si="141"/>
        <v>23.832476935653396</v>
      </c>
      <c r="Z65">
        <f t="shared" si="142"/>
        <v>4.6502394020787108</v>
      </c>
      <c r="AA65">
        <f t="shared" si="143"/>
        <v>5.2315193273385496</v>
      </c>
      <c r="AB65">
        <f t="shared" si="144"/>
        <v>1.1625598505196777</v>
      </c>
      <c r="AC65">
        <f t="shared" si="145"/>
        <v>0</v>
      </c>
      <c r="AD65">
        <f t="shared" si="146"/>
        <v>0.58127992525983885</v>
      </c>
      <c r="AE65">
        <f t="shared" si="147"/>
        <v>0</v>
      </c>
      <c r="AF65">
        <f t="shared" si="17"/>
        <v>161.59581922223521</v>
      </c>
      <c r="AG65" s="2">
        <v>5.8700000000000002E-2</v>
      </c>
      <c r="AH65" s="2">
        <v>8.0699999999999994E-2</v>
      </c>
      <c r="AI65" s="2">
        <v>9.5600000000000004E-2</v>
      </c>
      <c r="AJ65" s="2">
        <v>0.1245</v>
      </c>
      <c r="AK65" s="2">
        <v>0.1401</v>
      </c>
      <c r="AL65" s="2">
        <v>0.15</v>
      </c>
      <c r="AM65" s="2">
        <v>0.12920000000000001</v>
      </c>
      <c r="AN65" s="2">
        <v>0.16400000000000001</v>
      </c>
      <c r="AO65" s="2">
        <v>0.15920000000000001</v>
      </c>
      <c r="AP65">
        <f t="shared" si="119"/>
        <v>8.624604316546762E-2</v>
      </c>
      <c r="AQ65" s="2">
        <v>8</v>
      </c>
      <c r="AR65" s="2">
        <v>209</v>
      </c>
      <c r="AS65" s="2">
        <v>41</v>
      </c>
      <c r="AT65" s="2">
        <v>8</v>
      </c>
      <c r="AU65" s="2">
        <v>9</v>
      </c>
      <c r="AV65" s="2">
        <v>2</v>
      </c>
      <c r="AW65" s="2">
        <v>0</v>
      </c>
      <c r="AX65" s="2">
        <v>1</v>
      </c>
      <c r="AY65" s="2">
        <v>0</v>
      </c>
      <c r="AZ65">
        <f t="shared" si="83"/>
        <v>278</v>
      </c>
      <c r="BA65">
        <f t="shared" si="148"/>
        <v>2014</v>
      </c>
      <c r="BB65">
        <f t="shared" si="222"/>
        <v>2.0633715432914776</v>
      </c>
      <c r="BC65">
        <f t="shared" si="123"/>
        <v>0.81506241472209895</v>
      </c>
      <c r="BD65">
        <f t="shared" si="149"/>
        <v>3.6319767081628287</v>
      </c>
      <c r="BE65">
        <f t="shared" si="150"/>
        <v>94.885391500753911</v>
      </c>
      <c r="BF65">
        <f t="shared" si="151"/>
        <v>18.613880629334499</v>
      </c>
      <c r="BG65">
        <f t="shared" si="152"/>
        <v>3.6319767081628287</v>
      </c>
      <c r="BH65">
        <f t="shared" si="153"/>
        <v>4.0859737966831826</v>
      </c>
      <c r="BI65">
        <f t="shared" si="154"/>
        <v>0.90799417704070717</v>
      </c>
      <c r="BJ65">
        <f t="shared" si="155"/>
        <v>0</v>
      </c>
      <c r="BK65">
        <f t="shared" si="156"/>
        <v>0.45399708852035359</v>
      </c>
      <c r="BL65">
        <f t="shared" si="157"/>
        <v>0</v>
      </c>
      <c r="BM65" s="24">
        <f t="shared" si="158"/>
        <v>238.27309096555064</v>
      </c>
      <c r="BN65" s="24">
        <f t="shared" si="159"/>
        <v>290.25436528555065</v>
      </c>
      <c r="BO65" s="24">
        <f t="shared" si="160"/>
        <v>46.857050275911718</v>
      </c>
      <c r="BP65" s="24">
        <f t="shared" si="161"/>
        <v>10.877571243204724</v>
      </c>
      <c r="BQ65" s="24">
        <f t="shared" si="162"/>
        <v>13.761150197431027</v>
      </c>
      <c r="BR65" s="24">
        <f t="shared" si="163"/>
        <v>2.4733421697446469</v>
      </c>
      <c r="BS65" s="24">
        <f t="shared" si="164"/>
        <v>9.9258488096273995E-4</v>
      </c>
      <c r="BT65" s="24">
        <f t="shared" si="165"/>
        <v>0.73165352911834725</v>
      </c>
      <c r="BU65" s="23">
        <f t="shared" si="166"/>
        <v>1E-4</v>
      </c>
      <c r="BV65">
        <f t="shared" si="167"/>
        <v>15.948034853094395</v>
      </c>
      <c r="BW65">
        <v>0.89460648993570036</v>
      </c>
      <c r="BX65" s="2">
        <v>13.936999999999999</v>
      </c>
      <c r="CJ65">
        <v>2014</v>
      </c>
      <c r="CK65">
        <f t="shared" si="168"/>
        <v>61</v>
      </c>
      <c r="CL65">
        <f t="shared" si="169"/>
        <v>74.701860000291418</v>
      </c>
      <c r="CM65" s="9">
        <f t="shared" si="170"/>
        <v>0.67213114754098358</v>
      </c>
      <c r="CN65" s="9">
        <f t="shared" si="171"/>
        <v>0.13114754098360656</v>
      </c>
      <c r="CO65" s="9">
        <f t="shared" si="172"/>
        <v>0.14754098360655737</v>
      </c>
      <c r="CP65" s="9">
        <f t="shared" si="173"/>
        <v>3.2786885245901641E-2</v>
      </c>
      <c r="CQ65" s="27">
        <f t="shared" si="38"/>
        <v>0</v>
      </c>
      <c r="CR65" s="27">
        <f t="shared" si="39"/>
        <v>1.6393442622950821E-2</v>
      </c>
      <c r="CS65" s="27">
        <f t="shared" si="40"/>
        <v>0</v>
      </c>
      <c r="CT65" s="29">
        <f t="shared" si="174"/>
        <v>0.62725413096446225</v>
      </c>
      <c r="CU65" s="9">
        <f t="shared" si="175"/>
        <v>0.14561312453481465</v>
      </c>
      <c r="CV65" s="9">
        <f t="shared" si="176"/>
        <v>0.18421429128240371</v>
      </c>
      <c r="CW65" s="9">
        <f t="shared" si="177"/>
        <v>3.3109512530678599E-2</v>
      </c>
      <c r="CX65" s="9">
        <f t="shared" si="178"/>
        <v>1.3287284693565433E-5</v>
      </c>
      <c r="CY65" s="9">
        <f t="shared" si="179"/>
        <v>9.7943147481935923E-3</v>
      </c>
      <c r="CZ65" s="9">
        <f t="shared" si="180"/>
        <v>1.3386547537050603E-6</v>
      </c>
      <c r="DA65">
        <f t="shared" si="181"/>
        <v>-1.0033336206140788</v>
      </c>
      <c r="DB65">
        <f t="shared" si="182"/>
        <v>-0.99800270713980277</v>
      </c>
      <c r="DC65" s="3">
        <v>100</v>
      </c>
      <c r="DD65">
        <f t="shared" si="183"/>
        <v>15.082324056708353</v>
      </c>
      <c r="DE65">
        <f t="shared" si="184"/>
        <v>126.93308193649162</v>
      </c>
      <c r="DF65">
        <f t="shared" si="185"/>
        <v>23.861422261537342</v>
      </c>
      <c r="DG65">
        <f t="shared" si="186"/>
        <v>7.2455945350418949</v>
      </c>
      <c r="DH65">
        <f t="shared" si="187"/>
        <v>9.6751764007478442</v>
      </c>
      <c r="DI65">
        <f t="shared" si="188"/>
        <v>1.5653479927039398</v>
      </c>
      <c r="DJ65">
        <f t="shared" si="189"/>
        <v>9.9258488096273995E-4</v>
      </c>
      <c r="DK65">
        <f t="shared" si="190"/>
        <v>0.27765644059799366</v>
      </c>
      <c r="DL65">
        <f t="shared" si="191"/>
        <v>1E-4</v>
      </c>
      <c r="DM65">
        <f t="shared" si="192"/>
        <v>2014</v>
      </c>
      <c r="DN65" s="9" t="str">
        <f t="shared" si="193"/>
        <v/>
      </c>
      <c r="DO65" s="9" t="str">
        <f t="shared" si="194"/>
        <v/>
      </c>
      <c r="DP65" s="9" t="str">
        <f t="shared" si="195"/>
        <v/>
      </c>
      <c r="DQ65" s="9" t="str">
        <f t="shared" si="196"/>
        <v/>
      </c>
      <c r="DR65" s="9" t="str">
        <f t="shared" si="197"/>
        <v/>
      </c>
      <c r="DS65" s="9" t="str">
        <f t="shared" si="198"/>
        <v/>
      </c>
      <c r="DT65" s="9" t="str">
        <f t="shared" si="199"/>
        <v/>
      </c>
      <c r="DU65" s="9" t="str">
        <f t="shared" si="200"/>
        <v/>
      </c>
      <c r="DV65" s="9" t="str">
        <f t="shared" si="201"/>
        <v/>
      </c>
      <c r="DW65">
        <f t="shared" si="202"/>
        <v>0</v>
      </c>
      <c r="DX65">
        <f t="shared" si="96"/>
        <v>2014</v>
      </c>
      <c r="DY65" s="9" t="str">
        <f t="shared" si="223"/>
        <v/>
      </c>
      <c r="DZ65" s="9" t="str">
        <f t="shared" si="224"/>
        <v/>
      </c>
      <c r="EA65" s="9" t="str">
        <f t="shared" si="99"/>
        <v/>
      </c>
      <c r="EB65" s="9" t="str">
        <f t="shared" si="100"/>
        <v/>
      </c>
      <c r="EC65" s="9" t="str">
        <f t="shared" si="101"/>
        <v/>
      </c>
      <c r="ED65" s="9" t="str">
        <f t="shared" si="102"/>
        <v/>
      </c>
      <c r="EE65" s="9" t="str">
        <f t="shared" si="103"/>
        <v/>
      </c>
      <c r="EF65" s="9" t="str">
        <f t="shared" si="104"/>
        <v/>
      </c>
      <c r="EG65" s="9" t="str">
        <f t="shared" si="105"/>
        <v/>
      </c>
      <c r="EI65">
        <f t="shared" si="203"/>
        <v>61</v>
      </c>
      <c r="EJ65" s="8">
        <f t="shared" si="204"/>
        <v>114.03421178146169</v>
      </c>
      <c r="EK65" s="8">
        <f t="shared" si="205"/>
        <v>10.604602902745253</v>
      </c>
      <c r="EL65" s="8">
        <f t="shared" si="206"/>
        <v>12.801827480081471</v>
      </c>
      <c r="EM65" s="8">
        <f t="shared" si="207"/>
        <v>0.6931471805599454</v>
      </c>
      <c r="EN65" s="8">
        <f t="shared" si="208"/>
        <v>0</v>
      </c>
      <c r="EO65" s="8">
        <f t="shared" si="209"/>
        <v>0</v>
      </c>
      <c r="EP65" s="8">
        <f t="shared" si="210"/>
        <v>0</v>
      </c>
      <c r="EQ65">
        <f t="shared" si="108"/>
        <v>138.13378934484837</v>
      </c>
      <c r="ES65" s="8">
        <f t="shared" si="211"/>
        <v>116.66740088896768</v>
      </c>
      <c r="ET65" s="8">
        <f t="shared" si="212"/>
        <v>8.4968217127774306</v>
      </c>
      <c r="EU65" s="8">
        <f t="shared" si="213"/>
        <v>11.087386729036007</v>
      </c>
      <c r="EV65" s="8">
        <f t="shared" si="214"/>
        <v>-2.3387992765680838</v>
      </c>
      <c r="EW65" s="8">
        <f t="shared" si="215"/>
        <v>0</v>
      </c>
      <c r="EX65" s="8">
        <f t="shared" si="216"/>
        <v>-3.6417051406930852</v>
      </c>
      <c r="EY65" s="8">
        <f t="shared" si="217"/>
        <v>0</v>
      </c>
      <c r="EZ65">
        <f t="shared" si="110"/>
        <v>130.27110491351993</v>
      </c>
      <c r="FB65">
        <f t="shared" si="111"/>
        <v>192.73904728784493</v>
      </c>
      <c r="FC65">
        <f t="shared" si="218"/>
        <v>0.41566908040341516</v>
      </c>
      <c r="FD65">
        <f t="shared" si="219"/>
        <v>199.66437100110431</v>
      </c>
      <c r="FE65">
        <f t="shared" si="220"/>
        <v>-14.372339064184416</v>
      </c>
      <c r="FG65">
        <f t="shared" si="221"/>
        <v>3.5213337846553627</v>
      </c>
      <c r="FJ65">
        <v>15.062813824651748</v>
      </c>
    </row>
    <row r="66" spans="4:166" x14ac:dyDescent="0.3">
      <c r="D66">
        <v>2015</v>
      </c>
      <c r="E66">
        <f t="shared" si="78"/>
        <v>22.861328740791372</v>
      </c>
      <c r="F66">
        <f t="shared" ref="F66:F73" si="225">J66/(J66+K66+BV66)</f>
        <v>0.40399673671024505</v>
      </c>
      <c r="G66">
        <f t="shared" ref="G66:G73" si="226">-LN(Su)*Relm-LN(1-F66)</f>
        <v>0.7671868130163978</v>
      </c>
      <c r="H66">
        <f t="shared" ref="H66:H73" si="227">K66/(E66-J66)</f>
        <v>0</v>
      </c>
      <c r="I66" s="2">
        <v>11.538328740791371</v>
      </c>
      <c r="J66">
        <f t="shared" ref="J66:J73" si="228">I66*SSLQmult</f>
        <v>11.538328740791371</v>
      </c>
      <c r="K66" s="2">
        <v>0</v>
      </c>
      <c r="L66">
        <f t="shared" ref="L66:L73" si="229">BX66/qspawn</f>
        <v>11.323</v>
      </c>
      <c r="M66" s="25">
        <f t="shared" ref="M66:M73" si="230">$K66/$AP66*AQ66/$AZ66</f>
        <v>0</v>
      </c>
      <c r="N66" s="25">
        <f t="shared" ref="N66:N73" si="231">$K66/$AP66*AR66/$AZ66</f>
        <v>0</v>
      </c>
      <c r="O66" s="25">
        <f t="shared" ref="O66:O73" si="232">$K66/$AP66*AS66/$AZ66</f>
        <v>0</v>
      </c>
      <c r="P66" s="25">
        <f t="shared" ref="P66:P73" si="233">$K66/$AP66*AT66/$AZ66</f>
        <v>0</v>
      </c>
      <c r="Q66" s="25">
        <f t="shared" ref="Q66:Q73" si="234">$K66/$AP66*AU66/$AZ66</f>
        <v>0</v>
      </c>
      <c r="R66" s="25">
        <f t="shared" ref="R66:R73" si="235">$K66/$AP66*AV66/$AZ66</f>
        <v>0</v>
      </c>
      <c r="S66" s="25">
        <f t="shared" ref="S66:S73" si="236">$K66/$AP66*AW66/$AZ66</f>
        <v>0</v>
      </c>
      <c r="T66" s="25">
        <f t="shared" ref="T66:T73" si="237">$K66/$AP66*AX66/$AZ66</f>
        <v>0</v>
      </c>
      <c r="U66" s="25">
        <f t="shared" ref="U66:U73" si="238">$K66/$AP66*AY66/$AZ66</f>
        <v>0</v>
      </c>
      <c r="V66">
        <f t="shared" ref="V66" si="239">SUM(M66:U66)</f>
        <v>0</v>
      </c>
      <c r="W66">
        <f t="shared" ref="W66:W73" si="240">$L66/$AP66*AQ66/$AZ66/spq</f>
        <v>19.398081737346914</v>
      </c>
      <c r="X66">
        <f t="shared" ref="X66:X73" si="241">$L66/$AP66*AR66/$AZ66/spq</f>
        <v>32.896286079924721</v>
      </c>
      <c r="Y66">
        <f t="shared" ref="Y66:Y73" si="242">$L66/$AP66*AS66/$AZ66/spq</f>
        <v>69.815215838101096</v>
      </c>
      <c r="Z66">
        <f t="shared" ref="Z66:Z73" si="243">$L66/$AP66*AT66/$AZ66/spq</f>
        <v>9.3861685825872154</v>
      </c>
      <c r="AA66">
        <f t="shared" ref="AA66:AA73" si="244">$L66/$AP66*AU66/$AZ66/spq</f>
        <v>2.4135862069509981</v>
      </c>
      <c r="AB66">
        <f t="shared" ref="AB66:AB73" si="245">$L66/$AP66*AV66/$AZ66/spq</f>
        <v>3.8438595147738122</v>
      </c>
      <c r="AC66">
        <f t="shared" ref="AC66:AC73" si="246">$L66/$AP66*AW66/$AZ66/spq</f>
        <v>0.53635249043355526</v>
      </c>
      <c r="AD66">
        <f t="shared" ref="AD66:AD73" si="247">$L66/$AP66*AX66/$AZ66/spq</f>
        <v>0</v>
      </c>
      <c r="AE66">
        <f t="shared" ref="AE66:AE73" si="248">$L66/$AP66*AY66/$AZ66/spq</f>
        <v>8.9392081738925863E-2</v>
      </c>
      <c r="AF66">
        <f t="shared" ref="AF66:AF73" si="249">SUM(W66:AE66)</f>
        <v>138.37894253185726</v>
      </c>
      <c r="AG66" s="2">
        <v>5.9799999999999999E-2</v>
      </c>
      <c r="AH66" s="2">
        <v>7.5399999999999995E-2</v>
      </c>
      <c r="AI66" s="2">
        <v>8.6400000000000005E-2</v>
      </c>
      <c r="AJ66" s="2">
        <v>9.7699999999999995E-2</v>
      </c>
      <c r="AK66" s="2">
        <v>0.1022</v>
      </c>
      <c r="AL66" s="2">
        <v>0.1086</v>
      </c>
      <c r="AM66" s="2">
        <v>0.10780000000000001</v>
      </c>
      <c r="AN66" s="2">
        <v>0.157</v>
      </c>
      <c r="AO66" s="2">
        <v>0.13</v>
      </c>
      <c r="AP66">
        <f t="shared" ref="AP66:AP73" si="250">SUMPRODUCT(AQ66:AY66,AG66:AO66)/AZ66</f>
        <v>8.1826033591731268E-2</v>
      </c>
      <c r="AQ66" s="2">
        <v>217</v>
      </c>
      <c r="AR66" s="2">
        <v>368</v>
      </c>
      <c r="AS66" s="2">
        <v>781</v>
      </c>
      <c r="AT66" s="2">
        <v>105</v>
      </c>
      <c r="AU66" s="2">
        <v>27</v>
      </c>
      <c r="AV66" s="2">
        <v>43</v>
      </c>
      <c r="AW66" s="2">
        <v>6</v>
      </c>
      <c r="AX66" s="2">
        <v>0</v>
      </c>
      <c r="AY66" s="2">
        <v>1</v>
      </c>
      <c r="AZ66">
        <f t="shared" ref="AZ66:AZ73" si="251">SUM(AQ66:AY66)</f>
        <v>1548</v>
      </c>
      <c r="BA66">
        <f t="shared" ref="BA66:BA73" si="252">D66</f>
        <v>2015</v>
      </c>
      <c r="BB66">
        <f t="shared" si="222"/>
        <v>0.77906750988695506</v>
      </c>
      <c r="BC66">
        <f t="shared" si="123"/>
        <v>1.2258255908864892</v>
      </c>
      <c r="BD66">
        <f t="shared" ref="BD66:BD72" si="253">$J66/$AP66*AQ66/$AZ66</f>
        <v>19.76697377252054</v>
      </c>
      <c r="BE66">
        <f t="shared" ref="BE66:BE73" si="254">$J66/$AP66*AR66/$AZ66</f>
        <v>33.521872572753729</v>
      </c>
      <c r="BF66">
        <f t="shared" ref="BF66:BF73" si="255">$J66/$AP66*AS66/$AZ66</f>
        <v>71.142887172067006</v>
      </c>
      <c r="BG66">
        <f t="shared" ref="BG66:BG73" si="256">$J66/$AP66*AT66/$AZ66</f>
        <v>9.5646647286389701</v>
      </c>
      <c r="BH66">
        <f t="shared" ref="BH66:BH73" si="257">$J66/$AP66*AU66/$AZ66</f>
        <v>2.4594852159357354</v>
      </c>
      <c r="BI66">
        <f t="shared" ref="BI66:BI73" si="258">$J66/$AP66*AV66/$AZ66</f>
        <v>3.9169579364902445</v>
      </c>
      <c r="BJ66">
        <f t="shared" ref="BJ66:BJ73" si="259">$J66/$AP66*AW66/$AZ66</f>
        <v>0.54655227020794117</v>
      </c>
      <c r="BK66">
        <f t="shared" ref="BK66:BK73" si="260">$J66/$AP66*AX66/$AZ66</f>
        <v>0</v>
      </c>
      <c r="BL66">
        <f t="shared" ref="BL66:BL73" si="261">$J66/$AP66*AY66/$AZ66</f>
        <v>9.1092045034656857E-2</v>
      </c>
      <c r="BM66" s="24">
        <f t="shared" ref="BM66:BM71" si="262">(BN67*EXP(Relm*BZ$5)+M66+BD66)+0.0001</f>
        <v>628.18405467361936</v>
      </c>
      <c r="BN66" s="24">
        <f t="shared" ref="BN66:BN72" si="263">(BO67*EXP(Relm*CA$5)+N66+BE66)+0.0001</f>
        <v>180.36835838055219</v>
      </c>
      <c r="BO66" s="24">
        <f t="shared" ref="BO66:BO72" si="264">(BP67*EXP(Relm*CB$5)+O66+BF66)+0.0001</f>
        <v>150.17989567913568</v>
      </c>
      <c r="BP66" s="24">
        <f t="shared" ref="BP66:BP72" si="265">(BQ67*EXP(Relm*CC$5)+P66+BG66)+0.0001</f>
        <v>21.710424854338278</v>
      </c>
      <c r="BQ66" s="24">
        <f t="shared" ref="BQ66:BQ72" si="266">(BR67*EXP(Relm*CD$5)+Q66+BH66)+0.0001</f>
        <v>5.1005689806600003</v>
      </c>
      <c r="BR66" s="24">
        <f t="shared" ref="BR66:BR72" si="267">(BS67*EXP(Relm*CE$5)+R66+BI66)+0.0001</f>
        <v>6.0565066902974554</v>
      </c>
      <c r="BS66" s="24">
        <f t="shared" ref="BS66:BS72" si="268">(BT67*EXP(Relm*CF$5)+S66+BJ66)+0.0001</f>
        <v>0.83775739836895791</v>
      </c>
      <c r="BT66" s="24">
        <f t="shared" ref="BT66:BT71" si="269">(BU67*EXP(Relm*CG$5)+T66+BK66)+0.0001</f>
        <v>3.8761464331309625E-4</v>
      </c>
      <c r="BU66" s="23">
        <f t="shared" ref="BU66:BU72" si="270">(U66+BL66)+0.0001</f>
        <v>9.119204503465686E-2</v>
      </c>
      <c r="BV66">
        <f t="shared" ref="BV66:BV73" si="271">SUMPRODUCT(DD66:DL66,AG66:AO66)</f>
        <v>17.022121610239317</v>
      </c>
      <c r="BW66">
        <v>0.84911064594111529</v>
      </c>
      <c r="BX66" s="2">
        <v>11.323</v>
      </c>
      <c r="CJ66">
        <v>2015</v>
      </c>
      <c r="CK66">
        <f t="shared" ref="CK66:CK73" si="272">SUM(AS66:AY66)</f>
        <v>963</v>
      </c>
      <c r="CL66">
        <f t="shared" ref="CL66:CL73" si="273">SUM(BO66:BU66)</f>
        <v>183.97673326247832</v>
      </c>
      <c r="CM66" s="9">
        <f t="shared" ref="CM66:CM73" si="274">AS66/$CK66</f>
        <v>0.81100726895119424</v>
      </c>
      <c r="CN66" s="9">
        <f t="shared" ref="CN66:CN73" si="275">AT66/$CK66</f>
        <v>0.10903426791277258</v>
      </c>
      <c r="CO66" s="9">
        <f t="shared" ref="CO66:CO73" si="276">AU66/$CK66</f>
        <v>2.8037383177570093E-2</v>
      </c>
      <c r="CP66" s="9">
        <f t="shared" ref="CP66:CS73" si="277">AV66/$CK66</f>
        <v>4.46521287642783E-2</v>
      </c>
      <c r="CQ66" s="27">
        <f t="shared" si="277"/>
        <v>6.2305295950155761E-3</v>
      </c>
      <c r="CR66" s="27">
        <f t="shared" si="277"/>
        <v>0</v>
      </c>
      <c r="CS66" s="27">
        <f t="shared" si="277"/>
        <v>1.0384215991692627E-3</v>
      </c>
      <c r="CT66" s="29">
        <f t="shared" ref="CT66:CT73" si="278">BO66/$CL66</f>
        <v>0.81629830585629037</v>
      </c>
      <c r="CU66" s="9">
        <f t="shared" ref="CU66:CU73" si="279">BP66/$CL66</f>
        <v>0.11800636129006686</v>
      </c>
      <c r="CV66" s="9">
        <f t="shared" ref="CV66:CV73" si="280">BQ66/$CL66</f>
        <v>2.7723989279574032E-2</v>
      </c>
      <c r="CW66" s="9">
        <f t="shared" ref="CW66:CW73" si="281">BR66/$CL66</f>
        <v>3.2919959947634678E-2</v>
      </c>
      <c r="CX66" s="9">
        <f t="shared" ref="CX66:CX73" si="282">BS66/$CL66</f>
        <v>4.5536051407855755E-3</v>
      </c>
      <c r="CY66" s="9">
        <f t="shared" ref="CY66:CY73" si="283">BT66/$CL66</f>
        <v>2.1068677350634831E-6</v>
      </c>
      <c r="CZ66" s="9">
        <f t="shared" ref="CZ66:CZ73" si="284">BU66/$CL66</f>
        <v>4.9567161791352064E-4</v>
      </c>
      <c r="DA66">
        <f t="shared" ref="DA66:DA73" si="285">SUMPRODUCT(CM66:CS66,LN(CT66:CZ66+0.000001))</f>
        <v>-0.69206555814195636</v>
      </c>
      <c r="DB66">
        <f t="shared" ref="DB66:DB73" si="286">SUMPRODUCT(CM66:CS66,LN(CT66:CZ66+0.001))</f>
        <v>-0.68544684868557226</v>
      </c>
      <c r="DC66">
        <f t="shared" ref="DC66:DC73" si="287">neffective</f>
        <v>100</v>
      </c>
      <c r="DD66">
        <f t="shared" ref="DD66:DD73" si="288">BZ$2*(BM66-BD66-M66)</f>
        <v>39.107995224234209</v>
      </c>
      <c r="DE66">
        <f t="shared" ref="DE66:DE73" si="289">CA$2*(BN66-BE66-N66)</f>
        <v>95.407559624381065</v>
      </c>
      <c r="DF66">
        <f t="shared" ref="DF66:DF73" si="290">CB$2*(BO66-BF66-O66)</f>
        <v>66.774921436781469</v>
      </c>
      <c r="DG66">
        <f t="shared" ref="DG66:DG73" si="291">CC$2*(BP66-BG66-P66)</f>
        <v>12.145760125699308</v>
      </c>
      <c r="DH66">
        <f t="shared" ref="DH66:DH73" si="292">CD$2*(BQ66-BH66-Q66)</f>
        <v>2.6410837647242649</v>
      </c>
      <c r="DI66">
        <f t="shared" ref="DI66:DI73" si="293">CE$2*(BR66-BI66-R66)</f>
        <v>2.1395487538072109</v>
      </c>
      <c r="DJ66">
        <f t="shared" ref="DJ66:DJ73" si="294">CF$2*(BS66-BJ66-S66)</f>
        <v>0.29120512816101674</v>
      </c>
      <c r="DK66">
        <f t="shared" ref="DK66:DK73" si="295">CG$2*(BT66-BK66-T66)</f>
        <v>3.8761464331309625E-4</v>
      </c>
      <c r="DL66">
        <f t="shared" ref="DL66:DL73" si="296">CH$2*(BU66-BL66-U66)</f>
        <v>1.0000000000000286E-4</v>
      </c>
      <c r="DM66">
        <f t="shared" ref="DM66:DM73" si="297">D66</f>
        <v>2015</v>
      </c>
      <c r="DN66" s="9" t="str">
        <f t="shared" ref="DN66:DN73" si="298">IF(AND(M66&gt;0,BM66&gt;M66+BD66),M66/(BM66-BD66),"")</f>
        <v/>
      </c>
      <c r="DO66" s="9" t="str">
        <f t="shared" ref="DO66:DO73" si="299">IF(AND(N66&gt;0,BN66&gt;N66+BE66),N66/(BN66-BE66),"")</f>
        <v/>
      </c>
      <c r="DP66" s="9" t="str">
        <f t="shared" ref="DP66:DP73" si="300">IF(AND(O66&gt;0,BO66&gt;O66+BF66),O66/(BO66-BF66),"")</f>
        <v/>
      </c>
      <c r="DQ66" s="9" t="str">
        <f t="shared" ref="DQ66:DQ73" si="301">IF(AND(P66&gt;0,BP66&gt;P66+BG66),P66/(BP66-BG66),"")</f>
        <v/>
      </c>
      <c r="DR66" s="9" t="str">
        <f t="shared" ref="DR66:DR73" si="302">IF(AND(Q66&gt;0,BQ66&gt;Q66+BH66),Q66/(BQ66-BH66),"")</f>
        <v/>
      </c>
      <c r="DS66" s="9" t="str">
        <f t="shared" ref="DS66:DS73" si="303">IF(AND(R66&gt;0,BR66&gt;R66+BI66),R66/(BR66-BI66),"")</f>
        <v/>
      </c>
      <c r="DT66" s="9" t="str">
        <f t="shared" ref="DT66:DT73" si="304">IF(AND(S66&gt;0,BS66&gt;S66+BJ66),S66/(BS66-BJ66),"")</f>
        <v/>
      </c>
      <c r="DU66" s="9" t="str">
        <f t="shared" ref="DU66:DU73" si="305">IF(AND(T66&gt;0,BT66&gt;T66+BK66),T66/(BT66-BK66),"")</f>
        <v/>
      </c>
      <c r="DV66" s="9" t="str">
        <f t="shared" ref="DV66:DV73" si="306">IF(AND(U66&gt;0,BU66&gt;U66+BL66),U66/(BU66-BL66),"")</f>
        <v/>
      </c>
      <c r="DW66">
        <f t="shared" ref="DW66:DW73" si="307">SUM(O66:U66)/(SUM(BO66:BU66)-SUM(BF66:BL66))</f>
        <v>0</v>
      </c>
      <c r="DX66">
        <f t="shared" si="96"/>
        <v>2015</v>
      </c>
      <c r="DY66" s="9" t="str">
        <f t="shared" si="223"/>
        <v/>
      </c>
      <c r="DZ66" s="9" t="str">
        <f t="shared" si="224"/>
        <v/>
      </c>
      <c r="EA66" s="9" t="str">
        <f t="shared" si="99"/>
        <v/>
      </c>
      <c r="EB66" s="9" t="str">
        <f t="shared" si="100"/>
        <v/>
      </c>
      <c r="EC66" s="9" t="str">
        <f t="shared" si="101"/>
        <v/>
      </c>
      <c r="ED66" s="9" t="str">
        <f t="shared" si="102"/>
        <v/>
      </c>
      <c r="EE66" s="9" t="str">
        <f t="shared" si="103"/>
        <v/>
      </c>
      <c r="EF66" s="9" t="str">
        <f t="shared" si="104"/>
        <v/>
      </c>
      <c r="EG66" s="9" t="str">
        <f t="shared" si="105"/>
        <v/>
      </c>
      <c r="EI66">
        <f t="shared" ref="EI66:EI73" si="308">CK66</f>
        <v>963</v>
      </c>
      <c r="EJ66" s="8">
        <f t="shared" ref="EJ66:EJ73" si="309">GAMMALN($EI66*CM66+1)</f>
        <v>4425.1585248337242</v>
      </c>
      <c r="EK66" s="8">
        <f t="shared" ref="EK66:EK73" si="310">GAMMALN($EI66*CN66+1)</f>
        <v>386.9125491232175</v>
      </c>
      <c r="EL66" s="8">
        <f t="shared" ref="EL66:EL73" si="311">GAMMALN($EI66*CO66+1)</f>
        <v>64.557538627006323</v>
      </c>
      <c r="EM66" s="8">
        <f t="shared" ref="EM66:EM73" si="312">GAMMALN($EI66*CP66+1)</f>
        <v>121.53308151543864</v>
      </c>
      <c r="EN66" s="8">
        <f t="shared" ref="EN66:EN73" si="313">GAMMALN($EI66*CQ66+1)</f>
        <v>6.5792512120101012</v>
      </c>
      <c r="EO66" s="8">
        <f t="shared" ref="EO66:EO73" si="314">GAMMALN($EI66*CR66+1)</f>
        <v>0</v>
      </c>
      <c r="EP66" s="8">
        <f t="shared" ref="EP66:EP73" si="315">GAMMALN($EI66*CS66+1)</f>
        <v>0</v>
      </c>
      <c r="EQ66">
        <f t="shared" si="108"/>
        <v>5004.740945311396</v>
      </c>
      <c r="ES66" s="8">
        <f t="shared" ref="ES66:ES73" si="316">GAMMALN($EI66*CM66+theta_dm*$EI66*CT66)-GAMMALN(theta_dm*$EI66*CT66)</f>
        <v>4562.1476555052477</v>
      </c>
      <c r="ET66" s="8">
        <f t="shared" ref="ET66:ET73" si="317">GAMMALN($EI66*CN66+theta_dm*$EI66*CU66)-GAMMALN(theta_dm*$EI66*CU66)</f>
        <v>402.39601228768538</v>
      </c>
      <c r="EU66" s="8">
        <f t="shared" ref="EU66:EU73" si="318">GAMMALN($EI66*CO66+theta_dm*$EI66*CV66)-GAMMALN(theta_dm*$EI66*CV66)</f>
        <v>65.201736880584122</v>
      </c>
      <c r="EV66" s="8">
        <f t="shared" ref="EV66:EV73" si="319">GAMMALN($EI66*CP66+theta_dm*$EI66*CW66)-GAMMALN(theta_dm*$EI66*CW66)</f>
        <v>123.12755597940894</v>
      </c>
      <c r="EW66" s="8">
        <f t="shared" ref="EW66:EW73" si="320">GAMMALN($EI66*CQ66+theta_dm*$EI66*CX66)-GAMMALN(theta_dm*$EI66*CX66)</f>
        <v>3.5537087553995441</v>
      </c>
      <c r="EX66" s="8">
        <f t="shared" ref="EX66:EX73" si="321">GAMMALN($EI66*CR66+theta_dm*$EI66*CY66)-GAMMALN(theta_dm*$EI66*CY66)</f>
        <v>0</v>
      </c>
      <c r="EY66" s="8">
        <f t="shared" ref="EY66:EY73" si="322">GAMMALN($EI66*CS66+theta_dm*$EI66*CZ66)-GAMMALN(theta_dm*$EI66*CZ66)</f>
        <v>-3.8661693148446186</v>
      </c>
      <c r="EZ66">
        <f t="shared" si="110"/>
        <v>5152.5605000934802</v>
      </c>
      <c r="FB66">
        <f t="shared" si="111"/>
        <v>5657.2154873358286</v>
      </c>
      <c r="FC66">
        <f t="shared" ref="FC66:FC73" si="323">GAMMALN(theta_dm*$EI66)</f>
        <v>114.93852725994213</v>
      </c>
      <c r="FD66">
        <f t="shared" ref="FD66:FD73" si="324">GAMMALN($EI66+theta_dm*$EI66)</f>
        <v>5941.4456591075132</v>
      </c>
      <c r="FE66">
        <f t="shared" ref="FE66:FE73" si="325">FB66-EQ66+FC66-FD66+EZ66</f>
        <v>-21.472089729658364</v>
      </c>
      <c r="FG66">
        <f t="shared" ref="FG66:FG73" si="326">(1+theta_dm*$EI66)/(1+theta_dm)</f>
        <v>41.425385013974314</v>
      </c>
      <c r="FJ66">
        <v>12.325530897489257</v>
      </c>
    </row>
    <row r="67" spans="4:166" x14ac:dyDescent="0.3">
      <c r="D67">
        <v>2016</v>
      </c>
      <c r="E67">
        <f t="shared" ref="E67:E73" si="327">SUM(J67:L67)</f>
        <v>32.75862846523885</v>
      </c>
      <c r="F67">
        <f t="shared" si="225"/>
        <v>0.28977270206526373</v>
      </c>
      <c r="G67">
        <f t="shared" si="226"/>
        <v>0.5676213891521289</v>
      </c>
      <c r="H67">
        <f t="shared" si="227"/>
        <v>0</v>
      </c>
      <c r="I67" s="2">
        <v>12.230628465238853</v>
      </c>
      <c r="J67">
        <f t="shared" si="228"/>
        <v>12.230628465238853</v>
      </c>
      <c r="K67" s="2">
        <v>0</v>
      </c>
      <c r="L67">
        <f t="shared" si="229"/>
        <v>20.527999999999999</v>
      </c>
      <c r="M67" s="25">
        <f t="shared" si="230"/>
        <v>0</v>
      </c>
      <c r="N67" s="25">
        <f t="shared" si="231"/>
        <v>0</v>
      </c>
      <c r="O67" s="25">
        <f t="shared" si="232"/>
        <v>0</v>
      </c>
      <c r="P67" s="25">
        <f t="shared" si="233"/>
        <v>0</v>
      </c>
      <c r="Q67" s="25">
        <f t="shared" si="234"/>
        <v>0</v>
      </c>
      <c r="R67" s="25">
        <f t="shared" si="235"/>
        <v>0</v>
      </c>
      <c r="S67" s="25">
        <f t="shared" si="236"/>
        <v>0</v>
      </c>
      <c r="T67" s="25">
        <f t="shared" si="237"/>
        <v>0</v>
      </c>
      <c r="U67" s="25">
        <f t="shared" si="238"/>
        <v>0</v>
      </c>
      <c r="V67">
        <f t="shared" ref="V67:V73" si="328">SUM(M67:U67)</f>
        <v>0</v>
      </c>
      <c r="W67">
        <f t="shared" si="240"/>
        <v>10.155305120089645</v>
      </c>
      <c r="X67">
        <f t="shared" si="241"/>
        <v>166.45869696842593</v>
      </c>
      <c r="Y67">
        <f t="shared" si="242"/>
        <v>43.049663009075672</v>
      </c>
      <c r="Z67">
        <f t="shared" si="243"/>
        <v>31.790520375932804</v>
      </c>
      <c r="AA67">
        <f t="shared" si="244"/>
        <v>3.5322800417703113</v>
      </c>
      <c r="AB67">
        <f t="shared" si="245"/>
        <v>0.66230250783193334</v>
      </c>
      <c r="AC67">
        <f t="shared" si="246"/>
        <v>1.1038375130532223</v>
      </c>
      <c r="AD67">
        <f t="shared" si="247"/>
        <v>0.22076750261064446</v>
      </c>
      <c r="AE67">
        <f t="shared" si="248"/>
        <v>0</v>
      </c>
      <c r="AF67">
        <f t="shared" si="249"/>
        <v>256.97337303879021</v>
      </c>
      <c r="AG67" s="2">
        <v>6.3299999999999995E-2</v>
      </c>
      <c r="AH67" s="2">
        <v>7.6999999999999999E-2</v>
      </c>
      <c r="AI67" s="2">
        <v>8.2400000000000001E-2</v>
      </c>
      <c r="AJ67" s="2">
        <v>9.1999999999999998E-2</v>
      </c>
      <c r="AK67" s="2">
        <v>9.4500000000000001E-2</v>
      </c>
      <c r="AL67" s="2">
        <v>0.12130000000000001</v>
      </c>
      <c r="AM67" s="2">
        <v>0.13539999999999999</v>
      </c>
      <c r="AN67" s="2">
        <v>0.14599999999999999</v>
      </c>
      <c r="AO67" s="2">
        <v>0.1547</v>
      </c>
      <c r="AP67">
        <f t="shared" si="250"/>
        <v>7.9883762886597959E-2</v>
      </c>
      <c r="AQ67" s="2">
        <v>46</v>
      </c>
      <c r="AR67" s="2">
        <v>754</v>
      </c>
      <c r="AS67" s="2">
        <v>195</v>
      </c>
      <c r="AT67" s="2">
        <v>144</v>
      </c>
      <c r="AU67" s="2">
        <v>16</v>
      </c>
      <c r="AV67" s="2">
        <v>3</v>
      </c>
      <c r="AW67" s="2">
        <v>5</v>
      </c>
      <c r="AX67" s="2">
        <v>1</v>
      </c>
      <c r="AY67" s="2">
        <v>0</v>
      </c>
      <c r="AZ67">
        <f t="shared" si="251"/>
        <v>1164</v>
      </c>
      <c r="BA67">
        <f t="shared" si="252"/>
        <v>2016</v>
      </c>
      <c r="BB67">
        <f t="shared" ref="BB67:BB73" si="329">-LN((SUM(Z67:AE67)+SUM(P67:U67))/SUM(Y66:AD66))</f>
        <v>0.83503771948103456</v>
      </c>
      <c r="BC67">
        <f t="shared" si="123"/>
        <v>0.76748673329600603</v>
      </c>
      <c r="BD67">
        <f t="shared" si="253"/>
        <v>6.0505535792553733</v>
      </c>
      <c r="BE67">
        <f t="shared" si="254"/>
        <v>99.176465190403292</v>
      </c>
      <c r="BF67">
        <f t="shared" si="255"/>
        <v>25.649085825104301</v>
      </c>
      <c r="BG67">
        <f t="shared" si="256"/>
        <v>18.940863378538559</v>
      </c>
      <c r="BH67">
        <f t="shared" si="257"/>
        <v>2.1045403753931735</v>
      </c>
      <c r="BI67">
        <f t="shared" si="258"/>
        <v>0.39460132038621998</v>
      </c>
      <c r="BJ67">
        <f t="shared" si="259"/>
        <v>0.65766886731036667</v>
      </c>
      <c r="BK67">
        <f t="shared" si="260"/>
        <v>0.13153377346207334</v>
      </c>
      <c r="BL67">
        <f t="shared" si="261"/>
        <v>0</v>
      </c>
      <c r="BM67" s="24">
        <f t="shared" si="262"/>
        <v>73.157249526835827</v>
      </c>
      <c r="BN67" s="24">
        <f t="shared" si="263"/>
        <v>473.98837417814252</v>
      </c>
      <c r="BO67" s="24">
        <f t="shared" si="264"/>
        <v>114.40094844145884</v>
      </c>
      <c r="BP67" s="24">
        <f t="shared" si="265"/>
        <v>61.573849743391378</v>
      </c>
      <c r="BQ67" s="24">
        <f t="shared" si="266"/>
        <v>8.7041153604472932</v>
      </c>
      <c r="BR67" s="24">
        <f t="shared" si="267"/>
        <v>1.6930867760423078</v>
      </c>
      <c r="BS67" s="24">
        <f t="shared" si="268"/>
        <v>1.1820682235369142</v>
      </c>
      <c r="BT67" s="24">
        <f t="shared" si="269"/>
        <v>0.13189336590168785</v>
      </c>
      <c r="BU67" s="23">
        <f t="shared" si="270"/>
        <v>1E-4</v>
      </c>
      <c r="BV67">
        <f t="shared" si="271"/>
        <v>29.977034223720111</v>
      </c>
      <c r="BW67">
        <v>0.76672047224906259</v>
      </c>
      <c r="BX67" s="2">
        <v>20.527999999999999</v>
      </c>
      <c r="CJ67">
        <v>2016</v>
      </c>
      <c r="CK67">
        <f t="shared" si="272"/>
        <v>364</v>
      </c>
      <c r="CL67">
        <f t="shared" si="273"/>
        <v>187.68606191077842</v>
      </c>
      <c r="CM67" s="9">
        <f t="shared" si="274"/>
        <v>0.5357142857142857</v>
      </c>
      <c r="CN67" s="9">
        <f t="shared" si="275"/>
        <v>0.39560439560439559</v>
      </c>
      <c r="CO67" s="9">
        <f t="shared" si="276"/>
        <v>4.3956043956043959E-2</v>
      </c>
      <c r="CP67" s="9">
        <f t="shared" si="277"/>
        <v>8.241758241758242E-3</v>
      </c>
      <c r="CQ67" s="27">
        <f t="shared" si="277"/>
        <v>1.3736263736263736E-2</v>
      </c>
      <c r="CR67" s="27">
        <f t="shared" si="277"/>
        <v>2.7472527472527475E-3</v>
      </c>
      <c r="CS67" s="27">
        <f t="shared" si="277"/>
        <v>0</v>
      </c>
      <c r="CT67" s="29">
        <f t="shared" si="278"/>
        <v>0.60953353316050918</v>
      </c>
      <c r="CU67" s="9">
        <f t="shared" si="279"/>
        <v>0.32806831320624197</v>
      </c>
      <c r="CV67" s="9">
        <f t="shared" si="280"/>
        <v>4.6375928355218123E-2</v>
      </c>
      <c r="CW67" s="9">
        <f t="shared" si="281"/>
        <v>9.0208444825655831E-3</v>
      </c>
      <c r="CX67" s="9">
        <f t="shared" si="282"/>
        <v>6.2981140501463658E-3</v>
      </c>
      <c r="CY67" s="9">
        <f t="shared" si="283"/>
        <v>7.0273394070352905E-4</v>
      </c>
      <c r="CZ67" s="9">
        <f t="shared" si="284"/>
        <v>5.3280461522783547E-7</v>
      </c>
      <c r="DA67">
        <f t="shared" si="285"/>
        <v>-0.96946269725411938</v>
      </c>
      <c r="DB67">
        <f t="shared" si="286"/>
        <v>-0.96113072940666999</v>
      </c>
      <c r="DC67">
        <f t="shared" si="287"/>
        <v>100</v>
      </c>
      <c r="DD67">
        <f t="shared" si="288"/>
        <v>4.3135020810809941</v>
      </c>
      <c r="DE67">
        <f t="shared" si="289"/>
        <v>243.51886501036543</v>
      </c>
      <c r="DF67">
        <f t="shared" si="290"/>
        <v>74.982577978581631</v>
      </c>
      <c r="DG67">
        <f t="shared" si="291"/>
        <v>42.632986364852819</v>
      </c>
      <c r="DH67">
        <f t="shared" si="292"/>
        <v>6.5995749850541197</v>
      </c>
      <c r="DI67">
        <f t="shared" si="293"/>
        <v>1.2984854556560879</v>
      </c>
      <c r="DJ67">
        <f t="shared" si="294"/>
        <v>0.52439935622654754</v>
      </c>
      <c r="DK67">
        <f t="shared" si="295"/>
        <v>3.5959243961450338E-4</v>
      </c>
      <c r="DL67">
        <f t="shared" si="296"/>
        <v>1E-4</v>
      </c>
      <c r="DM67">
        <f t="shared" si="297"/>
        <v>2016</v>
      </c>
      <c r="DN67" s="9" t="str">
        <f t="shared" si="298"/>
        <v/>
      </c>
      <c r="DO67" s="9" t="str">
        <f t="shared" si="299"/>
        <v/>
      </c>
      <c r="DP67" s="9" t="str">
        <f t="shared" si="300"/>
        <v/>
      </c>
      <c r="DQ67" s="9" t="str">
        <f t="shared" si="301"/>
        <v/>
      </c>
      <c r="DR67" s="9" t="str">
        <f t="shared" si="302"/>
        <v/>
      </c>
      <c r="DS67" s="9" t="str">
        <f t="shared" si="303"/>
        <v/>
      </c>
      <c r="DT67" s="9" t="str">
        <f t="shared" si="304"/>
        <v/>
      </c>
      <c r="DU67" s="9" t="str">
        <f t="shared" si="305"/>
        <v/>
      </c>
      <c r="DV67" s="9" t="str">
        <f t="shared" si="306"/>
        <v/>
      </c>
      <c r="DW67">
        <f t="shared" si="307"/>
        <v>0</v>
      </c>
      <c r="DX67">
        <f t="shared" ref="DX67:DX73" si="330">DM67</f>
        <v>2016</v>
      </c>
      <c r="DY67" s="9" t="str">
        <f t="shared" ref="DY67:DY73" si="331">IF(AND($DW67&gt;0,DN67&lt;&gt;""),DN67/$DW67,"")</f>
        <v/>
      </c>
      <c r="DZ67" s="9" t="str">
        <f t="shared" ref="DZ67:DZ73" si="332">IF(AND($DW67&gt;0,DO67&lt;&gt;""),DO67/$DW67,"")</f>
        <v/>
      </c>
      <c r="EA67" s="9" t="str">
        <f t="shared" ref="EA67:EA73" si="333">IF(AND($DW67&gt;0,DP67&lt;&gt;""),DP67/$DW67,"")</f>
        <v/>
      </c>
      <c r="EB67" s="9" t="str">
        <f t="shared" ref="EB67:EB73" si="334">IF(AND($DW67&gt;0,DQ67&lt;&gt;""),DQ67/$DW67,"")</f>
        <v/>
      </c>
      <c r="EC67" s="9" t="str">
        <f t="shared" ref="EC67:EC73" si="335">IF(AND($DW67&gt;0,DR67&lt;&gt;""),DR67/$DW67,"")</f>
        <v/>
      </c>
      <c r="ED67" s="9" t="str">
        <f t="shared" ref="ED67:ED73" si="336">IF(AND($DW67&gt;0,DS67&lt;&gt;""),DS67/$DW67,"")</f>
        <v/>
      </c>
      <c r="EE67" s="9" t="str">
        <f t="shared" ref="EE67:EE73" si="337">IF(AND($DW67&gt;0,DT67&lt;&gt;""),DT67/$DW67,"")</f>
        <v/>
      </c>
      <c r="EF67" s="9" t="str">
        <f t="shared" ref="EF67:EF73" si="338">IF(AND($DW67&gt;0,DU67&lt;&gt;""),DU67/$DW67,"")</f>
        <v/>
      </c>
      <c r="EG67" s="9" t="str">
        <f t="shared" ref="EG67:EG73" si="339">IF(AND($DW67&gt;0,DV67&lt;&gt;""),DV67/$DW67,"")</f>
        <v/>
      </c>
      <c r="EI67">
        <f t="shared" si="308"/>
        <v>364</v>
      </c>
      <c r="EJ67" s="8">
        <f t="shared" si="309"/>
        <v>836.7907795824699</v>
      </c>
      <c r="EK67" s="8">
        <f t="shared" si="310"/>
        <v>575.0575390247102</v>
      </c>
      <c r="EL67" s="8">
        <f t="shared" si="311"/>
        <v>30.671860106080675</v>
      </c>
      <c r="EM67" s="8">
        <f t="shared" si="312"/>
        <v>1.791759469228055</v>
      </c>
      <c r="EN67" s="8">
        <f t="shared" si="313"/>
        <v>4.7874917427820458</v>
      </c>
      <c r="EO67" s="8">
        <f t="shared" si="314"/>
        <v>0</v>
      </c>
      <c r="EP67" s="8">
        <f t="shared" si="315"/>
        <v>0</v>
      </c>
      <c r="EQ67">
        <f t="shared" ref="EQ67:EQ73" si="340">SUM(EJ67:EP67)</f>
        <v>1449.0994299252709</v>
      </c>
      <c r="ES67" s="8">
        <f t="shared" si="316"/>
        <v>870.84840411924642</v>
      </c>
      <c r="ET67" s="8">
        <f t="shared" si="317"/>
        <v>592.65417358933689</v>
      </c>
      <c r="EU67" s="8">
        <f t="shared" si="318"/>
        <v>29.732637872264863</v>
      </c>
      <c r="EV67" s="8">
        <f t="shared" si="319"/>
        <v>-1.0404363502520879</v>
      </c>
      <c r="EW67" s="8">
        <f t="shared" si="320"/>
        <v>1.0837570655412483</v>
      </c>
      <c r="EX67" s="8">
        <f t="shared" si="321"/>
        <v>-4.4900041483643278</v>
      </c>
      <c r="EY67" s="8">
        <f t="shared" si="322"/>
        <v>0</v>
      </c>
      <c r="EZ67">
        <f t="shared" ref="EZ67:EZ73" si="341">SUM(ES67:EY67)</f>
        <v>1488.7885321477731</v>
      </c>
      <c r="FB67">
        <f t="shared" ref="FB67:FB73" si="342">GAMMALN($EI67+1)</f>
        <v>1786.431752224468</v>
      </c>
      <c r="FC67">
        <f t="shared" si="323"/>
        <v>27.809026254913945</v>
      </c>
      <c r="FD67">
        <f t="shared" si="324"/>
        <v>1875.018542947756</v>
      </c>
      <c r="FE67">
        <f t="shared" si="325"/>
        <v>-21.088662245871774</v>
      </c>
      <c r="FG67">
        <f t="shared" si="326"/>
        <v>16.254069397164944</v>
      </c>
      <c r="FJ67">
        <v>23.866992340226432</v>
      </c>
    </row>
    <row r="68" spans="4:166" x14ac:dyDescent="0.3">
      <c r="D68">
        <v>2017</v>
      </c>
      <c r="E68">
        <f t="shared" si="327"/>
        <v>29.440466173153183</v>
      </c>
      <c r="F68">
        <f t="shared" si="225"/>
        <v>0.32232881528200363</v>
      </c>
      <c r="G68">
        <f t="shared" si="226"/>
        <v>0.57750874622868276</v>
      </c>
      <c r="H68">
        <f t="shared" si="227"/>
        <v>0</v>
      </c>
      <c r="I68" s="2">
        <v>12.964466173153186</v>
      </c>
      <c r="J68">
        <f t="shared" si="228"/>
        <v>12.964466173153186</v>
      </c>
      <c r="K68" s="2">
        <v>0</v>
      </c>
      <c r="L68">
        <f t="shared" si="229"/>
        <v>16.475999999999999</v>
      </c>
      <c r="M68" s="25">
        <f t="shared" si="230"/>
        <v>0</v>
      </c>
      <c r="N68" s="25">
        <f t="shared" si="231"/>
        <v>0</v>
      </c>
      <c r="O68" s="25">
        <f t="shared" si="232"/>
        <v>0</v>
      </c>
      <c r="P68" s="25">
        <f t="shared" si="233"/>
        <v>0</v>
      </c>
      <c r="Q68" s="25">
        <f t="shared" si="234"/>
        <v>0</v>
      </c>
      <c r="R68" s="25">
        <f t="shared" si="235"/>
        <v>0</v>
      </c>
      <c r="S68" s="25">
        <f t="shared" si="236"/>
        <v>0</v>
      </c>
      <c r="T68" s="25">
        <f t="shared" si="237"/>
        <v>0</v>
      </c>
      <c r="U68" s="25">
        <f t="shared" si="238"/>
        <v>0</v>
      </c>
      <c r="V68">
        <f t="shared" si="328"/>
        <v>0</v>
      </c>
      <c r="W68">
        <f t="shared" si="240"/>
        <v>4.3954146007932167</v>
      </c>
      <c r="X68">
        <f t="shared" si="241"/>
        <v>13.186243802379648</v>
      </c>
      <c r="Y68">
        <f t="shared" si="242"/>
        <v>114.44357275398633</v>
      </c>
      <c r="Z68">
        <f t="shared" si="243"/>
        <v>22.791038670779642</v>
      </c>
      <c r="AA68">
        <f t="shared" si="244"/>
        <v>14.163002602555919</v>
      </c>
      <c r="AB68">
        <f t="shared" si="245"/>
        <v>2.7674832671660989</v>
      </c>
      <c r="AC68">
        <f t="shared" si="246"/>
        <v>0.32558626672542346</v>
      </c>
      <c r="AD68">
        <f t="shared" si="247"/>
        <v>0.32558626672542346</v>
      </c>
      <c r="AE68">
        <f t="shared" si="248"/>
        <v>0</v>
      </c>
      <c r="AF68">
        <f t="shared" si="249"/>
        <v>172.39792823111168</v>
      </c>
      <c r="AG68" s="2">
        <v>6.54E-2</v>
      </c>
      <c r="AH68" s="2">
        <v>8.1000000000000003E-2</v>
      </c>
      <c r="AI68" s="2">
        <v>9.4600000000000004E-2</v>
      </c>
      <c r="AJ68" s="2">
        <v>0.10199999999999999</v>
      </c>
      <c r="AK68" s="2">
        <v>0.1099</v>
      </c>
      <c r="AL68" s="2">
        <v>0.11890000000000001</v>
      </c>
      <c r="AM68" s="2">
        <v>0.13650000000000001</v>
      </c>
      <c r="AN68" s="2">
        <v>0.121</v>
      </c>
      <c r="AO68" s="2">
        <v>0.153</v>
      </c>
      <c r="AP68">
        <f t="shared" si="250"/>
        <v>9.5569593956562796E-2</v>
      </c>
      <c r="AQ68" s="2">
        <v>27</v>
      </c>
      <c r="AR68" s="2">
        <v>81</v>
      </c>
      <c r="AS68" s="2">
        <v>703</v>
      </c>
      <c r="AT68" s="2">
        <v>140</v>
      </c>
      <c r="AU68" s="2">
        <v>87</v>
      </c>
      <c r="AV68" s="2">
        <v>17</v>
      </c>
      <c r="AW68" s="2">
        <v>2</v>
      </c>
      <c r="AX68" s="2">
        <v>2</v>
      </c>
      <c r="AY68" s="2">
        <v>0</v>
      </c>
      <c r="AZ68">
        <f t="shared" si="251"/>
        <v>1059</v>
      </c>
      <c r="BA68">
        <f t="shared" si="252"/>
        <v>2017</v>
      </c>
      <c r="BB68">
        <f t="shared" si="329"/>
        <v>0.68835497052002848</v>
      </c>
      <c r="BC68">
        <f t="shared" si="123"/>
        <v>0.45377776849087836</v>
      </c>
      <c r="BD68">
        <f t="shared" si="253"/>
        <v>3.4586188339989845</v>
      </c>
      <c r="BE68">
        <f t="shared" si="254"/>
        <v>10.375856501996955</v>
      </c>
      <c r="BF68">
        <f t="shared" si="255"/>
        <v>90.052186677825418</v>
      </c>
      <c r="BG68">
        <f t="shared" si="256"/>
        <v>17.933579139253997</v>
      </c>
      <c r="BH68">
        <f t="shared" si="257"/>
        <v>11.144438465107839</v>
      </c>
      <c r="BI68">
        <f t="shared" si="258"/>
        <v>2.1776488954808424</v>
      </c>
      <c r="BJ68">
        <f t="shared" si="259"/>
        <v>0.2561939877036285</v>
      </c>
      <c r="BK68">
        <f t="shared" si="260"/>
        <v>0.2561939877036285</v>
      </c>
      <c r="BL68">
        <f t="shared" si="261"/>
        <v>0</v>
      </c>
      <c r="BM68" s="24">
        <f t="shared" si="262"/>
        <v>74.104861185038104</v>
      </c>
      <c r="BN68" s="24">
        <f t="shared" si="263"/>
        <v>53.561534605811367</v>
      </c>
      <c r="BO68" s="24">
        <f t="shared" si="264"/>
        <v>299.1583076788055</v>
      </c>
      <c r="BP68" s="24">
        <f t="shared" si="265"/>
        <v>70.837755031054058</v>
      </c>
      <c r="BQ68" s="24">
        <f t="shared" si="266"/>
        <v>31.55646273627206</v>
      </c>
      <c r="BR68" s="24">
        <f t="shared" si="267"/>
        <v>4.417314061387275</v>
      </c>
      <c r="BS68" s="24">
        <f t="shared" si="268"/>
        <v>0.75988045891463774</v>
      </c>
      <c r="BT68" s="24">
        <f t="shared" si="269"/>
        <v>0.25651592745859914</v>
      </c>
      <c r="BU68" s="23">
        <f t="shared" si="270"/>
        <v>1E-4</v>
      </c>
      <c r="BV68">
        <f t="shared" si="271"/>
        <v>27.256778588382168</v>
      </c>
      <c r="BW68">
        <v>0.64076910855703095</v>
      </c>
      <c r="BX68" s="2">
        <v>16.475999999999999</v>
      </c>
      <c r="CJ68">
        <v>2017</v>
      </c>
      <c r="CK68">
        <f t="shared" si="272"/>
        <v>951</v>
      </c>
      <c r="CL68">
        <f t="shared" si="273"/>
        <v>406.98633589389215</v>
      </c>
      <c r="CM68" s="9">
        <f t="shared" si="274"/>
        <v>0.73922187171398523</v>
      </c>
      <c r="CN68" s="9">
        <f t="shared" si="275"/>
        <v>0.14721345951629863</v>
      </c>
      <c r="CO68" s="9">
        <f t="shared" si="276"/>
        <v>9.1482649842271294E-2</v>
      </c>
      <c r="CP68" s="9">
        <f t="shared" si="277"/>
        <v>1.7875920084121977E-2</v>
      </c>
      <c r="CQ68" s="27">
        <f t="shared" si="277"/>
        <v>2.103049421661409E-3</v>
      </c>
      <c r="CR68" s="27">
        <f t="shared" si="277"/>
        <v>2.103049421661409E-3</v>
      </c>
      <c r="CS68" s="27">
        <f t="shared" si="277"/>
        <v>0</v>
      </c>
      <c r="CT68" s="29">
        <f t="shared" si="278"/>
        <v>0.73505737489133016</v>
      </c>
      <c r="CU68" s="9">
        <f t="shared" si="279"/>
        <v>0.17405438164273554</v>
      </c>
      <c r="CV68" s="9">
        <f t="shared" si="280"/>
        <v>7.7536909604010232E-2</v>
      </c>
      <c r="CW68" s="9">
        <f t="shared" si="281"/>
        <v>1.0853715891186428E-2</v>
      </c>
      <c r="CX68" s="9">
        <f t="shared" si="282"/>
        <v>1.8670908379409346E-3</v>
      </c>
      <c r="CY68" s="9">
        <f t="shared" si="283"/>
        <v>6.3028142430186394E-4</v>
      </c>
      <c r="CZ68" s="9">
        <f t="shared" si="284"/>
        <v>2.4570849480821786E-7</v>
      </c>
      <c r="DA68">
        <f t="shared" si="285"/>
        <v>-0.82840529567721821</v>
      </c>
      <c r="DB68">
        <f t="shared" si="286"/>
        <v>-0.82091764458286287</v>
      </c>
      <c r="DC68">
        <f t="shared" si="287"/>
        <v>100</v>
      </c>
      <c r="DD68">
        <f t="shared" si="288"/>
        <v>4.5410179878293757</v>
      </c>
      <c r="DE68">
        <f t="shared" si="289"/>
        <v>28.058146137741559</v>
      </c>
      <c r="DF68">
        <f t="shared" si="290"/>
        <v>176.6646418625748</v>
      </c>
      <c r="DG68">
        <f t="shared" si="291"/>
        <v>52.904175891800065</v>
      </c>
      <c r="DH68">
        <f t="shared" si="292"/>
        <v>20.412024271164221</v>
      </c>
      <c r="DI68">
        <f t="shared" si="293"/>
        <v>2.2396651659064326</v>
      </c>
      <c r="DJ68">
        <f t="shared" si="294"/>
        <v>0.50368647121100918</v>
      </c>
      <c r="DK68">
        <f t="shared" si="295"/>
        <v>3.2193975497063487E-4</v>
      </c>
      <c r="DL68">
        <f t="shared" si="296"/>
        <v>1E-4</v>
      </c>
      <c r="DM68">
        <f t="shared" si="297"/>
        <v>2017</v>
      </c>
      <c r="DN68" s="9" t="str">
        <f t="shared" si="298"/>
        <v/>
      </c>
      <c r="DO68" s="9" t="str">
        <f t="shared" si="299"/>
        <v/>
      </c>
      <c r="DP68" s="9" t="str">
        <f t="shared" si="300"/>
        <v/>
      </c>
      <c r="DQ68" s="9" t="str">
        <f t="shared" si="301"/>
        <v/>
      </c>
      <c r="DR68" s="9" t="str">
        <f t="shared" si="302"/>
        <v/>
      </c>
      <c r="DS68" s="9" t="str">
        <f t="shared" si="303"/>
        <v/>
      </c>
      <c r="DT68" s="9" t="str">
        <f t="shared" si="304"/>
        <v/>
      </c>
      <c r="DU68" s="9" t="str">
        <f t="shared" si="305"/>
        <v/>
      </c>
      <c r="DV68" s="9" t="str">
        <f t="shared" si="306"/>
        <v/>
      </c>
      <c r="DW68">
        <f t="shared" si="307"/>
        <v>0</v>
      </c>
      <c r="DX68">
        <f t="shared" si="330"/>
        <v>2017</v>
      </c>
      <c r="DY68" s="9" t="str">
        <f t="shared" si="331"/>
        <v/>
      </c>
      <c r="DZ68" s="9" t="str">
        <f t="shared" si="332"/>
        <v/>
      </c>
      <c r="EA68" s="9" t="str">
        <f t="shared" si="333"/>
        <v/>
      </c>
      <c r="EB68" s="9" t="str">
        <f t="shared" si="334"/>
        <v/>
      </c>
      <c r="EC68" s="9" t="str">
        <f t="shared" si="335"/>
        <v/>
      </c>
      <c r="ED68" s="9" t="str">
        <f t="shared" si="336"/>
        <v/>
      </c>
      <c r="EE68" s="9" t="str">
        <f t="shared" si="337"/>
        <v/>
      </c>
      <c r="EF68" s="9" t="str">
        <f t="shared" si="338"/>
        <v/>
      </c>
      <c r="EG68" s="9" t="str">
        <f t="shared" si="339"/>
        <v/>
      </c>
      <c r="EI68">
        <f t="shared" si="308"/>
        <v>951</v>
      </c>
      <c r="EJ68" s="8">
        <f t="shared" si="309"/>
        <v>3909.6126304615914</v>
      </c>
      <c r="EK68" s="8">
        <f t="shared" si="310"/>
        <v>555.22029414689496</v>
      </c>
      <c r="EL68" s="8">
        <f t="shared" si="311"/>
        <v>304.68685676566872</v>
      </c>
      <c r="EM68" s="8">
        <f t="shared" si="312"/>
        <v>33.505073450136891</v>
      </c>
      <c r="EN68" s="8">
        <f t="shared" si="313"/>
        <v>0.6931471805599454</v>
      </c>
      <c r="EO68" s="8">
        <f t="shared" si="314"/>
        <v>0.6931471805599454</v>
      </c>
      <c r="EP68" s="8">
        <f t="shared" si="315"/>
        <v>0</v>
      </c>
      <c r="EQ68">
        <f t="shared" si="340"/>
        <v>4804.4111491854119</v>
      </c>
      <c r="ES68" s="8">
        <f t="shared" si="316"/>
        <v>4031.1961454576262</v>
      </c>
      <c r="ET68" s="8">
        <f t="shared" si="317"/>
        <v>579.24614111101448</v>
      </c>
      <c r="EU68" s="8">
        <f t="shared" si="318"/>
        <v>313.78709822792268</v>
      </c>
      <c r="EV68" s="8">
        <f t="shared" si="319"/>
        <v>31.276464483512271</v>
      </c>
      <c r="EW68" s="8">
        <f t="shared" si="320"/>
        <v>-2.4774820971565839</v>
      </c>
      <c r="EX68" s="8">
        <f t="shared" si="321"/>
        <v>-3.6125026908460618</v>
      </c>
      <c r="EY68" s="8">
        <f t="shared" si="322"/>
        <v>0</v>
      </c>
      <c r="EZ68">
        <f t="shared" si="341"/>
        <v>4949.4158644920735</v>
      </c>
      <c r="FB68">
        <f t="shared" si="342"/>
        <v>5574.8436566721994</v>
      </c>
      <c r="FC68">
        <f t="shared" si="323"/>
        <v>112.97762470363081</v>
      </c>
      <c r="FD68">
        <f t="shared" si="324"/>
        <v>5854.9355897610412</v>
      </c>
      <c r="FE68">
        <f t="shared" si="325"/>
        <v>-22.109593078549551</v>
      </c>
      <c r="FG68">
        <f t="shared" si="326"/>
        <v>40.92111825704324</v>
      </c>
      <c r="FJ68">
        <v>22.179275036404238</v>
      </c>
    </row>
    <row r="69" spans="4:166" x14ac:dyDescent="0.3">
      <c r="D69">
        <v>2018</v>
      </c>
      <c r="E69">
        <f t="shared" si="327"/>
        <v>41.849334143542379</v>
      </c>
      <c r="F69">
        <f t="shared" si="225"/>
        <v>0.38140637603812039</v>
      </c>
      <c r="G69">
        <f t="shared" si="226"/>
        <v>0.71035685770214219</v>
      </c>
      <c r="H69">
        <f t="shared" si="227"/>
        <v>0</v>
      </c>
      <c r="I69" s="2">
        <v>13.742334143542378</v>
      </c>
      <c r="J69">
        <f t="shared" si="228"/>
        <v>13.742334143542378</v>
      </c>
      <c r="K69" s="2">
        <v>0</v>
      </c>
      <c r="L69">
        <f t="shared" si="229"/>
        <v>28.106999999999999</v>
      </c>
      <c r="M69" s="25">
        <f t="shared" si="230"/>
        <v>0</v>
      </c>
      <c r="N69" s="25">
        <f t="shared" si="231"/>
        <v>0</v>
      </c>
      <c r="O69" s="25">
        <f t="shared" si="232"/>
        <v>0</v>
      </c>
      <c r="P69" s="25">
        <f t="shared" si="233"/>
        <v>0</v>
      </c>
      <c r="Q69" s="25">
        <f t="shared" si="234"/>
        <v>0</v>
      </c>
      <c r="R69" s="25">
        <f t="shared" si="235"/>
        <v>0</v>
      </c>
      <c r="S69" s="25">
        <f t="shared" si="236"/>
        <v>0</v>
      </c>
      <c r="T69" s="25">
        <f t="shared" si="237"/>
        <v>0</v>
      </c>
      <c r="U69" s="25">
        <f t="shared" si="238"/>
        <v>0</v>
      </c>
      <c r="V69">
        <f t="shared" si="328"/>
        <v>0</v>
      </c>
      <c r="W69">
        <f t="shared" si="240"/>
        <v>13.771893084825763</v>
      </c>
      <c r="X69">
        <f t="shared" si="241"/>
        <v>34.335404677236831</v>
      </c>
      <c r="Y69">
        <f t="shared" si="242"/>
        <v>28.109754378616966</v>
      </c>
      <c r="Z69">
        <f t="shared" si="243"/>
        <v>146.20845398273926</v>
      </c>
      <c r="AA69">
        <f t="shared" si="244"/>
        <v>24.902601194479459</v>
      </c>
      <c r="AB69">
        <f t="shared" si="245"/>
        <v>9.055491343447077</v>
      </c>
      <c r="AC69">
        <f t="shared" si="246"/>
        <v>1.320592487586032</v>
      </c>
      <c r="AD69">
        <f t="shared" si="247"/>
        <v>0.56596820896544231</v>
      </c>
      <c r="AE69">
        <f t="shared" si="248"/>
        <v>0</v>
      </c>
      <c r="AF69">
        <f t="shared" si="249"/>
        <v>258.27015935789689</v>
      </c>
      <c r="AG69" s="2">
        <v>6.3E-2</v>
      </c>
      <c r="AH69" s="2">
        <v>8.6900000000000005E-2</v>
      </c>
      <c r="AI69" s="2">
        <v>0.1028</v>
      </c>
      <c r="AJ69" s="2">
        <v>0.11600000000000001</v>
      </c>
      <c r="AK69" s="2">
        <v>0.1198</v>
      </c>
      <c r="AL69" s="2">
        <v>0.12859999999999999</v>
      </c>
      <c r="AM69" s="2">
        <v>0.13370000000000001</v>
      </c>
      <c r="AN69" s="2">
        <v>0.14369999999999999</v>
      </c>
      <c r="AO69" s="2">
        <v>0.15129999999999999</v>
      </c>
      <c r="AP69">
        <f t="shared" si="250"/>
        <v>0.10882790357925493</v>
      </c>
      <c r="AQ69" s="2">
        <v>73</v>
      </c>
      <c r="AR69" s="2">
        <v>182</v>
      </c>
      <c r="AS69" s="2">
        <v>149</v>
      </c>
      <c r="AT69" s="2">
        <v>775</v>
      </c>
      <c r="AU69" s="2">
        <v>132</v>
      </c>
      <c r="AV69" s="2">
        <v>48</v>
      </c>
      <c r="AW69" s="2">
        <v>7</v>
      </c>
      <c r="AX69" s="2">
        <v>3</v>
      </c>
      <c r="AY69" s="2">
        <v>0</v>
      </c>
      <c r="AZ69">
        <f t="shared" si="251"/>
        <v>1369</v>
      </c>
      <c r="BA69">
        <f t="shared" si="252"/>
        <v>2018</v>
      </c>
      <c r="BB69">
        <f t="shared" si="329"/>
        <v>-0.16205938452842794</v>
      </c>
      <c r="BC69">
        <f t="shared" ref="BC69:BC72" si="343">AVERAGE(BB68:BB70)</f>
        <v>0.59698250107287432</v>
      </c>
      <c r="BD69">
        <f t="shared" si="253"/>
        <v>6.7334812168077791</v>
      </c>
      <c r="BE69">
        <f t="shared" si="254"/>
        <v>16.787583307657748</v>
      </c>
      <c r="BF69">
        <f t="shared" si="255"/>
        <v>13.743680839785739</v>
      </c>
      <c r="BG69">
        <f t="shared" si="256"/>
        <v>71.485588260630522</v>
      </c>
      <c r="BH69">
        <f t="shared" si="257"/>
        <v>12.175609871488039</v>
      </c>
      <c r="BI69">
        <f t="shared" si="258"/>
        <v>4.4274944987229228</v>
      </c>
      <c r="BJ69">
        <f t="shared" si="259"/>
        <v>0.64567628106375952</v>
      </c>
      <c r="BK69">
        <f t="shared" si="260"/>
        <v>0.27671840617018267</v>
      </c>
      <c r="BL69">
        <f t="shared" si="261"/>
        <v>0</v>
      </c>
      <c r="BM69" s="24">
        <f t="shared" si="262"/>
        <v>337.21044311491494</v>
      </c>
      <c r="BN69" s="24">
        <f t="shared" si="263"/>
        <v>58.514105576282077</v>
      </c>
      <c r="BO69" s="24">
        <f t="shared" si="264"/>
        <v>35.769334211950827</v>
      </c>
      <c r="BP69" s="24">
        <f t="shared" si="265"/>
        <v>173.19631875565014</v>
      </c>
      <c r="BQ69" s="24">
        <f t="shared" si="266"/>
        <v>41.14300567989433</v>
      </c>
      <c r="BR69" s="24">
        <f t="shared" si="267"/>
        <v>14.593988316934222</v>
      </c>
      <c r="BS69" s="24">
        <f t="shared" si="268"/>
        <v>1.4312806273620764</v>
      </c>
      <c r="BT69" s="24">
        <f t="shared" si="269"/>
        <v>0.27708309959809557</v>
      </c>
      <c r="BU69" s="23">
        <f t="shared" si="270"/>
        <v>1E-4</v>
      </c>
      <c r="BV69">
        <f t="shared" si="271"/>
        <v>22.288353875603043</v>
      </c>
      <c r="BW69">
        <v>0.78236075707756925</v>
      </c>
      <c r="BX69" s="2">
        <v>28.106999999999999</v>
      </c>
      <c r="CJ69">
        <v>2018</v>
      </c>
      <c r="CK69">
        <f t="shared" si="272"/>
        <v>1114</v>
      </c>
      <c r="CL69">
        <f t="shared" si="273"/>
        <v>266.41111069138964</v>
      </c>
      <c r="CM69" s="9">
        <f t="shared" si="274"/>
        <v>0.13375224416517056</v>
      </c>
      <c r="CN69" s="9">
        <f t="shared" si="275"/>
        <v>0.69569120287253139</v>
      </c>
      <c r="CO69" s="9">
        <f t="shared" si="276"/>
        <v>0.118491921005386</v>
      </c>
      <c r="CP69" s="9">
        <f t="shared" si="277"/>
        <v>4.3087971274685818E-2</v>
      </c>
      <c r="CQ69" s="27">
        <f t="shared" si="277"/>
        <v>6.2836624775583485E-3</v>
      </c>
      <c r="CR69" s="27">
        <f t="shared" si="277"/>
        <v>2.6929982046678637E-3</v>
      </c>
      <c r="CS69" s="27">
        <f t="shared" si="277"/>
        <v>0</v>
      </c>
      <c r="CT69" s="29">
        <f t="shared" si="278"/>
        <v>0.13426367285929747</v>
      </c>
      <c r="CU69" s="9">
        <f t="shared" si="279"/>
        <v>0.65010921769055108</v>
      </c>
      <c r="CV69" s="9">
        <f t="shared" si="280"/>
        <v>0.15443427105243498</v>
      </c>
      <c r="CW69" s="9">
        <f t="shared" si="281"/>
        <v>5.477995373038283E-2</v>
      </c>
      <c r="CX69" s="9">
        <f t="shared" si="282"/>
        <v>5.3724509599003562E-3</v>
      </c>
      <c r="CY69" s="9">
        <f t="shared" si="283"/>
        <v>1.040058347713089E-3</v>
      </c>
      <c r="CZ69" s="9">
        <f t="shared" si="284"/>
        <v>3.7535972032277549E-7</v>
      </c>
      <c r="DA69">
        <f t="shared" si="285"/>
        <v>-0.96596095222752443</v>
      </c>
      <c r="DB69">
        <f t="shared" si="286"/>
        <v>-0.95947537793141413</v>
      </c>
      <c r="DC69">
        <f t="shared" si="287"/>
        <v>100</v>
      </c>
      <c r="DD69">
        <f t="shared" si="288"/>
        <v>21.242486204511263</v>
      </c>
      <c r="DE69">
        <f t="shared" si="289"/>
        <v>27.110118702278285</v>
      </c>
      <c r="DF69">
        <f t="shared" si="290"/>
        <v>18.608513926593858</v>
      </c>
      <c r="DG69">
        <f t="shared" si="291"/>
        <v>101.71073049501962</v>
      </c>
      <c r="DH69">
        <f t="shared" si="292"/>
        <v>28.967395808406291</v>
      </c>
      <c r="DI69">
        <f t="shared" si="293"/>
        <v>10.1664938182113</v>
      </c>
      <c r="DJ69">
        <f t="shared" si="294"/>
        <v>0.78560434629831688</v>
      </c>
      <c r="DK69">
        <f t="shared" si="295"/>
        <v>3.6469342791289883E-4</v>
      </c>
      <c r="DL69">
        <f t="shared" si="296"/>
        <v>1E-4</v>
      </c>
      <c r="DM69">
        <f t="shared" si="297"/>
        <v>2018</v>
      </c>
      <c r="DN69" s="9" t="str">
        <f t="shared" si="298"/>
        <v/>
      </c>
      <c r="DO69" s="9" t="str">
        <f t="shared" si="299"/>
        <v/>
      </c>
      <c r="DP69" s="9" t="str">
        <f t="shared" si="300"/>
        <v/>
      </c>
      <c r="DQ69" s="9" t="str">
        <f t="shared" si="301"/>
        <v/>
      </c>
      <c r="DR69" s="9" t="str">
        <f t="shared" si="302"/>
        <v/>
      </c>
      <c r="DS69" s="9" t="str">
        <f t="shared" si="303"/>
        <v/>
      </c>
      <c r="DT69" s="9" t="str">
        <f t="shared" si="304"/>
        <v/>
      </c>
      <c r="DU69" s="9" t="str">
        <f t="shared" si="305"/>
        <v/>
      </c>
      <c r="DV69" s="9" t="str">
        <f t="shared" si="306"/>
        <v/>
      </c>
      <c r="DW69">
        <f t="shared" si="307"/>
        <v>0</v>
      </c>
      <c r="DX69">
        <f t="shared" si="330"/>
        <v>2018</v>
      </c>
      <c r="DY69" s="9" t="str">
        <f t="shared" si="331"/>
        <v/>
      </c>
      <c r="DZ69" s="9" t="str">
        <f t="shared" si="332"/>
        <v/>
      </c>
      <c r="EA69" s="9" t="str">
        <f t="shared" si="333"/>
        <v/>
      </c>
      <c r="EB69" s="9" t="str">
        <f t="shared" si="334"/>
        <v/>
      </c>
      <c r="EC69" s="9" t="str">
        <f t="shared" si="335"/>
        <v/>
      </c>
      <c r="ED69" s="9" t="str">
        <f t="shared" si="336"/>
        <v/>
      </c>
      <c r="EE69" s="9" t="str">
        <f t="shared" si="337"/>
        <v/>
      </c>
      <c r="EF69" s="9" t="str">
        <f t="shared" si="338"/>
        <v/>
      </c>
      <c r="EG69" s="9" t="str">
        <f t="shared" si="339"/>
        <v/>
      </c>
      <c r="EI69">
        <f t="shared" si="308"/>
        <v>1114</v>
      </c>
      <c r="EJ69" s="8">
        <f t="shared" si="309"/>
        <v>600.00947055532743</v>
      </c>
      <c r="EK69" s="8">
        <f t="shared" si="310"/>
        <v>4385.2143253236018</v>
      </c>
      <c r="EL69" s="8">
        <f t="shared" si="311"/>
        <v>515.89082458782252</v>
      </c>
      <c r="EM69" s="8">
        <f t="shared" si="312"/>
        <v>140.67392364823425</v>
      </c>
      <c r="EN69" s="8">
        <f t="shared" si="313"/>
        <v>8.5251613610654129</v>
      </c>
      <c r="EO69" s="8">
        <f t="shared" si="314"/>
        <v>1.791759469228055</v>
      </c>
      <c r="EP69" s="8">
        <f t="shared" si="315"/>
        <v>0</v>
      </c>
      <c r="EQ69">
        <f t="shared" si="340"/>
        <v>5652.1054649452799</v>
      </c>
      <c r="ES69" s="8">
        <f t="shared" si="316"/>
        <v>622.18485555414964</v>
      </c>
      <c r="ET69" s="8">
        <f t="shared" si="317"/>
        <v>4513.2404935899085</v>
      </c>
      <c r="EU69" s="8">
        <f t="shared" si="318"/>
        <v>540.41529457935007</v>
      </c>
      <c r="EV69" s="8">
        <f t="shared" si="319"/>
        <v>146.79504175430793</v>
      </c>
      <c r="EW69" s="8">
        <f t="shared" si="320"/>
        <v>5.8397819019631028</v>
      </c>
      <c r="EX69" s="8">
        <f t="shared" si="321"/>
        <v>-2.2115759619495909</v>
      </c>
      <c r="EY69" s="8">
        <f t="shared" si="322"/>
        <v>0</v>
      </c>
      <c r="EZ69">
        <f t="shared" si="341"/>
        <v>5826.2638914177296</v>
      </c>
      <c r="FB69">
        <f t="shared" si="342"/>
        <v>6705.9305059717262</v>
      </c>
      <c r="FC69">
        <f t="shared" si="323"/>
        <v>140.15487673898122</v>
      </c>
      <c r="FD69">
        <f t="shared" si="324"/>
        <v>7042.7811914710483</v>
      </c>
      <c r="FE69">
        <f t="shared" si="325"/>
        <v>-22.537382287890978</v>
      </c>
      <c r="FG69">
        <f t="shared" si="326"/>
        <v>47.770741705356976</v>
      </c>
      <c r="FJ69">
        <v>22.449344222135842</v>
      </c>
    </row>
    <row r="70" spans="4:166" x14ac:dyDescent="0.3">
      <c r="D70">
        <v>2019</v>
      </c>
      <c r="E70">
        <f t="shared" si="327"/>
        <v>31.184604167848651</v>
      </c>
      <c r="F70">
        <f t="shared" si="225"/>
        <v>0.4006747180374795</v>
      </c>
      <c r="G70">
        <f t="shared" si="226"/>
        <v>0.72579414703059708</v>
      </c>
      <c r="H70">
        <f t="shared" si="227"/>
        <v>0</v>
      </c>
      <c r="I70" s="2">
        <v>14.15460416784865</v>
      </c>
      <c r="J70">
        <f t="shared" si="228"/>
        <v>14.15460416784865</v>
      </c>
      <c r="K70" s="2">
        <v>0</v>
      </c>
      <c r="L70">
        <f t="shared" si="229"/>
        <v>17.03</v>
      </c>
      <c r="M70" s="25">
        <f t="shared" si="230"/>
        <v>0</v>
      </c>
      <c r="N70" s="25">
        <f t="shared" si="231"/>
        <v>0</v>
      </c>
      <c r="O70" s="25">
        <f t="shared" si="232"/>
        <v>0</v>
      </c>
      <c r="P70" s="25">
        <f t="shared" si="233"/>
        <v>0</v>
      </c>
      <c r="Q70" s="25">
        <f t="shared" si="234"/>
        <v>0</v>
      </c>
      <c r="R70" s="25">
        <f t="shared" si="235"/>
        <v>0</v>
      </c>
      <c r="S70" s="25">
        <f t="shared" si="236"/>
        <v>0</v>
      </c>
      <c r="T70" s="25">
        <f t="shared" si="237"/>
        <v>0</v>
      </c>
      <c r="U70" s="25">
        <f t="shared" si="238"/>
        <v>0</v>
      </c>
      <c r="V70">
        <f t="shared" si="328"/>
        <v>0</v>
      </c>
      <c r="W70">
        <f t="shared" si="240"/>
        <v>9.5606719355261287</v>
      </c>
      <c r="X70">
        <f t="shared" si="241"/>
        <v>87.26010099884958</v>
      </c>
      <c r="Y70">
        <f t="shared" si="242"/>
        <v>16.844993410212702</v>
      </c>
      <c r="Z70">
        <f t="shared" si="243"/>
        <v>8.4983750538010039</v>
      </c>
      <c r="AA70">
        <f t="shared" si="244"/>
        <v>40.215524808165462</v>
      </c>
      <c r="AB70">
        <f t="shared" si="245"/>
        <v>6.9808080799079661</v>
      </c>
      <c r="AC70">
        <f t="shared" si="246"/>
        <v>3.1868906451753762</v>
      </c>
      <c r="AD70">
        <f t="shared" si="247"/>
        <v>0.45527009216791092</v>
      </c>
      <c r="AE70">
        <f t="shared" si="248"/>
        <v>0</v>
      </c>
      <c r="AF70">
        <f t="shared" si="249"/>
        <v>173.00263502380614</v>
      </c>
      <c r="AG70" s="2">
        <v>6.1499999999999999E-2</v>
      </c>
      <c r="AH70" s="2">
        <v>8.1199999999999994E-2</v>
      </c>
      <c r="AI70" s="2">
        <v>9.7299999999999998E-2</v>
      </c>
      <c r="AJ70" s="2">
        <v>0.1154</v>
      </c>
      <c r="AK70" s="2">
        <v>0.13139999999999999</v>
      </c>
      <c r="AL70" s="2">
        <v>0.13500000000000001</v>
      </c>
      <c r="AM70" s="2">
        <v>0.1399</v>
      </c>
      <c r="AN70" s="2">
        <v>0.14099999999999999</v>
      </c>
      <c r="AO70" s="2">
        <v>0.14960000000000001</v>
      </c>
      <c r="AP70">
        <f t="shared" si="250"/>
        <v>9.8437807017543844E-2</v>
      </c>
      <c r="AQ70" s="2">
        <v>63</v>
      </c>
      <c r="AR70" s="2">
        <v>575</v>
      </c>
      <c r="AS70" s="2">
        <v>111</v>
      </c>
      <c r="AT70" s="2">
        <v>56</v>
      </c>
      <c r="AU70" s="2">
        <v>265</v>
      </c>
      <c r="AV70" s="2">
        <v>46</v>
      </c>
      <c r="AW70" s="2">
        <v>21</v>
      </c>
      <c r="AX70" s="2">
        <v>3</v>
      </c>
      <c r="AY70" s="2">
        <v>0</v>
      </c>
      <c r="AZ70">
        <f t="shared" si="251"/>
        <v>1140</v>
      </c>
      <c r="BA70">
        <f t="shared" si="252"/>
        <v>2019</v>
      </c>
      <c r="BB70">
        <f t="shared" si="329"/>
        <v>1.2646519172270223</v>
      </c>
      <c r="BC70">
        <f t="shared" si="343"/>
        <v>0.58665969704262777</v>
      </c>
      <c r="BD70">
        <f t="shared" si="253"/>
        <v>7.9464196609531266</v>
      </c>
      <c r="BE70">
        <f t="shared" si="254"/>
        <v>72.52684611187378</v>
      </c>
      <c r="BF70">
        <f t="shared" si="255"/>
        <v>14.000834640726939</v>
      </c>
      <c r="BG70">
        <f t="shared" si="256"/>
        <v>7.0634841430694468</v>
      </c>
      <c r="BH70">
        <f t="shared" si="257"/>
        <v>33.425416034167917</v>
      </c>
      <c r="BI70">
        <f t="shared" si="258"/>
        <v>5.8021476889499031</v>
      </c>
      <c r="BJ70">
        <f t="shared" si="259"/>
        <v>2.6488065536510423</v>
      </c>
      <c r="BK70">
        <f t="shared" si="260"/>
        <v>0.37840093623586324</v>
      </c>
      <c r="BL70">
        <f t="shared" si="261"/>
        <v>0</v>
      </c>
      <c r="BM70" s="24">
        <f t="shared" si="262"/>
        <v>175.5693484412287</v>
      </c>
      <c r="BN70" s="24">
        <f t="shared" si="263"/>
        <v>262.56180862523411</v>
      </c>
      <c r="BO70" s="24">
        <f t="shared" si="264"/>
        <v>33.151382627471619</v>
      </c>
      <c r="BP70" s="24">
        <f t="shared" si="265"/>
        <v>17.499164982843272</v>
      </c>
      <c r="BQ70" s="24">
        <f t="shared" si="266"/>
        <v>74.824646412418389</v>
      </c>
      <c r="BR70" s="24">
        <f t="shared" si="267"/>
        <v>19.2309291211043</v>
      </c>
      <c r="BS70" s="24">
        <f t="shared" si="268"/>
        <v>5.8852183368859432</v>
      </c>
      <c r="BT70" s="24">
        <f t="shared" si="269"/>
        <v>0.37874808667219984</v>
      </c>
      <c r="BU70" s="23">
        <f t="shared" si="270"/>
        <v>1E-4</v>
      </c>
      <c r="BV70">
        <f t="shared" si="271"/>
        <v>21.172316974514551</v>
      </c>
      <c r="BW70">
        <v>0.72724432769699732</v>
      </c>
      <c r="BX70" s="2">
        <v>17.03</v>
      </c>
      <c r="CJ70">
        <v>2019</v>
      </c>
      <c r="CK70">
        <f t="shared" si="272"/>
        <v>502</v>
      </c>
      <c r="CL70">
        <f t="shared" si="273"/>
        <v>150.97018956739572</v>
      </c>
      <c r="CM70" s="9">
        <f t="shared" si="274"/>
        <v>0.22111553784860558</v>
      </c>
      <c r="CN70" s="9">
        <f t="shared" si="275"/>
        <v>0.11155378486055777</v>
      </c>
      <c r="CO70" s="9">
        <f t="shared" si="276"/>
        <v>0.52788844621513942</v>
      </c>
      <c r="CP70" s="9">
        <f t="shared" si="277"/>
        <v>9.1633466135458169E-2</v>
      </c>
      <c r="CQ70" s="27">
        <f t="shared" si="277"/>
        <v>4.1832669322709161E-2</v>
      </c>
      <c r="CR70" s="27">
        <f t="shared" si="277"/>
        <v>5.9760956175298804E-3</v>
      </c>
      <c r="CS70" s="27">
        <f t="shared" si="277"/>
        <v>0</v>
      </c>
      <c r="CT70" s="29">
        <f t="shared" si="278"/>
        <v>0.21958893157958356</v>
      </c>
      <c r="CU70" s="9">
        <f t="shared" si="279"/>
        <v>0.1159113930570468</v>
      </c>
      <c r="CV70" s="9">
        <f t="shared" si="280"/>
        <v>0.49562530607418603</v>
      </c>
      <c r="CW70" s="9">
        <f t="shared" si="281"/>
        <v>0.12738229432055709</v>
      </c>
      <c r="CX70" s="9">
        <f t="shared" si="282"/>
        <v>3.8982651831795438E-2</v>
      </c>
      <c r="CY70" s="9">
        <f t="shared" si="283"/>
        <v>2.5087607544078765E-3</v>
      </c>
      <c r="CZ70" s="9">
        <f t="shared" si="284"/>
        <v>6.6238242322242204E-7</v>
      </c>
      <c r="DA70">
        <f t="shared" si="285"/>
        <v>-1.3064704612103095</v>
      </c>
      <c r="DB70">
        <f t="shared" si="286"/>
        <v>-1.2996697521075682</v>
      </c>
      <c r="DC70">
        <f t="shared" si="287"/>
        <v>100</v>
      </c>
      <c r="DD70">
        <f t="shared" si="288"/>
        <v>10.774511275229598</v>
      </c>
      <c r="DE70">
        <f t="shared" si="289"/>
        <v>123.46752404031712</v>
      </c>
      <c r="DF70">
        <f t="shared" si="290"/>
        <v>16.179462778779413</v>
      </c>
      <c r="DG70">
        <f t="shared" si="291"/>
        <v>10.435680839773825</v>
      </c>
      <c r="DH70">
        <f t="shared" si="292"/>
        <v>41.399230378250472</v>
      </c>
      <c r="DI70">
        <f t="shared" si="293"/>
        <v>13.428781432154397</v>
      </c>
      <c r="DJ70">
        <f t="shared" si="294"/>
        <v>3.2364117832349009</v>
      </c>
      <c r="DK70">
        <f t="shared" si="295"/>
        <v>3.4715043633659626E-4</v>
      </c>
      <c r="DL70">
        <f t="shared" si="296"/>
        <v>1E-4</v>
      </c>
      <c r="DM70">
        <f t="shared" si="297"/>
        <v>2019</v>
      </c>
      <c r="DN70" s="9" t="str">
        <f t="shared" si="298"/>
        <v/>
      </c>
      <c r="DO70" s="9" t="str">
        <f t="shared" si="299"/>
        <v/>
      </c>
      <c r="DP70" s="9" t="str">
        <f t="shared" si="300"/>
        <v/>
      </c>
      <c r="DQ70" s="9" t="str">
        <f t="shared" si="301"/>
        <v/>
      </c>
      <c r="DR70" s="9" t="str">
        <f t="shared" si="302"/>
        <v/>
      </c>
      <c r="DS70" s="9" t="str">
        <f t="shared" si="303"/>
        <v/>
      </c>
      <c r="DT70" s="9" t="str">
        <f t="shared" si="304"/>
        <v/>
      </c>
      <c r="DU70" s="9" t="str">
        <f t="shared" si="305"/>
        <v/>
      </c>
      <c r="DV70" s="9" t="str">
        <f t="shared" si="306"/>
        <v/>
      </c>
      <c r="DW70">
        <f t="shared" si="307"/>
        <v>0</v>
      </c>
      <c r="DX70">
        <f t="shared" si="330"/>
        <v>2019</v>
      </c>
      <c r="DY70" s="9" t="str">
        <f t="shared" si="331"/>
        <v/>
      </c>
      <c r="DZ70" s="9" t="str">
        <f t="shared" si="332"/>
        <v/>
      </c>
      <c r="EA70" s="9" t="str">
        <f t="shared" si="333"/>
        <v/>
      </c>
      <c r="EB70" s="9" t="str">
        <f t="shared" si="334"/>
        <v/>
      </c>
      <c r="EC70" s="9" t="str">
        <f t="shared" si="335"/>
        <v/>
      </c>
      <c r="ED70" s="9" t="str">
        <f t="shared" si="336"/>
        <v/>
      </c>
      <c r="EE70" s="9" t="str">
        <f t="shared" si="337"/>
        <v/>
      </c>
      <c r="EF70" s="9" t="str">
        <f t="shared" si="338"/>
        <v/>
      </c>
      <c r="EG70" s="9" t="str">
        <f t="shared" si="339"/>
        <v/>
      </c>
      <c r="EI70">
        <f t="shared" si="308"/>
        <v>502</v>
      </c>
      <c r="EJ70" s="8">
        <f t="shared" si="309"/>
        <v>415.03230672824958</v>
      </c>
      <c r="EK70" s="8">
        <f t="shared" si="310"/>
        <v>172.35279713916282</v>
      </c>
      <c r="EL70" s="8">
        <f t="shared" si="311"/>
        <v>1217.3375217978062</v>
      </c>
      <c r="EM70" s="8">
        <f t="shared" si="312"/>
        <v>132.95257503561629</v>
      </c>
      <c r="EN70" s="8">
        <f t="shared" si="313"/>
        <v>45.380138898476908</v>
      </c>
      <c r="EO70" s="8">
        <f t="shared" si="314"/>
        <v>1.791759469228055</v>
      </c>
      <c r="EP70" s="8">
        <f t="shared" si="315"/>
        <v>0</v>
      </c>
      <c r="EQ70">
        <f t="shared" si="340"/>
        <v>1984.8470990685398</v>
      </c>
      <c r="ES70" s="8">
        <f t="shared" si="316"/>
        <v>430.24472672015867</v>
      </c>
      <c r="ET70" s="8">
        <f t="shared" si="317"/>
        <v>178.31460379689656</v>
      </c>
      <c r="EU70" s="8">
        <f t="shared" si="318"/>
        <v>1257.9537241146763</v>
      </c>
      <c r="EV70" s="8">
        <f t="shared" si="319"/>
        <v>139.39656706747593</v>
      </c>
      <c r="EW70" s="8">
        <f t="shared" si="320"/>
        <v>44.846742404951328</v>
      </c>
      <c r="EX70" s="8">
        <f t="shared" si="321"/>
        <v>-2.1218251960779067</v>
      </c>
      <c r="EY70" s="8">
        <f t="shared" si="322"/>
        <v>0</v>
      </c>
      <c r="EZ70">
        <f t="shared" si="341"/>
        <v>2048.6345389080811</v>
      </c>
      <c r="FB70">
        <f t="shared" si="342"/>
        <v>2623.7656646809328</v>
      </c>
      <c r="FC70">
        <f t="shared" si="323"/>
        <v>45.443077129274101</v>
      </c>
      <c r="FD70">
        <f t="shared" si="324"/>
        <v>2754.9384000394248</v>
      </c>
      <c r="FE70">
        <f t="shared" si="325"/>
        <v>-21.942218389676327</v>
      </c>
      <c r="FG70">
        <f t="shared" si="326"/>
        <v>22.053137101872277</v>
      </c>
      <c r="FJ70">
        <v>20.06189144091724</v>
      </c>
    </row>
    <row r="71" spans="4:166" x14ac:dyDescent="0.3">
      <c r="D71">
        <v>2020</v>
      </c>
      <c r="E71">
        <f t="shared" si="327"/>
        <v>33.340242292884106</v>
      </c>
      <c r="F71">
        <f t="shared" si="225"/>
        <v>0.43160384193651724</v>
      </c>
      <c r="G71">
        <f t="shared" si="226"/>
        <v>0.80184060989803196</v>
      </c>
      <c r="H71">
        <f t="shared" si="227"/>
        <v>0</v>
      </c>
      <c r="I71" s="2">
        <v>14.579242292884109</v>
      </c>
      <c r="J71">
        <f t="shared" si="228"/>
        <v>14.579242292884109</v>
      </c>
      <c r="K71" s="2">
        <v>0</v>
      </c>
      <c r="L71">
        <f t="shared" si="229"/>
        <v>18.760999999999999</v>
      </c>
      <c r="M71" s="25">
        <f t="shared" si="230"/>
        <v>0</v>
      </c>
      <c r="N71" s="25">
        <f t="shared" si="231"/>
        <v>0</v>
      </c>
      <c r="O71" s="25">
        <f t="shared" si="232"/>
        <v>0</v>
      </c>
      <c r="P71" s="25">
        <f t="shared" si="233"/>
        <v>0</v>
      </c>
      <c r="Q71" s="25">
        <f t="shared" si="234"/>
        <v>0</v>
      </c>
      <c r="R71" s="25">
        <f t="shared" si="235"/>
        <v>0</v>
      </c>
      <c r="S71" s="25">
        <f t="shared" si="236"/>
        <v>0</v>
      </c>
      <c r="T71" s="25">
        <f t="shared" si="237"/>
        <v>0</v>
      </c>
      <c r="U71" s="25">
        <f t="shared" si="238"/>
        <v>0</v>
      </c>
      <c r="V71">
        <f t="shared" si="328"/>
        <v>0</v>
      </c>
      <c r="W71">
        <f t="shared" si="240"/>
        <v>36.018345976879331</v>
      </c>
      <c r="X71">
        <f t="shared" si="241"/>
        <v>54.943239625748134</v>
      </c>
      <c r="Y71">
        <f t="shared" si="242"/>
        <v>69.187783232423584</v>
      </c>
      <c r="Z71">
        <f t="shared" si="243"/>
        <v>9.3607000843867194</v>
      </c>
      <c r="AA71">
        <f t="shared" si="244"/>
        <v>4.8838435222887231</v>
      </c>
      <c r="AB71">
        <f t="shared" si="245"/>
        <v>19.942361049345617</v>
      </c>
      <c r="AC71">
        <f t="shared" si="246"/>
        <v>4.4768565620979954</v>
      </c>
      <c r="AD71">
        <f t="shared" si="247"/>
        <v>0.81397392038145389</v>
      </c>
      <c r="AE71">
        <f t="shared" si="248"/>
        <v>0</v>
      </c>
      <c r="AF71">
        <f t="shared" si="249"/>
        <v>199.62710397355153</v>
      </c>
      <c r="AG71" s="2">
        <v>5.8799999999999998E-2</v>
      </c>
      <c r="AH71" s="2">
        <v>7.6799999999999993E-2</v>
      </c>
      <c r="AI71" s="2">
        <v>0.1033</v>
      </c>
      <c r="AJ71" s="2">
        <v>0.11459999999999999</v>
      </c>
      <c r="AK71" s="2">
        <v>0.1358</v>
      </c>
      <c r="AL71" s="2">
        <v>0.13980000000000001</v>
      </c>
      <c r="AM71" s="2">
        <v>0.14249999999999999</v>
      </c>
      <c r="AN71" s="2">
        <v>0.14069999999999999</v>
      </c>
      <c r="AO71" s="2">
        <v>0.1477</v>
      </c>
      <c r="AP71">
        <f t="shared" si="250"/>
        <v>9.3980224260958214E-2</v>
      </c>
      <c r="AQ71" s="2">
        <v>177</v>
      </c>
      <c r="AR71" s="2">
        <v>270</v>
      </c>
      <c r="AS71" s="2">
        <v>340</v>
      </c>
      <c r="AT71" s="2">
        <v>46</v>
      </c>
      <c r="AU71" s="2">
        <v>24</v>
      </c>
      <c r="AV71" s="2">
        <v>98</v>
      </c>
      <c r="AW71" s="2">
        <v>22</v>
      </c>
      <c r="AX71" s="2">
        <v>4</v>
      </c>
      <c r="AY71" s="2">
        <v>0</v>
      </c>
      <c r="AZ71">
        <f t="shared" si="251"/>
        <v>981</v>
      </c>
      <c r="BA71">
        <f t="shared" si="252"/>
        <v>2020</v>
      </c>
      <c r="BB71">
        <f t="shared" si="329"/>
        <v>0.65738655842928884</v>
      </c>
      <c r="BC71">
        <f t="shared" si="343"/>
        <v>0.84624110911597528</v>
      </c>
      <c r="BD71">
        <f t="shared" si="253"/>
        <v>27.98998949873948</v>
      </c>
      <c r="BE71">
        <f t="shared" si="254"/>
        <v>42.696594150619546</v>
      </c>
      <c r="BF71">
        <f t="shared" si="255"/>
        <v>53.766081523002384</v>
      </c>
      <c r="BG71">
        <f t="shared" si="256"/>
        <v>7.2742345589944417</v>
      </c>
      <c r="BH71">
        <f t="shared" si="257"/>
        <v>3.7952528133884038</v>
      </c>
      <c r="BI71">
        <f t="shared" si="258"/>
        <v>15.497282321335984</v>
      </c>
      <c r="BJ71">
        <f t="shared" si="259"/>
        <v>3.478981745606037</v>
      </c>
      <c r="BK71">
        <f t="shared" si="260"/>
        <v>0.63254213556473404</v>
      </c>
      <c r="BL71">
        <f t="shared" si="261"/>
        <v>0</v>
      </c>
      <c r="BM71" s="24">
        <f t="shared" si="262"/>
        <v>504.96010325516943</v>
      </c>
      <c r="BN71" s="24">
        <f t="shared" si="263"/>
        <v>135.351219803292</v>
      </c>
      <c r="BO71" s="24">
        <f t="shared" si="264"/>
        <v>153.44837355089962</v>
      </c>
      <c r="BP71" s="24">
        <f t="shared" si="265"/>
        <v>15.463505261464711</v>
      </c>
      <c r="BQ71" s="24">
        <f t="shared" si="266"/>
        <v>7.8448982375721439</v>
      </c>
      <c r="BR71" s="24">
        <f t="shared" si="267"/>
        <v>28.288956413274761</v>
      </c>
      <c r="BS71" s="24">
        <f t="shared" si="268"/>
        <v>8.0789308182292032</v>
      </c>
      <c r="BT71" s="24">
        <f t="shared" si="269"/>
        <v>1.6427454774247459</v>
      </c>
      <c r="BU71" s="23">
        <f t="shared" si="270"/>
        <v>1E-4</v>
      </c>
      <c r="BV71">
        <f t="shared" si="271"/>
        <v>19.199980402331164</v>
      </c>
      <c r="BW71">
        <v>0.80566946997563305</v>
      </c>
      <c r="BX71" s="2">
        <v>18.760999999999999</v>
      </c>
      <c r="CJ71">
        <v>2020</v>
      </c>
      <c r="CK71">
        <f t="shared" si="272"/>
        <v>534</v>
      </c>
      <c r="CL71">
        <f t="shared" si="273"/>
        <v>214.7675097588652</v>
      </c>
      <c r="CM71" s="9">
        <f t="shared" si="274"/>
        <v>0.63670411985018727</v>
      </c>
      <c r="CN71" s="9">
        <f t="shared" si="275"/>
        <v>8.6142322097378279E-2</v>
      </c>
      <c r="CO71" s="9">
        <f t="shared" si="276"/>
        <v>4.49438202247191E-2</v>
      </c>
      <c r="CP71" s="9">
        <f t="shared" si="277"/>
        <v>0.18352059925093633</v>
      </c>
      <c r="CQ71" s="27">
        <f t="shared" si="277"/>
        <v>4.1198501872659173E-2</v>
      </c>
      <c r="CR71" s="27">
        <f t="shared" si="277"/>
        <v>7.4906367041198503E-3</v>
      </c>
      <c r="CS71" s="27">
        <f t="shared" si="277"/>
        <v>0</v>
      </c>
      <c r="CT71" s="29">
        <f t="shared" si="278"/>
        <v>0.71448597473233755</v>
      </c>
      <c r="CU71" s="9">
        <f t="shared" si="279"/>
        <v>7.2001138714262183E-2</v>
      </c>
      <c r="CV71" s="9">
        <f t="shared" si="280"/>
        <v>3.6527397679379764E-2</v>
      </c>
      <c r="CW71" s="9">
        <f t="shared" si="281"/>
        <v>0.13171897576610536</v>
      </c>
      <c r="CX71" s="9">
        <f t="shared" si="282"/>
        <v>3.7617099659534137E-2</v>
      </c>
      <c r="CY71" s="9">
        <f t="shared" si="283"/>
        <v>7.6489478286039326E-3</v>
      </c>
      <c r="CZ71" s="9">
        <f t="shared" si="284"/>
        <v>4.656197769964234E-7</v>
      </c>
      <c r="DA71">
        <f t="shared" si="285"/>
        <v>-1.1331033481167199</v>
      </c>
      <c r="DB71">
        <f t="shared" si="286"/>
        <v>-1.1264282925007172</v>
      </c>
      <c r="DC71">
        <f t="shared" si="287"/>
        <v>100</v>
      </c>
      <c r="DD71">
        <f t="shared" si="288"/>
        <v>30.658812049231571</v>
      </c>
      <c r="DE71">
        <f t="shared" si="289"/>
        <v>60.198592242801887</v>
      </c>
      <c r="DF71">
        <f t="shared" si="290"/>
        <v>84.21722107822238</v>
      </c>
      <c r="DG71">
        <f t="shared" si="291"/>
        <v>8.1892707024702691</v>
      </c>
      <c r="DH71">
        <f t="shared" si="292"/>
        <v>4.0496454241837405</v>
      </c>
      <c r="DI71">
        <f t="shared" si="293"/>
        <v>12.791674091938777</v>
      </c>
      <c r="DJ71">
        <f t="shared" si="294"/>
        <v>4.5999490726231667</v>
      </c>
      <c r="DK71">
        <f t="shared" si="295"/>
        <v>1.0102033418600118</v>
      </c>
      <c r="DL71">
        <f t="shared" si="296"/>
        <v>1E-4</v>
      </c>
      <c r="DM71">
        <f t="shared" si="297"/>
        <v>2020</v>
      </c>
      <c r="DN71" s="9" t="str">
        <f t="shared" si="298"/>
        <v/>
      </c>
      <c r="DO71" s="9" t="str">
        <f t="shared" si="299"/>
        <v/>
      </c>
      <c r="DP71" s="9" t="str">
        <f t="shared" si="300"/>
        <v/>
      </c>
      <c r="DQ71" s="9" t="str">
        <f t="shared" si="301"/>
        <v/>
      </c>
      <c r="DR71" s="9" t="str">
        <f t="shared" si="302"/>
        <v/>
      </c>
      <c r="DS71" s="9" t="str">
        <f t="shared" si="303"/>
        <v/>
      </c>
      <c r="DT71" s="9" t="str">
        <f t="shared" si="304"/>
        <v/>
      </c>
      <c r="DU71" s="9" t="str">
        <f t="shared" si="305"/>
        <v/>
      </c>
      <c r="DV71" s="9" t="str">
        <f t="shared" si="306"/>
        <v/>
      </c>
      <c r="DW71">
        <f t="shared" si="307"/>
        <v>0</v>
      </c>
      <c r="DX71">
        <f t="shared" si="330"/>
        <v>2020</v>
      </c>
      <c r="DY71" s="9" t="str">
        <f t="shared" si="331"/>
        <v/>
      </c>
      <c r="DZ71" s="9" t="str">
        <f t="shared" si="332"/>
        <v/>
      </c>
      <c r="EA71" s="9" t="str">
        <f t="shared" si="333"/>
        <v/>
      </c>
      <c r="EB71" s="9" t="str">
        <f t="shared" si="334"/>
        <v/>
      </c>
      <c r="EC71" s="9" t="str">
        <f t="shared" si="335"/>
        <v/>
      </c>
      <c r="ED71" s="9" t="str">
        <f t="shared" si="336"/>
        <v/>
      </c>
      <c r="EE71" s="9" t="str">
        <f t="shared" si="337"/>
        <v/>
      </c>
      <c r="EF71" s="9" t="str">
        <f t="shared" si="338"/>
        <v/>
      </c>
      <c r="EG71" s="9" t="str">
        <f t="shared" si="339"/>
        <v/>
      </c>
      <c r="EI71">
        <f t="shared" si="308"/>
        <v>534</v>
      </c>
      <c r="EJ71" s="8">
        <f t="shared" si="309"/>
        <v>1645.6751664274489</v>
      </c>
      <c r="EK71" s="8">
        <f t="shared" si="310"/>
        <v>132.95257503561629</v>
      </c>
      <c r="EL71" s="8">
        <f t="shared" si="311"/>
        <v>54.784729398112319</v>
      </c>
      <c r="EM71" s="8">
        <f t="shared" si="312"/>
        <v>354.53908551944079</v>
      </c>
      <c r="EN71" s="8">
        <f t="shared" si="313"/>
        <v>48.471181351835213</v>
      </c>
      <c r="EO71" s="8">
        <f t="shared" si="314"/>
        <v>3.1780538303479458</v>
      </c>
      <c r="EP71" s="8">
        <f t="shared" si="315"/>
        <v>0</v>
      </c>
      <c r="EQ71">
        <f t="shared" si="340"/>
        <v>2239.6007915628015</v>
      </c>
      <c r="ES71" s="8">
        <f t="shared" si="316"/>
        <v>1707.8476965341906</v>
      </c>
      <c r="ET71" s="8">
        <f t="shared" si="317"/>
        <v>135.69222013759273</v>
      </c>
      <c r="EU71" s="8">
        <f t="shared" si="318"/>
        <v>54.221521330615722</v>
      </c>
      <c r="EV71" s="8">
        <f t="shared" si="319"/>
        <v>363.35978870419802</v>
      </c>
      <c r="EW71" s="8">
        <f t="shared" si="320"/>
        <v>48.020495888213659</v>
      </c>
      <c r="EX71" s="8">
        <f t="shared" si="321"/>
        <v>0.38095875738202056</v>
      </c>
      <c r="EY71" s="8">
        <f t="shared" si="322"/>
        <v>0</v>
      </c>
      <c r="EZ71">
        <f t="shared" si="341"/>
        <v>2309.5226813521926</v>
      </c>
      <c r="FB71">
        <f t="shared" si="342"/>
        <v>2823.7906705123419</v>
      </c>
      <c r="FC71">
        <f t="shared" si="323"/>
        <v>49.795968192933529</v>
      </c>
      <c r="FD71">
        <f t="shared" si="324"/>
        <v>2965.1085085308127</v>
      </c>
      <c r="FE71">
        <f t="shared" si="325"/>
        <v>-21.599980036146462</v>
      </c>
      <c r="FG71">
        <f t="shared" si="326"/>
        <v>23.397848453688471</v>
      </c>
      <c r="FJ71">
        <v>18.582133475597725</v>
      </c>
    </row>
    <row r="72" spans="4:166" x14ac:dyDescent="0.3">
      <c r="D72">
        <v>2021</v>
      </c>
      <c r="E72">
        <f t="shared" si="327"/>
        <v>44.355619561670629</v>
      </c>
      <c r="F72">
        <f t="shared" si="225"/>
        <v>0.36885386704128881</v>
      </c>
      <c r="G72">
        <f t="shared" si="226"/>
        <v>0.72486266754763817</v>
      </c>
      <c r="H72">
        <f t="shared" si="227"/>
        <v>0</v>
      </c>
      <c r="I72" s="2">
        <v>15.016619561670632</v>
      </c>
      <c r="J72">
        <f t="shared" si="228"/>
        <v>15.016619561670632</v>
      </c>
      <c r="K72" s="2">
        <v>0</v>
      </c>
      <c r="L72">
        <f t="shared" si="229"/>
        <v>29.338999999999999</v>
      </c>
      <c r="M72" s="25">
        <f t="shared" si="230"/>
        <v>0</v>
      </c>
      <c r="N72" s="25">
        <f t="shared" si="231"/>
        <v>0</v>
      </c>
      <c r="O72" s="25">
        <f t="shared" si="232"/>
        <v>0</v>
      </c>
      <c r="P72" s="25">
        <f t="shared" si="233"/>
        <v>0</v>
      </c>
      <c r="Q72" s="25">
        <f t="shared" si="234"/>
        <v>0</v>
      </c>
      <c r="R72" s="25">
        <f t="shared" si="235"/>
        <v>0</v>
      </c>
      <c r="S72" s="25">
        <f t="shared" si="236"/>
        <v>0</v>
      </c>
      <c r="T72" s="25">
        <f t="shared" si="237"/>
        <v>0</v>
      </c>
      <c r="U72" s="25">
        <f t="shared" si="238"/>
        <v>0</v>
      </c>
      <c r="V72">
        <f t="shared" si="328"/>
        <v>0</v>
      </c>
      <c r="W72">
        <f t="shared" si="240"/>
        <v>64.080690042387275</v>
      </c>
      <c r="X72">
        <f t="shared" si="241"/>
        <v>197.31059928305683</v>
      </c>
      <c r="Y72">
        <f t="shared" si="242"/>
        <v>50.323253762100734</v>
      </c>
      <c r="Z72">
        <f t="shared" si="243"/>
        <v>43.806573418807112</v>
      </c>
      <c r="AA72">
        <f t="shared" si="244"/>
        <v>5.0685291558950381</v>
      </c>
      <c r="AB72">
        <f t="shared" si="245"/>
        <v>3.2583401716468101</v>
      </c>
      <c r="AC72">
        <f t="shared" si="246"/>
        <v>4.7064913590453923</v>
      </c>
      <c r="AD72">
        <f t="shared" si="247"/>
        <v>1.0861133905489366</v>
      </c>
      <c r="AE72">
        <f t="shared" si="248"/>
        <v>0.72407559369929109</v>
      </c>
      <c r="AF72">
        <f t="shared" si="249"/>
        <v>370.36466617718736</v>
      </c>
      <c r="AG72" s="2">
        <v>4.4499999999999998E-2</v>
      </c>
      <c r="AH72" s="2">
        <v>7.6600000000000001E-2</v>
      </c>
      <c r="AI72" s="2">
        <v>9.0300000000000005E-2</v>
      </c>
      <c r="AJ72" s="2">
        <v>0.1111</v>
      </c>
      <c r="AK72" s="2">
        <v>0.1149</v>
      </c>
      <c r="AL72" s="2">
        <v>0.1419</v>
      </c>
      <c r="AM72" s="2">
        <v>0.14549999999999999</v>
      </c>
      <c r="AN72" s="2">
        <v>0.128</v>
      </c>
      <c r="AO72" s="2">
        <v>0.1295</v>
      </c>
      <c r="AP72">
        <f t="shared" si="250"/>
        <v>7.921652003910068E-2</v>
      </c>
      <c r="AQ72" s="2">
        <v>177</v>
      </c>
      <c r="AR72" s="2">
        <v>545</v>
      </c>
      <c r="AS72" s="2">
        <v>139</v>
      </c>
      <c r="AT72" s="2">
        <v>121</v>
      </c>
      <c r="AU72" s="2">
        <v>14</v>
      </c>
      <c r="AV72" s="2">
        <v>9</v>
      </c>
      <c r="AW72" s="2">
        <v>13</v>
      </c>
      <c r="AX72" s="2">
        <v>3</v>
      </c>
      <c r="AY72" s="2">
        <v>2</v>
      </c>
      <c r="AZ72">
        <f t="shared" si="251"/>
        <v>1023</v>
      </c>
      <c r="BA72">
        <f t="shared" si="252"/>
        <v>2021</v>
      </c>
      <c r="BB72">
        <f t="shared" si="329"/>
        <v>0.61668485169161447</v>
      </c>
      <c r="BC72">
        <f t="shared" si="343"/>
        <v>0.68830487736103529</v>
      </c>
      <c r="BD72">
        <f t="shared" si="253"/>
        <v>32.798505184766519</v>
      </c>
      <c r="BE72">
        <f t="shared" si="254"/>
        <v>100.98974760281217</v>
      </c>
      <c r="BF72">
        <f t="shared" si="255"/>
        <v>25.757018195946593</v>
      </c>
      <c r="BG72">
        <f t="shared" si="256"/>
        <v>22.421576990716098</v>
      </c>
      <c r="BH72">
        <f t="shared" si="257"/>
        <v>2.5942320485126067</v>
      </c>
      <c r="BI72">
        <f t="shared" si="258"/>
        <v>1.6677206026152469</v>
      </c>
      <c r="BJ72">
        <f t="shared" si="259"/>
        <v>2.4089297593331347</v>
      </c>
      <c r="BK72">
        <f t="shared" si="260"/>
        <v>0.55590686753841567</v>
      </c>
      <c r="BL72">
        <f t="shared" si="261"/>
        <v>0.37060457835894378</v>
      </c>
      <c r="BM72" s="24">
        <f>(BN73*EXP(Relm*BZ$5)+M72+BD72)+0.0001</f>
        <v>272.57631539795631</v>
      </c>
      <c r="BN72" s="24">
        <f t="shared" si="263"/>
        <v>376.36132653140237</v>
      </c>
      <c r="BO72" s="24">
        <f t="shared" si="264"/>
        <v>73.110634165746973</v>
      </c>
      <c r="BP72" s="24">
        <f t="shared" si="265"/>
        <v>78.655934212115085</v>
      </c>
      <c r="BQ72" s="24">
        <f t="shared" si="266"/>
        <v>5.9696136623705662</v>
      </c>
      <c r="BR72" s="24">
        <f t="shared" si="267"/>
        <v>2.6558174536239649</v>
      </c>
      <c r="BS72" s="24">
        <f t="shared" si="268"/>
        <v>7.2852876201416725</v>
      </c>
      <c r="BT72" s="22">
        <f>(BU73*EXP(Relm*CG$5)+T72+BK72)+0.0001</f>
        <v>2.1702368601206743</v>
      </c>
      <c r="BU72" s="23">
        <f t="shared" si="270"/>
        <v>0.37070457835894377</v>
      </c>
      <c r="BV72">
        <f t="shared" si="271"/>
        <v>25.694949174545709</v>
      </c>
      <c r="BW72">
        <v>0.90001129456862872</v>
      </c>
      <c r="BX72" s="2">
        <v>29.338999999999999</v>
      </c>
      <c r="CJ72">
        <v>2021</v>
      </c>
      <c r="CK72">
        <f t="shared" si="272"/>
        <v>301</v>
      </c>
      <c r="CL72">
        <f t="shared" si="273"/>
        <v>170.21822855247788</v>
      </c>
      <c r="CM72" s="9">
        <f t="shared" si="274"/>
        <v>0.46179401993355484</v>
      </c>
      <c r="CN72" s="9">
        <f t="shared" si="275"/>
        <v>0.4019933554817276</v>
      </c>
      <c r="CO72" s="9">
        <f t="shared" si="276"/>
        <v>4.6511627906976744E-2</v>
      </c>
      <c r="CP72" s="9">
        <f t="shared" si="277"/>
        <v>2.9900332225913623E-2</v>
      </c>
      <c r="CQ72" s="27">
        <f t="shared" si="277"/>
        <v>4.3189368770764118E-2</v>
      </c>
      <c r="CR72" s="27">
        <f t="shared" si="277"/>
        <v>9.9667774086378731E-3</v>
      </c>
      <c r="CS72" s="27">
        <f t="shared" si="277"/>
        <v>6.6445182724252493E-3</v>
      </c>
      <c r="CT72" s="29">
        <f t="shared" si="278"/>
        <v>0.42951119153027217</v>
      </c>
      <c r="CU72" s="9">
        <f t="shared" si="279"/>
        <v>0.46208878379829715</v>
      </c>
      <c r="CV72" s="9">
        <f t="shared" si="280"/>
        <v>3.5070354762446306E-2</v>
      </c>
      <c r="CW72" s="9">
        <f t="shared" si="281"/>
        <v>1.5602426815323029E-2</v>
      </c>
      <c r="CX72" s="9">
        <f t="shared" si="282"/>
        <v>4.2799691208721721E-2</v>
      </c>
      <c r="CY72" s="9">
        <f t="shared" si="283"/>
        <v>1.2749732379288599E-2</v>
      </c>
      <c r="CZ72" s="9">
        <f t="shared" si="284"/>
        <v>2.1778195056509852E-3</v>
      </c>
      <c r="DA72">
        <f t="shared" si="285"/>
        <v>-1.2011254766718784</v>
      </c>
      <c r="DB72">
        <f t="shared" si="286"/>
        <v>-1.191766572594853</v>
      </c>
      <c r="DC72">
        <f t="shared" si="287"/>
        <v>100</v>
      </c>
      <c r="DD72">
        <f t="shared" si="288"/>
        <v>15.412501967904278</v>
      </c>
      <c r="DE72">
        <f t="shared" si="289"/>
        <v>178.9115360232488</v>
      </c>
      <c r="DF72">
        <f t="shared" si="290"/>
        <v>40.007004893766243</v>
      </c>
      <c r="DG72">
        <f t="shared" si="291"/>
        <v>56.234357221398987</v>
      </c>
      <c r="DH72">
        <f t="shared" si="292"/>
        <v>3.3753816138579595</v>
      </c>
      <c r="DI72">
        <f t="shared" si="293"/>
        <v>0.98809685100871802</v>
      </c>
      <c r="DJ72">
        <f t="shared" si="294"/>
        <v>4.8763578608085378</v>
      </c>
      <c r="DK72">
        <f t="shared" si="295"/>
        <v>1.6143299925822587</v>
      </c>
      <c r="DL72">
        <f t="shared" si="296"/>
        <v>9.9999999999988987E-5</v>
      </c>
      <c r="DM72">
        <f t="shared" si="297"/>
        <v>2021</v>
      </c>
      <c r="DN72" s="9" t="str">
        <f t="shared" si="298"/>
        <v/>
      </c>
      <c r="DO72" s="9" t="str">
        <f t="shared" si="299"/>
        <v/>
      </c>
      <c r="DP72" s="9" t="str">
        <f t="shared" si="300"/>
        <v/>
      </c>
      <c r="DQ72" s="9" t="str">
        <f t="shared" si="301"/>
        <v/>
      </c>
      <c r="DR72" s="9" t="str">
        <f t="shared" si="302"/>
        <v/>
      </c>
      <c r="DS72" s="9" t="str">
        <f t="shared" si="303"/>
        <v/>
      </c>
      <c r="DT72" s="9" t="str">
        <f t="shared" si="304"/>
        <v/>
      </c>
      <c r="DU72" s="9" t="str">
        <f t="shared" si="305"/>
        <v/>
      </c>
      <c r="DV72" s="9" t="str">
        <f t="shared" si="306"/>
        <v/>
      </c>
      <c r="DW72">
        <f t="shared" si="307"/>
        <v>0</v>
      </c>
      <c r="DX72">
        <f t="shared" si="330"/>
        <v>2021</v>
      </c>
      <c r="DY72" s="9" t="str">
        <f t="shared" si="331"/>
        <v/>
      </c>
      <c r="DZ72" s="9" t="str">
        <f t="shared" si="332"/>
        <v/>
      </c>
      <c r="EA72" s="9" t="str">
        <f t="shared" si="333"/>
        <v/>
      </c>
      <c r="EB72" s="9" t="str">
        <f t="shared" si="334"/>
        <v/>
      </c>
      <c r="EC72" s="9" t="str">
        <f t="shared" si="335"/>
        <v/>
      </c>
      <c r="ED72" s="9" t="str">
        <f t="shared" si="336"/>
        <v/>
      </c>
      <c r="EE72" s="9" t="str">
        <f t="shared" si="337"/>
        <v/>
      </c>
      <c r="EF72" s="9" t="str">
        <f t="shared" si="338"/>
        <v/>
      </c>
      <c r="EG72" s="9" t="str">
        <f t="shared" si="339"/>
        <v/>
      </c>
      <c r="EI72">
        <f t="shared" si="308"/>
        <v>301</v>
      </c>
      <c r="EJ72" s="8">
        <f t="shared" si="309"/>
        <v>550.27865172428551</v>
      </c>
      <c r="EK72" s="8">
        <f t="shared" si="310"/>
        <v>462.60817852687501</v>
      </c>
      <c r="EL72" s="8">
        <f t="shared" si="311"/>
        <v>25.191221182738683</v>
      </c>
      <c r="EM72" s="8">
        <f t="shared" si="312"/>
        <v>12.801827480081471</v>
      </c>
      <c r="EN72" s="8">
        <f t="shared" si="313"/>
        <v>22.552163853123421</v>
      </c>
      <c r="EO72" s="8">
        <f t="shared" si="314"/>
        <v>1.791759469228055</v>
      </c>
      <c r="EP72" s="8">
        <f t="shared" si="315"/>
        <v>0.6931471805599454</v>
      </c>
      <c r="EQ72">
        <f t="shared" si="340"/>
        <v>1075.9169494168921</v>
      </c>
      <c r="ES72" s="8">
        <f t="shared" si="316"/>
        <v>569.18572823493446</v>
      </c>
      <c r="ET72" s="8">
        <f t="shared" si="317"/>
        <v>482.23807476784066</v>
      </c>
      <c r="EU72" s="8">
        <f t="shared" si="318"/>
        <v>23.116871097599866</v>
      </c>
      <c r="EV72" s="8">
        <f t="shared" si="319"/>
        <v>9.5553072760495592</v>
      </c>
      <c r="EW72" s="8">
        <f t="shared" si="320"/>
        <v>20.972973740468419</v>
      </c>
      <c r="EX72" s="8">
        <f t="shared" si="321"/>
        <v>-0.8522127198010655</v>
      </c>
      <c r="EY72" s="8">
        <f t="shared" si="322"/>
        <v>-3.5205974326904683</v>
      </c>
      <c r="EZ72">
        <f t="shared" si="341"/>
        <v>1100.6961449644011</v>
      </c>
      <c r="FB72">
        <f t="shared" si="342"/>
        <v>1420.6129602098169</v>
      </c>
      <c r="FC72">
        <f t="shared" si="323"/>
        <v>20.502985210405331</v>
      </c>
      <c r="FD72">
        <f t="shared" si="324"/>
        <v>1490.5238382980217</v>
      </c>
      <c r="FE72">
        <f t="shared" si="325"/>
        <v>-24.628697330290379</v>
      </c>
      <c r="FG72">
        <f t="shared" si="326"/>
        <v>13.606668923276814</v>
      </c>
      <c r="FJ72">
        <v>25.839845622891826</v>
      </c>
    </row>
    <row r="73" spans="4:166" x14ac:dyDescent="0.3">
      <c r="D73">
        <v>2022</v>
      </c>
      <c r="E73">
        <f t="shared" si="327"/>
        <v>39.174118148520755</v>
      </c>
      <c r="F73">
        <f t="shared" si="225"/>
        <v>0.36613557961671617</v>
      </c>
      <c r="G73">
        <f t="shared" si="226"/>
        <v>0.74996600414105852</v>
      </c>
      <c r="H73">
        <f t="shared" si="227"/>
        <v>0</v>
      </c>
      <c r="I73" s="2">
        <v>15.467118148520752</v>
      </c>
      <c r="J73">
        <f t="shared" si="228"/>
        <v>15.467118148520752</v>
      </c>
      <c r="K73" s="2">
        <v>0</v>
      </c>
      <c r="L73">
        <f t="shared" si="229"/>
        <v>23.707000000000001</v>
      </c>
      <c r="M73" s="25">
        <f t="shared" si="230"/>
        <v>0</v>
      </c>
      <c r="N73" s="25">
        <f t="shared" si="231"/>
        <v>0</v>
      </c>
      <c r="O73" s="25">
        <f t="shared" si="232"/>
        <v>0</v>
      </c>
      <c r="P73" s="25">
        <f t="shared" si="233"/>
        <v>0</v>
      </c>
      <c r="Q73" s="25">
        <f t="shared" si="234"/>
        <v>0</v>
      </c>
      <c r="R73" s="25">
        <f t="shared" si="235"/>
        <v>0</v>
      </c>
      <c r="S73" s="25">
        <f t="shared" si="236"/>
        <v>0</v>
      </c>
      <c r="T73" s="25">
        <f t="shared" si="237"/>
        <v>0</v>
      </c>
      <c r="U73" s="25">
        <f t="shared" si="238"/>
        <v>0</v>
      </c>
      <c r="V73">
        <f t="shared" si="328"/>
        <v>0</v>
      </c>
      <c r="W73">
        <f t="shared" si="240"/>
        <v>18.168555052254973</v>
      </c>
      <c r="X73">
        <f t="shared" si="241"/>
        <v>72.355473629155767</v>
      </c>
      <c r="Y73">
        <f t="shared" si="242"/>
        <v>108.05509057393748</v>
      </c>
      <c r="Z73">
        <f t="shared" si="243"/>
        <v>21.993514010624445</v>
      </c>
      <c r="AA73">
        <f t="shared" si="244"/>
        <v>23.905993489809177</v>
      </c>
      <c r="AB73">
        <f t="shared" si="245"/>
        <v>1.2749863194564894</v>
      </c>
      <c r="AC73">
        <f t="shared" si="246"/>
        <v>0.31874657986412236</v>
      </c>
      <c r="AD73">
        <f t="shared" si="247"/>
        <v>1.2749863194564894</v>
      </c>
      <c r="AE73">
        <f t="shared" si="248"/>
        <v>0.31874657986412236</v>
      </c>
      <c r="AF73">
        <f t="shared" si="249"/>
        <v>247.66609255442307</v>
      </c>
      <c r="AG73" s="2">
        <v>5.9799999999999999E-2</v>
      </c>
      <c r="AH73" s="2">
        <v>7.9600000000000004E-2</v>
      </c>
      <c r="AI73" s="2">
        <v>9.9699999999999997E-2</v>
      </c>
      <c r="AJ73" s="2">
        <v>0.1129</v>
      </c>
      <c r="AK73" s="2">
        <v>0.12870000000000001</v>
      </c>
      <c r="AL73" s="2">
        <v>0.1525</v>
      </c>
      <c r="AM73" s="2">
        <v>0.16</v>
      </c>
      <c r="AN73" s="2">
        <v>0.17</v>
      </c>
      <c r="AO73" s="2">
        <v>0.20699999999999999</v>
      </c>
      <c r="AP73">
        <f t="shared" si="250"/>
        <v>9.5721621621621608E-2</v>
      </c>
      <c r="AQ73" s="2">
        <v>57</v>
      </c>
      <c r="AR73" s="2">
        <v>227</v>
      </c>
      <c r="AS73" s="2">
        <v>339</v>
      </c>
      <c r="AT73" s="2">
        <v>69</v>
      </c>
      <c r="AU73" s="2">
        <v>75</v>
      </c>
      <c r="AV73" s="2">
        <v>4</v>
      </c>
      <c r="AW73" s="2">
        <v>1</v>
      </c>
      <c r="AX73" s="2">
        <v>4</v>
      </c>
      <c r="AY73" s="2">
        <v>1</v>
      </c>
      <c r="AZ73">
        <f t="shared" si="251"/>
        <v>777</v>
      </c>
      <c r="BA73">
        <f t="shared" si="252"/>
        <v>2022</v>
      </c>
      <c r="BB73">
        <f t="shared" si="329"/>
        <v>0.79084322196220247</v>
      </c>
      <c r="BC73">
        <f>AVERAGE(BB72:BB73)</f>
        <v>0.70376403682690847</v>
      </c>
      <c r="BD73">
        <f>$J73/$AP73*AQ73/$AZ73</f>
        <v>11.853679823728488</v>
      </c>
      <c r="BE73">
        <f t="shared" si="254"/>
        <v>47.206759999760827</v>
      </c>
      <c r="BF73">
        <f t="shared" si="255"/>
        <v>70.49820105691154</v>
      </c>
      <c r="BG73">
        <f t="shared" si="256"/>
        <v>14.349191365566064</v>
      </c>
      <c r="BH73">
        <f t="shared" si="257"/>
        <v>15.596947136484856</v>
      </c>
      <c r="BI73">
        <f t="shared" si="258"/>
        <v>0.83183718061252554</v>
      </c>
      <c r="BJ73">
        <f t="shared" si="259"/>
        <v>0.20795929515313138</v>
      </c>
      <c r="BK73">
        <f t="shared" si="260"/>
        <v>0.83183718061252554</v>
      </c>
      <c r="BL73">
        <f t="shared" si="261"/>
        <v>0.20795929515313138</v>
      </c>
      <c r="BM73" s="23">
        <f>((W73+BD73)/BZ2)+0.0001</f>
        <v>467.06675480142098</v>
      </c>
      <c r="BN73" s="23">
        <f>((X73+BE73)/CA2)+0.0001</f>
        <v>184.02423721575457</v>
      </c>
      <c r="BO73" s="23">
        <f>((Y73+BF73)/CB2)+0.0001</f>
        <v>211.34168941621866</v>
      </c>
      <c r="BP73" s="23">
        <f t="shared" ref="BP73:BS73" si="344">((Z73+BG73)/CC2)+0.0001</f>
        <v>36.342805376190512</v>
      </c>
      <c r="BQ73" s="23">
        <f t="shared" si="344"/>
        <v>39.503040626294037</v>
      </c>
      <c r="BR73" s="23">
        <f t="shared" si="344"/>
        <v>2.1069235000690152</v>
      </c>
      <c r="BS73" s="23">
        <f t="shared" si="344"/>
        <v>0.52680587501725373</v>
      </c>
      <c r="BT73" s="23">
        <f>((AD73+BK73)/CG2)+0.0001</f>
        <v>2.1069235000690152</v>
      </c>
      <c r="BU73" s="23">
        <f>((AE73+BL73)/CH2)+0.0001</f>
        <v>0.52680587501725373</v>
      </c>
      <c r="BV73">
        <f t="shared" si="271"/>
        <v>26.777118712349981</v>
      </c>
      <c r="BW73">
        <v>0.99999899951918736</v>
      </c>
      <c r="BX73" s="2">
        <v>23.707000000000001</v>
      </c>
      <c r="CJ73">
        <v>2022</v>
      </c>
      <c r="CK73">
        <f t="shared" si="272"/>
        <v>493</v>
      </c>
      <c r="CL73">
        <f t="shared" si="273"/>
        <v>292.45499416887571</v>
      </c>
      <c r="CM73" s="9">
        <f t="shared" si="274"/>
        <v>0.68762677484787016</v>
      </c>
      <c r="CN73" s="9">
        <f t="shared" si="275"/>
        <v>0.13995943204868155</v>
      </c>
      <c r="CO73" s="9">
        <f t="shared" si="276"/>
        <v>0.15212981744421908</v>
      </c>
      <c r="CP73" s="9">
        <f t="shared" si="277"/>
        <v>8.1135902636916835E-3</v>
      </c>
      <c r="CQ73" s="27">
        <f t="shared" si="277"/>
        <v>2.0283975659229209E-3</v>
      </c>
      <c r="CR73" s="27">
        <f t="shared" si="277"/>
        <v>8.1135902636916835E-3</v>
      </c>
      <c r="CS73" s="27">
        <f t="shared" si="277"/>
        <v>2.0283975659229209E-3</v>
      </c>
      <c r="CT73" s="29">
        <f t="shared" si="278"/>
        <v>0.72264688116141773</v>
      </c>
      <c r="CU73" s="9">
        <f t="shared" si="279"/>
        <v>0.12426802790450779</v>
      </c>
      <c r="CV73" s="9">
        <f t="shared" si="280"/>
        <v>0.13507391364116467</v>
      </c>
      <c r="CW73" s="9">
        <f t="shared" si="281"/>
        <v>7.2042657573916811E-3</v>
      </c>
      <c r="CX73" s="9">
        <f t="shared" si="282"/>
        <v>1.8013228890632453E-3</v>
      </c>
      <c r="CY73" s="9">
        <f t="shared" si="283"/>
        <v>7.2042657573916811E-3</v>
      </c>
      <c r="CZ73" s="9">
        <f t="shared" si="284"/>
        <v>1.8013228890632453E-3</v>
      </c>
      <c r="DA73">
        <f t="shared" si="285"/>
        <v>-0.92545625930043351</v>
      </c>
      <c r="DB73">
        <f t="shared" si="286"/>
        <v>-0.91836861576253026</v>
      </c>
      <c r="DC73">
        <f t="shared" si="287"/>
        <v>100</v>
      </c>
      <c r="DD73">
        <f t="shared" si="288"/>
        <v>29.260307313973069</v>
      </c>
      <c r="DE73">
        <f t="shared" si="289"/>
        <v>88.891617278655374</v>
      </c>
      <c r="DF73">
        <f t="shared" si="290"/>
        <v>118.99252069027712</v>
      </c>
      <c r="DG73">
        <f t="shared" si="291"/>
        <v>21.993614010624448</v>
      </c>
      <c r="DH73">
        <f t="shared" si="292"/>
        <v>23.90609348980918</v>
      </c>
      <c r="DI73">
        <f t="shared" si="293"/>
        <v>1.2750863194564896</v>
      </c>
      <c r="DJ73">
        <f t="shared" si="294"/>
        <v>0.31884657986412235</v>
      </c>
      <c r="DK73">
        <f t="shared" si="295"/>
        <v>1.2750863194564896</v>
      </c>
      <c r="DL73">
        <f t="shared" si="296"/>
        <v>0.31884657986412235</v>
      </c>
      <c r="DM73">
        <f t="shared" si="297"/>
        <v>2022</v>
      </c>
      <c r="DN73" s="9" t="str">
        <f t="shared" si="298"/>
        <v/>
      </c>
      <c r="DO73" s="9" t="str">
        <f t="shared" si="299"/>
        <v/>
      </c>
      <c r="DP73" s="9" t="str">
        <f t="shared" si="300"/>
        <v/>
      </c>
      <c r="DQ73" s="9" t="str">
        <f t="shared" si="301"/>
        <v/>
      </c>
      <c r="DR73" s="9" t="str">
        <f t="shared" si="302"/>
        <v/>
      </c>
      <c r="DS73" s="9" t="str">
        <f t="shared" si="303"/>
        <v/>
      </c>
      <c r="DT73" s="9" t="str">
        <f t="shared" si="304"/>
        <v/>
      </c>
      <c r="DU73" s="9" t="str">
        <f t="shared" si="305"/>
        <v/>
      </c>
      <c r="DV73" s="9" t="str">
        <f t="shared" si="306"/>
        <v/>
      </c>
      <c r="DW73">
        <f t="shared" si="307"/>
        <v>0</v>
      </c>
      <c r="DX73">
        <f t="shared" si="330"/>
        <v>2022</v>
      </c>
      <c r="DY73" s="9" t="str">
        <f t="shared" si="331"/>
        <v/>
      </c>
      <c r="DZ73" s="9" t="str">
        <f t="shared" si="332"/>
        <v/>
      </c>
      <c r="EA73" s="9" t="str">
        <f t="shared" si="333"/>
        <v/>
      </c>
      <c r="EB73" s="9" t="str">
        <f t="shared" si="334"/>
        <v/>
      </c>
      <c r="EC73" s="9" t="str">
        <f t="shared" si="335"/>
        <v/>
      </c>
      <c r="ED73" s="9" t="str">
        <f t="shared" si="336"/>
        <v/>
      </c>
      <c r="EE73" s="9" t="str">
        <f t="shared" si="337"/>
        <v/>
      </c>
      <c r="EF73" s="9" t="str">
        <f t="shared" si="338"/>
        <v/>
      </c>
      <c r="EG73" s="9" t="str">
        <f t="shared" si="339"/>
        <v/>
      </c>
      <c r="EI73">
        <f t="shared" si="308"/>
        <v>493</v>
      </c>
      <c r="EJ73" s="8">
        <f t="shared" si="309"/>
        <v>1639.8462208098385</v>
      </c>
      <c r="EK73" s="8">
        <f t="shared" si="310"/>
        <v>226.19054832372763</v>
      </c>
      <c r="EL73" s="8">
        <f t="shared" si="311"/>
        <v>251.89040220972319</v>
      </c>
      <c r="EM73" s="8">
        <f t="shared" si="312"/>
        <v>3.1780538303479458</v>
      </c>
      <c r="EN73" s="8">
        <f t="shared" si="313"/>
        <v>0</v>
      </c>
      <c r="EO73" s="8">
        <f t="shared" si="314"/>
        <v>3.1780538303479458</v>
      </c>
      <c r="EP73" s="8">
        <f t="shared" si="315"/>
        <v>0</v>
      </c>
      <c r="EQ73">
        <f t="shared" si="340"/>
        <v>2124.2832790039852</v>
      </c>
      <c r="ES73" s="8">
        <f t="shared" si="316"/>
        <v>1698.5163493357707</v>
      </c>
      <c r="ET73" s="8">
        <f t="shared" si="317"/>
        <v>232.94283115286902</v>
      </c>
      <c r="EU73" s="8">
        <f t="shared" si="318"/>
        <v>259.60006065957197</v>
      </c>
      <c r="EV73" s="8">
        <f t="shared" si="319"/>
        <v>0.20299383492509548</v>
      </c>
      <c r="EW73" s="8">
        <f t="shared" si="320"/>
        <v>-3.245350587090047</v>
      </c>
      <c r="EX73" s="8">
        <f t="shared" si="321"/>
        <v>0.20299383492509548</v>
      </c>
      <c r="EY73" s="8">
        <f t="shared" si="322"/>
        <v>-3.245350587090047</v>
      </c>
      <c r="EZ73">
        <f t="shared" si="341"/>
        <v>2184.9745276438821</v>
      </c>
      <c r="FB73">
        <f t="shared" si="342"/>
        <v>2567.8703849563794</v>
      </c>
      <c r="FC73">
        <f t="shared" si="323"/>
        <v>44.235071355990677</v>
      </c>
      <c r="FD73">
        <f t="shared" si="324"/>
        <v>2696.2064051679554</v>
      </c>
      <c r="FE73">
        <f t="shared" si="325"/>
        <v>-23.40970021568819</v>
      </c>
      <c r="FG73">
        <f t="shared" si="326"/>
        <v>21.674937034173972</v>
      </c>
      <c r="FJ73">
        <v>24.581510711883027</v>
      </c>
    </row>
    <row r="75" spans="4:166" x14ac:dyDescent="0.3">
      <c r="BU75" t="s">
        <v>74</v>
      </c>
      <c r="DM75" t="s">
        <v>125</v>
      </c>
      <c r="DN75">
        <v>2</v>
      </c>
      <c r="DO75">
        <v>3</v>
      </c>
      <c r="DP75">
        <v>4</v>
      </c>
      <c r="DQ75">
        <v>5</v>
      </c>
      <c r="DR75">
        <v>6</v>
      </c>
      <c r="DS75">
        <v>7</v>
      </c>
      <c r="DT75">
        <v>8</v>
      </c>
      <c r="DU75">
        <v>9</v>
      </c>
    </row>
    <row r="76" spans="4:166" x14ac:dyDescent="0.3">
      <c r="DM76" t="s">
        <v>136</v>
      </c>
      <c r="DN76" s="26">
        <f>AVERAGE(DN2:DN73)</f>
        <v>2.1194403236275382E-2</v>
      </c>
      <c r="DO76" s="26">
        <f t="shared" ref="DO76:DT76" si="345">AVERAGE(DO2:DO73)</f>
        <v>0.21058116252136194</v>
      </c>
      <c r="DP76" s="26">
        <f t="shared" si="345"/>
        <v>0.27767497510313743</v>
      </c>
      <c r="DQ76" s="26">
        <f t="shared" si="345"/>
        <v>0.30380270355115718</v>
      </c>
      <c r="DR76" s="26">
        <f t="shared" si="345"/>
        <v>0.33203451158732622</v>
      </c>
      <c r="DS76" s="26">
        <f t="shared" si="345"/>
        <v>0.38507511491910495</v>
      </c>
      <c r="DT76" s="26">
        <f t="shared" si="345"/>
        <v>0.43233319446705165</v>
      </c>
      <c r="DU76" s="26">
        <f>AVERAGE(DU2:DU73)</f>
        <v>0.54578003258889474</v>
      </c>
    </row>
    <row r="77" spans="4:166" ht="28.8" x14ac:dyDescent="0.3">
      <c r="DM77" s="19" t="s">
        <v>137</v>
      </c>
      <c r="DN77" s="26">
        <f>DN76/AVERAGE($DQ76:$DS76)</f>
        <v>6.2280773614752497E-2</v>
      </c>
      <c r="DO77" s="26">
        <f t="shared" ref="DO77:DU77" si="346">DO76/AVERAGE($DQ76:$DS76)</f>
        <v>0.61880287754821217</v>
      </c>
      <c r="DP77" s="26">
        <f t="shared" si="346"/>
        <v>0.81596127383672834</v>
      </c>
      <c r="DQ77" s="26">
        <f t="shared" si="346"/>
        <v>0.89273886093829447</v>
      </c>
      <c r="DR77" s="26">
        <f t="shared" si="346"/>
        <v>0.97569938714109727</v>
      </c>
      <c r="DS77" s="26">
        <f t="shared" si="346"/>
        <v>1.131561751920608</v>
      </c>
      <c r="DT77" s="26">
        <f t="shared" si="346"/>
        <v>1.270431892352591</v>
      </c>
      <c r="DU77" s="26">
        <f t="shared" si="346"/>
        <v>1.6038008843269862</v>
      </c>
      <c r="DX77" t="s">
        <v>140</v>
      </c>
      <c r="DY77" t="s">
        <v>141</v>
      </c>
    </row>
    <row r="78" spans="4:166" ht="57.6" x14ac:dyDescent="0.3">
      <c r="DL78" t="s">
        <v>142</v>
      </c>
      <c r="DM78" s="18" t="s">
        <v>138</v>
      </c>
      <c r="DN78" s="30">
        <f>AVERAGE(DY23:DY56)</f>
        <v>6.4278266425908254E-2</v>
      </c>
      <c r="DO78" s="30">
        <f t="shared" ref="DO78:DT78" si="347">AVERAGE(DZ23:DZ56)</f>
        <v>0.64970951875046046</v>
      </c>
      <c r="DP78" s="30">
        <f t="shared" si="347"/>
        <v>0.84485638687614872</v>
      </c>
      <c r="DQ78" s="30">
        <f t="shared" si="347"/>
        <v>0.96340390040230239</v>
      </c>
      <c r="DR78" s="30">
        <f t="shared" si="347"/>
        <v>1.1310563373158442</v>
      </c>
      <c r="DS78" s="30">
        <f t="shared" si="347"/>
        <v>1.4410041319560698</v>
      </c>
      <c r="DT78" s="30">
        <f t="shared" si="347"/>
        <v>1.9612014465776137</v>
      </c>
      <c r="DU78" s="30">
        <f>AVERAGE(EF23:EF56)</f>
        <v>2.9887406053886543</v>
      </c>
      <c r="DX78" s="9">
        <f>AVERAGE(DY2:DY18)</f>
        <v>0.1077795261561193</v>
      </c>
      <c r="DY78" s="9">
        <f t="shared" ref="DY78:EE78" si="348">AVERAGE(DZ2:DZ18)</f>
        <v>1.0436991697710771</v>
      </c>
      <c r="DZ78" s="9">
        <f t="shared" si="348"/>
        <v>1.1311092361073227</v>
      </c>
      <c r="EA78" s="9">
        <f t="shared" si="348"/>
        <v>0.92497416682337441</v>
      </c>
      <c r="EB78" s="9">
        <f t="shared" si="348"/>
        <v>0.86697268808807104</v>
      </c>
      <c r="EC78" s="9">
        <f t="shared" si="348"/>
        <v>1.0137011799988003</v>
      </c>
      <c r="ED78" s="9">
        <f t="shared" si="348"/>
        <v>1.4121436240520386</v>
      </c>
      <c r="EE78" s="9">
        <f t="shared" si="348"/>
        <v>1.7859668427128923</v>
      </c>
    </row>
    <row r="79" spans="4:166" x14ac:dyDescent="0.3">
      <c r="DM79" s="1"/>
      <c r="DN79" s="31"/>
      <c r="DO79" s="31"/>
      <c r="DP79" s="31"/>
      <c r="DQ79" s="31"/>
      <c r="DR79" s="31"/>
      <c r="DS79" s="31"/>
      <c r="DT79" s="31"/>
      <c r="DU79" s="31"/>
      <c r="DX79" s="9">
        <f>AVERAGE(DY23:DY51)</f>
        <v>6.7062837786249635E-2</v>
      </c>
      <c r="DY79" s="9">
        <f t="shared" ref="DY79:EE79" si="349">AVERAGE(DZ23:DZ51)</f>
        <v>0.66162154306209064</v>
      </c>
      <c r="DZ79" s="9">
        <f t="shared" si="349"/>
        <v>0.83489159688814474</v>
      </c>
      <c r="EA79" s="9">
        <f t="shared" si="349"/>
        <v>0.9562450019464751</v>
      </c>
      <c r="EB79" s="9">
        <f t="shared" si="349"/>
        <v>1.1355392733317169</v>
      </c>
      <c r="EC79" s="9">
        <f t="shared" si="349"/>
        <v>1.4732830447416896</v>
      </c>
      <c r="ED79" s="9">
        <f t="shared" si="349"/>
        <v>1.9775240457962298</v>
      </c>
      <c r="EE79" s="9">
        <f t="shared" si="349"/>
        <v>3.1152237027574268</v>
      </c>
    </row>
    <row r="80" spans="4:166" ht="57.6" x14ac:dyDescent="0.3">
      <c r="DM80" s="20" t="s">
        <v>138</v>
      </c>
      <c r="DN80" s="32">
        <f>DN78</f>
        <v>6.4278266425908254E-2</v>
      </c>
      <c r="DO80" s="32">
        <f t="shared" ref="DO80:DP80" si="350">DO78</f>
        <v>0.64970951875046046</v>
      </c>
      <c r="DP80" s="32">
        <f t="shared" si="350"/>
        <v>0.84485638687614872</v>
      </c>
      <c r="DQ80" s="32">
        <v>1</v>
      </c>
      <c r="DR80" s="32">
        <v>1</v>
      </c>
      <c r="DS80" s="32">
        <v>1</v>
      </c>
      <c r="DT80" s="32">
        <v>1</v>
      </c>
      <c r="DU80" s="32">
        <v>1</v>
      </c>
      <c r="DX80" s="9"/>
      <c r="DY80" s="9"/>
      <c r="DZ80" s="9"/>
      <c r="EA80" s="9"/>
      <c r="EB80" s="9"/>
      <c r="EC80" s="9"/>
      <c r="ED80" s="9"/>
      <c r="EE80" s="9"/>
    </row>
    <row r="81" spans="128:135" x14ac:dyDescent="0.3">
      <c r="DX81" s="9">
        <f>DX78/DX79</f>
        <v>1.6071423416296007</v>
      </c>
      <c r="DY81" s="9">
        <f t="shared" ref="DY81:EE81" si="351">DY78/DY79</f>
        <v>1.577486677565954</v>
      </c>
      <c r="DZ81" s="9">
        <f t="shared" si="351"/>
        <v>1.354797725025928</v>
      </c>
      <c r="EA81" s="9">
        <f t="shared" si="351"/>
        <v>0.96729830215117707</v>
      </c>
      <c r="EB81" s="9">
        <f t="shared" si="351"/>
        <v>0.76348983117452118</v>
      </c>
      <c r="EC81" s="9">
        <f t="shared" si="351"/>
        <v>0.68805596020181736</v>
      </c>
      <c r="ED81" s="9">
        <f t="shared" si="351"/>
        <v>0.71409681568926431</v>
      </c>
      <c r="EE81" s="9">
        <f t="shared" si="351"/>
        <v>0.57330291918748932</v>
      </c>
    </row>
  </sheetData>
  <conditionalFormatting sqref="DN2:DU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Y2:EF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3"/>
  <sheetViews>
    <sheetView workbookViewId="0">
      <selection activeCell="F46" sqref="F46"/>
    </sheetView>
  </sheetViews>
  <sheetFormatPr defaultRowHeight="14.4" x14ac:dyDescent="0.3"/>
  <cols>
    <col min="1" max="1" width="12" bestFit="1" customWidth="1"/>
  </cols>
  <sheetData>
    <row r="1" spans="1:24" x14ac:dyDescent="0.3">
      <c r="A1" s="2" t="s">
        <v>167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168</v>
      </c>
      <c r="V1" t="s">
        <v>75</v>
      </c>
      <c r="W1" t="s">
        <v>170</v>
      </c>
      <c r="X1" s="8" t="s">
        <v>164</v>
      </c>
    </row>
    <row r="2" spans="1:24" x14ac:dyDescent="0.3">
      <c r="A2" s="2">
        <v>5.8337401701731801</v>
      </c>
      <c r="B2" s="2">
        <v>21.821000000000002</v>
      </c>
      <c r="C2" s="2">
        <v>5.0299999999999997E-2</v>
      </c>
      <c r="D2" s="2">
        <v>8.7300000000000003E-2</v>
      </c>
      <c r="E2" s="2">
        <v>0.1144</v>
      </c>
      <c r="F2" s="2">
        <v>0.13389999999999999</v>
      </c>
      <c r="G2" s="2">
        <v>0.1489</v>
      </c>
      <c r="H2" s="2">
        <v>0.16</v>
      </c>
      <c r="I2" s="2">
        <v>0.20499999999999999</v>
      </c>
      <c r="J2" s="2">
        <v>0.19600000000000001</v>
      </c>
      <c r="K2" s="2">
        <v>0.14879999999999999</v>
      </c>
      <c r="L2" s="2">
        <v>508</v>
      </c>
      <c r="M2" s="2">
        <v>1519</v>
      </c>
      <c r="N2" s="2">
        <v>1666</v>
      </c>
      <c r="O2" s="2">
        <v>272</v>
      </c>
      <c r="P2" s="2">
        <v>58</v>
      </c>
      <c r="Q2" s="2">
        <v>12</v>
      </c>
      <c r="R2" s="2">
        <v>1</v>
      </c>
      <c r="S2" s="2">
        <v>1</v>
      </c>
      <c r="T2" s="2">
        <v>0</v>
      </c>
      <c r="U2" s="2">
        <v>19.597000000000001</v>
      </c>
      <c r="V2">
        <v>0.92375696708540211</v>
      </c>
      <c r="W2">
        <v>1.0166798951865399</v>
      </c>
      <c r="X2">
        <v>17.907669253475529</v>
      </c>
    </row>
    <row r="3" spans="1:24" x14ac:dyDescent="0.3">
      <c r="A3" s="2">
        <v>5.7125182282236509</v>
      </c>
      <c r="B3" s="2">
        <v>27.007999999999999</v>
      </c>
      <c r="C3" s="2">
        <v>5.3600000000000002E-2</v>
      </c>
      <c r="D3" s="2">
        <v>8.9599999999999999E-2</v>
      </c>
      <c r="E3" s="2">
        <v>0.1144</v>
      </c>
      <c r="F3" s="2">
        <v>0.13850000000000001</v>
      </c>
      <c r="G3" s="2">
        <v>0.15670000000000001</v>
      </c>
      <c r="H3" s="2">
        <v>0.1699</v>
      </c>
      <c r="I3" s="2">
        <v>0.17810000000000001</v>
      </c>
      <c r="J3" s="2">
        <v>0.19</v>
      </c>
      <c r="K3" s="2">
        <v>0.14879999999999999</v>
      </c>
      <c r="L3" s="2">
        <v>97</v>
      </c>
      <c r="M3" s="2">
        <v>1435</v>
      </c>
      <c r="N3" s="2">
        <v>1230</v>
      </c>
      <c r="O3" s="2">
        <v>1824</v>
      </c>
      <c r="P3" s="2">
        <v>245</v>
      </c>
      <c r="Q3" s="2">
        <v>72</v>
      </c>
      <c r="R3" s="2">
        <v>16</v>
      </c>
      <c r="S3" s="2">
        <v>2</v>
      </c>
      <c r="T3" s="2">
        <v>0</v>
      </c>
      <c r="U3" s="2">
        <v>13.31</v>
      </c>
      <c r="V3">
        <v>1.0723894118364565</v>
      </c>
      <c r="W3">
        <v>1.00800187023587</v>
      </c>
      <c r="X3">
        <v>10.377525540355105</v>
      </c>
    </row>
    <row r="4" spans="1:24" x14ac:dyDescent="0.3">
      <c r="A4" s="2">
        <v>5.5912962862741216</v>
      </c>
      <c r="B4" s="2">
        <v>0.02</v>
      </c>
      <c r="C4" s="2">
        <v>4.2700000000000002E-2</v>
      </c>
      <c r="D4" s="2">
        <v>7.9899999999999999E-2</v>
      </c>
      <c r="E4" s="2">
        <v>0.10009999999999999</v>
      </c>
      <c r="F4" s="2">
        <v>0.121</v>
      </c>
      <c r="G4" s="2">
        <v>0.14729999999999999</v>
      </c>
      <c r="H4" s="2">
        <v>0.14549999999999999</v>
      </c>
      <c r="I4" s="2">
        <v>0.1915</v>
      </c>
      <c r="J4" s="2">
        <v>0.193</v>
      </c>
      <c r="K4" s="2">
        <v>0.14879999999999999</v>
      </c>
      <c r="L4" s="2">
        <v>565</v>
      </c>
      <c r="M4" s="2">
        <v>2220</v>
      </c>
      <c r="N4" s="2">
        <v>1086</v>
      </c>
      <c r="O4" s="2">
        <v>65</v>
      </c>
      <c r="P4" s="2">
        <v>19</v>
      </c>
      <c r="Q4" s="2">
        <v>2</v>
      </c>
      <c r="R4" s="2">
        <v>0</v>
      </c>
      <c r="S4" s="2">
        <v>0</v>
      </c>
      <c r="T4" s="2">
        <v>0</v>
      </c>
      <c r="U4" s="2">
        <v>39.570999999999998</v>
      </c>
      <c r="V4">
        <v>1.2229811190988267</v>
      </c>
      <c r="W4">
        <v>1.1339128996746899</v>
      </c>
      <c r="X4">
        <v>19.119919663440751</v>
      </c>
    </row>
    <row r="5" spans="1:24" x14ac:dyDescent="0.3">
      <c r="A5" s="2">
        <v>5.4700743443245905</v>
      </c>
      <c r="B5" s="2">
        <v>33.209000000000003</v>
      </c>
      <c r="C5" s="2">
        <v>5.4199999999999998E-2</v>
      </c>
      <c r="D5" s="2">
        <v>8.5400000000000004E-2</v>
      </c>
      <c r="E5" s="2">
        <v>0.1056</v>
      </c>
      <c r="F5" s="2">
        <v>0.1258</v>
      </c>
      <c r="G5" s="2">
        <v>0.1474</v>
      </c>
      <c r="H5" s="2">
        <v>0.1658</v>
      </c>
      <c r="I5" s="2">
        <v>0.155</v>
      </c>
      <c r="J5" s="2">
        <v>0.193</v>
      </c>
      <c r="K5" s="2">
        <v>0.14879999999999999</v>
      </c>
      <c r="L5" s="2">
        <v>163</v>
      </c>
      <c r="M5" s="2">
        <v>3852</v>
      </c>
      <c r="N5" s="2">
        <v>1681</v>
      </c>
      <c r="O5" s="2">
        <v>338</v>
      </c>
      <c r="P5" s="2">
        <v>42</v>
      </c>
      <c r="Q5" s="2">
        <v>9</v>
      </c>
      <c r="R5" s="2">
        <v>5</v>
      </c>
      <c r="S5" s="2">
        <v>1</v>
      </c>
      <c r="T5" s="2">
        <v>1</v>
      </c>
      <c r="U5" s="2">
        <v>20.648</v>
      </c>
      <c r="V5">
        <v>1.1054346616743365</v>
      </c>
      <c r="W5">
        <v>1.1449892567442701</v>
      </c>
      <c r="X5">
        <v>13.55443129946206</v>
      </c>
    </row>
    <row r="6" spans="1:24" x14ac:dyDescent="0.3">
      <c r="A6" s="2">
        <v>5.3488524023750621</v>
      </c>
      <c r="B6" s="2">
        <v>6.1230000000000002</v>
      </c>
      <c r="C6" s="2">
        <v>5.7799999999999997E-2</v>
      </c>
      <c r="D6" s="2">
        <v>8.3099999999999993E-2</v>
      </c>
      <c r="E6" s="2">
        <v>0.1077</v>
      </c>
      <c r="F6" s="2">
        <v>0.1249</v>
      </c>
      <c r="G6" s="2">
        <v>0.15140000000000001</v>
      </c>
      <c r="H6" s="2">
        <v>0.13100000000000001</v>
      </c>
      <c r="I6" s="2">
        <v>0.18240000000000001</v>
      </c>
      <c r="J6" s="2">
        <v>0.193</v>
      </c>
      <c r="K6" s="2">
        <v>0.14879999999999999</v>
      </c>
      <c r="L6" s="2">
        <v>422</v>
      </c>
      <c r="M6" s="2">
        <v>1490</v>
      </c>
      <c r="N6" s="2">
        <v>494</v>
      </c>
      <c r="O6" s="2">
        <v>86</v>
      </c>
      <c r="P6" s="2">
        <v>16</v>
      </c>
      <c r="Q6" s="2">
        <v>1</v>
      </c>
      <c r="R6" s="2">
        <v>0</v>
      </c>
      <c r="S6" s="2">
        <v>0</v>
      </c>
      <c r="T6" s="2">
        <v>0</v>
      </c>
      <c r="U6" s="2">
        <v>15.112</v>
      </c>
      <c r="V6">
        <v>0.93598796316220867</v>
      </c>
      <c r="W6">
        <v>1.02757557122851</v>
      </c>
      <c r="X6">
        <v>15.121193783526191</v>
      </c>
    </row>
    <row r="7" spans="1:24" x14ac:dyDescent="0.3">
      <c r="A7" s="2">
        <v>5.3488524023750621</v>
      </c>
      <c r="B7" s="2">
        <v>17.097999999999999</v>
      </c>
      <c r="C7" s="2">
        <v>5.7700000000000001E-2</v>
      </c>
      <c r="D7" s="2">
        <v>8.5999999999999993E-2</v>
      </c>
      <c r="E7" s="2">
        <v>0.10639999999999999</v>
      </c>
      <c r="F7" s="2">
        <v>0.1192</v>
      </c>
      <c r="G7" s="2">
        <v>0.1389</v>
      </c>
      <c r="H7" s="2">
        <v>0.14399999999999999</v>
      </c>
      <c r="I7" s="2">
        <v>0.18240000000000001</v>
      </c>
      <c r="J7" s="2">
        <v>0.14000000000000001</v>
      </c>
      <c r="K7" s="2">
        <v>0.14879999999999999</v>
      </c>
      <c r="L7" s="2">
        <v>575</v>
      </c>
      <c r="M7" s="2">
        <v>2990</v>
      </c>
      <c r="N7" s="2">
        <v>743</v>
      </c>
      <c r="O7" s="2">
        <v>282</v>
      </c>
      <c r="P7" s="2">
        <v>52</v>
      </c>
      <c r="Q7" s="2">
        <v>7</v>
      </c>
      <c r="R7" s="2">
        <v>2</v>
      </c>
      <c r="S7" s="2">
        <v>2</v>
      </c>
      <c r="T7" s="2">
        <v>0</v>
      </c>
      <c r="U7" s="2">
        <v>27.183</v>
      </c>
      <c r="V7">
        <v>0.92022935250639104</v>
      </c>
      <c r="W7">
        <v>1.04700396032453</v>
      </c>
      <c r="X7">
        <v>18.279858634291852</v>
      </c>
    </row>
    <row r="8" spans="1:24" x14ac:dyDescent="0.3">
      <c r="A8" s="2">
        <v>4.0933603166749135</v>
      </c>
      <c r="B8" s="2">
        <v>2.6120000000000001</v>
      </c>
      <c r="C8" s="2">
        <v>5.3199999999999997E-2</v>
      </c>
      <c r="D8" s="2">
        <v>8.48E-2</v>
      </c>
      <c r="E8" s="2">
        <v>0.10680000000000001</v>
      </c>
      <c r="F8" s="2">
        <v>0.12590000000000001</v>
      </c>
      <c r="G8" s="2">
        <v>0.14829999999999999</v>
      </c>
      <c r="H8" s="2">
        <v>0.1512</v>
      </c>
      <c r="I8" s="2">
        <v>0.1779</v>
      </c>
      <c r="J8" s="2">
        <v>0.18179999999999999</v>
      </c>
      <c r="K8" s="2">
        <v>0.14879999999999999</v>
      </c>
      <c r="L8" s="2">
        <v>16</v>
      </c>
      <c r="M8" s="2">
        <v>423</v>
      </c>
      <c r="N8" s="2">
        <v>146</v>
      </c>
      <c r="O8" s="2">
        <v>2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44.113999999999997</v>
      </c>
      <c r="V8">
        <v>0.95563473596622306</v>
      </c>
      <c r="W8">
        <v>1.10337559500827</v>
      </c>
      <c r="X8">
        <v>25.772631211349459</v>
      </c>
    </row>
    <row r="9" spans="1:24" x14ac:dyDescent="0.3">
      <c r="A9" s="2">
        <v>2.923828797624938</v>
      </c>
      <c r="B9" s="2">
        <v>0.55600000000000005</v>
      </c>
      <c r="C9" s="2">
        <v>5.0700000000000002E-2</v>
      </c>
      <c r="D9" s="2">
        <v>6.9000000000000006E-2</v>
      </c>
      <c r="E9" s="2">
        <v>9.6600000000000005E-2</v>
      </c>
      <c r="F9" s="2">
        <v>0.1077</v>
      </c>
      <c r="G9" s="2">
        <v>0.12479999999999999</v>
      </c>
      <c r="H9" s="2">
        <v>0.12809999999999999</v>
      </c>
      <c r="I9" s="2">
        <v>0.13830000000000001</v>
      </c>
      <c r="J9" s="2">
        <v>0.16900000000000001</v>
      </c>
      <c r="K9" s="2">
        <v>0.14879999999999999</v>
      </c>
      <c r="L9" s="2">
        <v>154</v>
      </c>
      <c r="M9" s="2">
        <v>579</v>
      </c>
      <c r="N9" s="2">
        <v>322</v>
      </c>
      <c r="O9" s="2">
        <v>75</v>
      </c>
      <c r="P9" s="2">
        <v>34</v>
      </c>
      <c r="Q9" s="2">
        <v>20</v>
      </c>
      <c r="R9" s="2">
        <v>5</v>
      </c>
      <c r="S9" s="2">
        <v>1</v>
      </c>
      <c r="T9" s="2">
        <v>0</v>
      </c>
      <c r="U9" s="2">
        <v>18.986000000000001</v>
      </c>
      <c r="V9">
        <v>0.60982408108071262</v>
      </c>
      <c r="W9">
        <v>0.92526614003847696</v>
      </c>
      <c r="X9">
        <v>27.93778895958668</v>
      </c>
    </row>
    <row r="10" spans="1:24" x14ac:dyDescent="0.3">
      <c r="A10" s="2">
        <v>2.3390630380999502</v>
      </c>
      <c r="B10" s="2">
        <v>69.222999999999999</v>
      </c>
      <c r="C10" s="2">
        <v>5.1200000000000002E-2</v>
      </c>
      <c r="D10" s="2">
        <v>8.0699999999999994E-2</v>
      </c>
      <c r="E10" s="2">
        <v>9.69E-2</v>
      </c>
      <c r="F10" s="2">
        <v>0.113</v>
      </c>
      <c r="G10" s="2">
        <v>0.12429999999999999</v>
      </c>
      <c r="H10" s="2">
        <v>0.13320000000000001</v>
      </c>
      <c r="I10" s="2">
        <v>0.1371</v>
      </c>
      <c r="J10" s="2">
        <v>0.14990000000000001</v>
      </c>
      <c r="K10" s="2">
        <v>0.14879999999999999</v>
      </c>
      <c r="L10" s="2">
        <v>155</v>
      </c>
      <c r="M10" s="2">
        <v>1650</v>
      </c>
      <c r="N10" s="2">
        <v>1004</v>
      </c>
      <c r="O10" s="2">
        <v>528</v>
      </c>
      <c r="P10" s="2">
        <v>141</v>
      </c>
      <c r="Q10" s="2">
        <v>88</v>
      </c>
      <c r="R10" s="2">
        <v>74</v>
      </c>
      <c r="S10" s="2">
        <v>21</v>
      </c>
      <c r="T10" s="2">
        <v>4</v>
      </c>
      <c r="U10" s="2">
        <v>12.978999999999999</v>
      </c>
      <c r="V10">
        <v>0.73670002949830604</v>
      </c>
      <c r="W10">
        <v>0.96765904447111695</v>
      </c>
      <c r="X10">
        <v>11.144696700823623</v>
      </c>
    </row>
    <row r="11" spans="1:24" x14ac:dyDescent="0.3">
      <c r="A11" s="2">
        <v>2.496365027412172</v>
      </c>
      <c r="B11" s="2">
        <v>53.911000000000001</v>
      </c>
      <c r="C11" s="2">
        <v>5.9400000000000001E-2</v>
      </c>
      <c r="D11" s="2">
        <v>8.9700000000000002E-2</v>
      </c>
      <c r="E11" s="2">
        <v>0.106</v>
      </c>
      <c r="F11" s="2">
        <v>0.121</v>
      </c>
      <c r="G11" s="2">
        <v>0.1336</v>
      </c>
      <c r="H11" s="2">
        <v>0.14460000000000001</v>
      </c>
      <c r="I11" s="2">
        <v>0.16039999999999999</v>
      </c>
      <c r="J11" s="2">
        <v>0.17449999999999999</v>
      </c>
      <c r="K11" s="2">
        <v>0.16450000000000001</v>
      </c>
      <c r="L11" s="2">
        <v>255</v>
      </c>
      <c r="M11" s="2">
        <v>1575</v>
      </c>
      <c r="N11" s="2">
        <v>671</v>
      </c>
      <c r="O11" s="2">
        <v>252</v>
      </c>
      <c r="P11" s="2">
        <v>81</v>
      </c>
      <c r="Q11" s="2">
        <v>27</v>
      </c>
      <c r="R11" s="2">
        <v>10</v>
      </c>
      <c r="S11" s="2">
        <v>4</v>
      </c>
      <c r="T11" s="2">
        <v>2</v>
      </c>
      <c r="U11" s="2">
        <v>6.0149999999999997</v>
      </c>
      <c r="V11">
        <v>0.87252947059887009</v>
      </c>
      <c r="W11">
        <v>0.99972022001835903</v>
      </c>
      <c r="X11">
        <v>4.4815798320128266</v>
      </c>
    </row>
    <row r="12" spans="1:24" x14ac:dyDescent="0.3">
      <c r="A12" s="2">
        <v>2.432157747016328</v>
      </c>
      <c r="B12" s="2">
        <v>26.434999999999999</v>
      </c>
      <c r="C12" s="2">
        <v>5.8500000000000003E-2</v>
      </c>
      <c r="D12" s="2">
        <v>9.0399999999999994E-2</v>
      </c>
      <c r="E12" s="2">
        <v>0.1168</v>
      </c>
      <c r="F12" s="2">
        <v>0.14099999999999999</v>
      </c>
      <c r="G12" s="2">
        <v>0.17299999999999999</v>
      </c>
      <c r="H12" s="2">
        <v>0.14019999999999999</v>
      </c>
      <c r="I12" s="2">
        <v>0.15920000000000001</v>
      </c>
      <c r="J12" s="2">
        <v>0.16300000000000001</v>
      </c>
      <c r="K12" s="2">
        <v>0.15659999999999999</v>
      </c>
      <c r="L12" s="2">
        <v>274</v>
      </c>
      <c r="M12" s="2">
        <v>248</v>
      </c>
      <c r="N12" s="2">
        <v>118</v>
      </c>
      <c r="O12" s="2">
        <v>26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10.555999999999999</v>
      </c>
      <c r="V12">
        <v>1.0456951365731755</v>
      </c>
      <c r="W12">
        <v>1.01857020722254</v>
      </c>
      <c r="X12">
        <v>7.2385078798679841</v>
      </c>
    </row>
    <row r="13" spans="1:24" x14ac:dyDescent="0.3">
      <c r="A13" s="2">
        <v>2.3679504666204849</v>
      </c>
      <c r="B13" s="2">
        <v>23.684000000000001</v>
      </c>
      <c r="C13" s="2">
        <v>5.67E-2</v>
      </c>
      <c r="D13" s="2">
        <v>9.2100000000000001E-2</v>
      </c>
      <c r="E13" s="2">
        <v>0.1074</v>
      </c>
      <c r="F13" s="2">
        <v>0.12520000000000001</v>
      </c>
      <c r="G13" s="2">
        <v>0.12820000000000001</v>
      </c>
      <c r="H13" s="2">
        <v>0.13950000000000001</v>
      </c>
      <c r="I13" s="2">
        <v>0.15459999999999999</v>
      </c>
      <c r="J13" s="2">
        <v>0.1676</v>
      </c>
      <c r="K13" s="2">
        <v>0.15659999999999999</v>
      </c>
      <c r="L13" s="2">
        <v>59</v>
      </c>
      <c r="M13" s="2">
        <v>1031</v>
      </c>
      <c r="N13" s="2">
        <v>130</v>
      </c>
      <c r="O13" s="2">
        <v>31</v>
      </c>
      <c r="P13" s="2">
        <v>10</v>
      </c>
      <c r="Q13" s="2">
        <v>0</v>
      </c>
      <c r="R13" s="2">
        <v>0</v>
      </c>
      <c r="S13" s="2">
        <v>0</v>
      </c>
      <c r="T13" s="2">
        <v>0</v>
      </c>
      <c r="U13" s="2">
        <v>34.47</v>
      </c>
      <c r="V13">
        <v>1.2498457002174657</v>
      </c>
      <c r="W13">
        <v>1.1294594821853801</v>
      </c>
      <c r="X13">
        <v>17.141983647303487</v>
      </c>
    </row>
    <row r="14" spans="1:24" x14ac:dyDescent="0.3">
      <c r="A14" s="2">
        <v>2.3037431862246414</v>
      </c>
      <c r="B14" s="2">
        <v>18.206</v>
      </c>
      <c r="C14" s="2">
        <v>5.6300000000000003E-2</v>
      </c>
      <c r="D14" s="2">
        <v>8.9800000000000005E-2</v>
      </c>
      <c r="E14" s="2">
        <v>0.1125</v>
      </c>
      <c r="F14" s="2">
        <v>0.123</v>
      </c>
      <c r="G14" s="2">
        <v>0.1366</v>
      </c>
      <c r="H14" s="2">
        <v>0.1447</v>
      </c>
      <c r="I14" s="2">
        <v>0.14990000000000001</v>
      </c>
      <c r="J14" s="2">
        <v>0.1648</v>
      </c>
      <c r="K14" s="2">
        <v>0.15659999999999999</v>
      </c>
      <c r="L14" s="2">
        <v>39</v>
      </c>
      <c r="M14" s="2">
        <v>985</v>
      </c>
      <c r="N14" s="2">
        <v>1110</v>
      </c>
      <c r="O14" s="2">
        <v>106</v>
      </c>
      <c r="P14" s="2">
        <v>14</v>
      </c>
      <c r="Q14" s="2">
        <v>4</v>
      </c>
      <c r="R14" s="2">
        <v>0</v>
      </c>
      <c r="S14" s="2">
        <v>0</v>
      </c>
      <c r="T14" s="2">
        <v>0</v>
      </c>
      <c r="U14" s="2">
        <v>11.244999999999999</v>
      </c>
      <c r="V14">
        <v>1.0321225358550921</v>
      </c>
      <c r="W14">
        <v>0.97131198642405203</v>
      </c>
      <c r="X14">
        <v>11.592823404521894</v>
      </c>
    </row>
    <row r="15" spans="1:24" x14ac:dyDescent="0.3">
      <c r="A15" s="2">
        <v>2.2395359058287978</v>
      </c>
      <c r="B15" s="2">
        <v>21.265999999999998</v>
      </c>
      <c r="C15" s="2">
        <v>6.13E-2</v>
      </c>
      <c r="D15" s="2">
        <v>9.2700000000000005E-2</v>
      </c>
      <c r="E15" s="2">
        <v>0.1137</v>
      </c>
      <c r="F15" s="2">
        <v>0.1353</v>
      </c>
      <c r="G15" s="2">
        <v>0.1449</v>
      </c>
      <c r="H15" s="2">
        <v>0.13</v>
      </c>
      <c r="I15" s="2">
        <v>0.1522</v>
      </c>
      <c r="J15" s="2">
        <v>0.16400000000000001</v>
      </c>
      <c r="K15" s="2">
        <v>0.15659999999999999</v>
      </c>
      <c r="L15" s="2">
        <v>30</v>
      </c>
      <c r="M15" s="2">
        <v>713</v>
      </c>
      <c r="N15" s="2">
        <v>305</v>
      </c>
      <c r="O15" s="2">
        <v>123</v>
      </c>
      <c r="P15" s="2">
        <v>10</v>
      </c>
      <c r="Q15" s="2">
        <v>3</v>
      </c>
      <c r="R15" s="2">
        <v>0</v>
      </c>
      <c r="S15" s="2">
        <v>0</v>
      </c>
      <c r="T15" s="2">
        <v>0</v>
      </c>
      <c r="U15" s="2">
        <v>22.760999999999999</v>
      </c>
      <c r="V15">
        <v>1.1469145577004811</v>
      </c>
      <c r="W15">
        <v>1.0725778075587</v>
      </c>
      <c r="X15">
        <v>14.161669935604294</v>
      </c>
    </row>
    <row r="16" spans="1:24" x14ac:dyDescent="0.3">
      <c r="A16" s="2">
        <v>2.1753286254329538</v>
      </c>
      <c r="B16" s="2">
        <v>16.045999999999999</v>
      </c>
      <c r="C16" s="2">
        <v>6.8699999999999997E-2</v>
      </c>
      <c r="D16" s="2">
        <v>0.1067</v>
      </c>
      <c r="E16" s="2">
        <v>0.12889999999999999</v>
      </c>
      <c r="F16" s="2">
        <v>0.1467</v>
      </c>
      <c r="G16" s="2">
        <v>0.17130000000000001</v>
      </c>
      <c r="H16" s="2">
        <v>0.15870000000000001</v>
      </c>
      <c r="I16" s="2">
        <v>0.15529999999999999</v>
      </c>
      <c r="J16" s="2">
        <v>0.1668</v>
      </c>
      <c r="K16" s="2">
        <v>0.15820000000000001</v>
      </c>
      <c r="L16" s="2">
        <v>18</v>
      </c>
      <c r="M16" s="2">
        <v>283</v>
      </c>
      <c r="N16" s="2">
        <v>411</v>
      </c>
      <c r="O16" s="2">
        <v>82</v>
      </c>
      <c r="P16" s="2">
        <v>27</v>
      </c>
      <c r="Q16" s="2">
        <v>3</v>
      </c>
      <c r="R16" s="2">
        <v>0</v>
      </c>
      <c r="S16" s="2">
        <v>0</v>
      </c>
      <c r="T16" s="2">
        <v>0</v>
      </c>
      <c r="U16" s="2">
        <v>11.891</v>
      </c>
      <c r="V16">
        <v>1.0246471400841737</v>
      </c>
      <c r="W16">
        <v>1.0940062443832801</v>
      </c>
      <c r="X16">
        <v>9.1326954675907519</v>
      </c>
    </row>
    <row r="17" spans="1:24" x14ac:dyDescent="0.3">
      <c r="A17" s="2">
        <v>2.1111213450371098</v>
      </c>
      <c r="B17" s="2">
        <v>10.843</v>
      </c>
      <c r="C17" s="2">
        <v>4.2000000000000003E-2</v>
      </c>
      <c r="D17" s="2">
        <v>0.1111</v>
      </c>
      <c r="E17" s="2">
        <v>0.13339999999999999</v>
      </c>
      <c r="F17" s="2">
        <v>0.1489</v>
      </c>
      <c r="G17" s="2">
        <v>0.16239999999999999</v>
      </c>
      <c r="H17" s="2">
        <v>0.17929999999999999</v>
      </c>
      <c r="I17" s="2">
        <v>0.15429999999999999</v>
      </c>
      <c r="J17" s="2">
        <v>0.1653</v>
      </c>
      <c r="K17" s="2">
        <v>0.15690000000000001</v>
      </c>
      <c r="L17" s="2">
        <v>1</v>
      </c>
      <c r="M17" s="2">
        <v>124</v>
      </c>
      <c r="N17" s="2">
        <v>100</v>
      </c>
      <c r="O17" s="2">
        <v>64</v>
      </c>
      <c r="P17" s="2">
        <v>8</v>
      </c>
      <c r="Q17" s="2">
        <v>3</v>
      </c>
      <c r="R17" s="2">
        <v>0</v>
      </c>
      <c r="S17" s="2">
        <v>0</v>
      </c>
      <c r="T17" s="2">
        <v>0</v>
      </c>
      <c r="U17" s="2">
        <v>3.722</v>
      </c>
      <c r="V17">
        <v>0.66377211307984463</v>
      </c>
      <c r="W17">
        <v>0.961392829415051</v>
      </c>
      <c r="X17">
        <v>3.6421347891137912</v>
      </c>
    </row>
    <row r="18" spans="1:24" x14ac:dyDescent="0.3">
      <c r="A18" s="2">
        <v>2.0469140646412667</v>
      </c>
      <c r="B18" s="2">
        <v>15.145</v>
      </c>
      <c r="C18" s="2">
        <v>5.7000000000000002E-2</v>
      </c>
      <c r="D18" s="2">
        <v>9.8500000000000004E-2</v>
      </c>
      <c r="E18" s="2">
        <v>0.1192</v>
      </c>
      <c r="F18" s="2">
        <v>0.1358</v>
      </c>
      <c r="G18" s="2">
        <v>0.1487</v>
      </c>
      <c r="H18" s="2">
        <v>0.15040000000000001</v>
      </c>
      <c r="I18" s="2">
        <v>0.15329999999999999</v>
      </c>
      <c r="J18" s="2">
        <v>0.16569999999999999</v>
      </c>
      <c r="K18" s="2">
        <v>0.157</v>
      </c>
      <c r="L18" s="3">
        <v>1</v>
      </c>
      <c r="M18" s="3">
        <v>124</v>
      </c>
      <c r="N18" s="3">
        <v>100</v>
      </c>
      <c r="O18" s="3">
        <v>64</v>
      </c>
      <c r="P18" s="3">
        <v>8</v>
      </c>
      <c r="Q18" s="3">
        <v>3</v>
      </c>
      <c r="R18" s="3">
        <v>0</v>
      </c>
      <c r="S18" s="3">
        <v>0</v>
      </c>
      <c r="T18" s="3">
        <v>0</v>
      </c>
      <c r="U18" s="2">
        <v>4.8129999999999997</v>
      </c>
      <c r="V18">
        <v>1.0370295894040495</v>
      </c>
      <c r="W18">
        <v>0.98671675962572702</v>
      </c>
      <c r="X18">
        <v>3.7692880243214066</v>
      </c>
    </row>
    <row r="19" spans="1:24" x14ac:dyDescent="0.3">
      <c r="A19" s="2">
        <v>1.9827067842454229</v>
      </c>
      <c r="B19" s="2">
        <v>0</v>
      </c>
      <c r="C19" s="2">
        <v>5.7000000000000002E-2</v>
      </c>
      <c r="D19" s="2">
        <v>9.98E-2</v>
      </c>
      <c r="E19" s="2">
        <v>0.1215</v>
      </c>
      <c r="F19" s="2">
        <v>0.13800000000000001</v>
      </c>
      <c r="G19" s="2">
        <v>0.15279999999999999</v>
      </c>
      <c r="H19" s="2">
        <v>0.15260000000000001</v>
      </c>
      <c r="I19" s="2">
        <v>0.153</v>
      </c>
      <c r="J19" s="2">
        <v>0.1653</v>
      </c>
      <c r="K19" s="2">
        <v>0.15709999999999999</v>
      </c>
      <c r="L19" s="3">
        <v>1</v>
      </c>
      <c r="M19" s="3">
        <v>124</v>
      </c>
      <c r="N19" s="3">
        <v>100</v>
      </c>
      <c r="O19" s="3">
        <v>64</v>
      </c>
      <c r="P19" s="3">
        <v>8</v>
      </c>
      <c r="Q19" s="3">
        <v>3</v>
      </c>
      <c r="R19" s="3">
        <v>0</v>
      </c>
      <c r="S19" s="3">
        <v>0</v>
      </c>
      <c r="T19" s="3">
        <v>0</v>
      </c>
      <c r="U19" s="2">
        <v>11.029</v>
      </c>
      <c r="V19">
        <v>1.2354741060018619</v>
      </c>
      <c r="W19">
        <v>1.01423560060468</v>
      </c>
      <c r="X19">
        <v>7.1188649321616122</v>
      </c>
    </row>
    <row r="20" spans="1:24" x14ac:dyDescent="0.3">
      <c r="A20" s="2">
        <v>1.9184995038495793</v>
      </c>
      <c r="B20" s="2">
        <v>0</v>
      </c>
      <c r="C20" s="2">
        <v>5.7200000000000001E-2</v>
      </c>
      <c r="D20" s="2">
        <v>0.1018</v>
      </c>
      <c r="E20" s="2">
        <v>0.12330000000000001</v>
      </c>
      <c r="F20" s="2">
        <v>0.1409</v>
      </c>
      <c r="G20" s="2">
        <v>0.156</v>
      </c>
      <c r="H20" s="2">
        <v>0.1542</v>
      </c>
      <c r="I20" s="2">
        <v>0.15359999999999999</v>
      </c>
      <c r="J20" s="2">
        <v>0.16539999999999999</v>
      </c>
      <c r="K20" s="2">
        <v>0.15720000000000001</v>
      </c>
      <c r="L20" s="3">
        <v>1</v>
      </c>
      <c r="M20" s="3">
        <v>124</v>
      </c>
      <c r="N20" s="3">
        <v>100</v>
      </c>
      <c r="O20" s="3">
        <v>64</v>
      </c>
      <c r="P20" s="3">
        <v>8</v>
      </c>
      <c r="Q20" s="3">
        <v>3</v>
      </c>
      <c r="R20" s="3">
        <v>0</v>
      </c>
      <c r="S20" s="3">
        <v>0</v>
      </c>
      <c r="T20" s="3">
        <v>0</v>
      </c>
      <c r="U20" s="2">
        <v>10.465</v>
      </c>
      <c r="V20">
        <v>1.2657207905347494</v>
      </c>
      <c r="W20">
        <v>0.95826673886398195</v>
      </c>
      <c r="X20">
        <v>9.7149412174114698</v>
      </c>
    </row>
    <row r="21" spans="1:24" x14ac:dyDescent="0.3">
      <c r="A21" s="2">
        <v>1.8542922234537356</v>
      </c>
      <c r="B21" s="2">
        <v>0</v>
      </c>
      <c r="C21" s="2">
        <v>5.6399999999999999E-2</v>
      </c>
      <c r="D21" s="2">
        <v>0.1036</v>
      </c>
      <c r="E21" s="2">
        <v>0.12529999999999999</v>
      </c>
      <c r="F21" s="2">
        <v>0.1421</v>
      </c>
      <c r="G21" s="2">
        <v>0.15820000000000001</v>
      </c>
      <c r="H21" s="2">
        <v>0.15909999999999999</v>
      </c>
      <c r="I21" s="2">
        <v>0.15390000000000001</v>
      </c>
      <c r="J21" s="2">
        <v>0.16569999999999999</v>
      </c>
      <c r="K21" s="2">
        <v>0.1573</v>
      </c>
      <c r="L21" s="3">
        <v>1</v>
      </c>
      <c r="M21" s="3">
        <v>124</v>
      </c>
      <c r="N21" s="3">
        <v>100</v>
      </c>
      <c r="O21" s="3">
        <v>64</v>
      </c>
      <c r="P21" s="3">
        <v>8</v>
      </c>
      <c r="Q21" s="3">
        <v>3</v>
      </c>
      <c r="R21" s="3">
        <v>0</v>
      </c>
      <c r="S21" s="3">
        <v>0</v>
      </c>
      <c r="T21" s="3">
        <v>0</v>
      </c>
      <c r="U21" s="2">
        <v>26.911999999999999</v>
      </c>
      <c r="V21">
        <v>1.3917803963409221</v>
      </c>
      <c r="W21">
        <v>1.01089339353807</v>
      </c>
      <c r="X21">
        <v>16.99088332033617</v>
      </c>
    </row>
    <row r="22" spans="1:24" x14ac:dyDescent="0.3">
      <c r="A22" s="2">
        <v>1.8542922234537356</v>
      </c>
      <c r="B22" s="2">
        <v>0</v>
      </c>
      <c r="C22" s="2">
        <v>5.3900000000000003E-2</v>
      </c>
      <c r="D22" s="2">
        <v>0.10290000000000001</v>
      </c>
      <c r="E22" s="2">
        <v>0.1245</v>
      </c>
      <c r="F22" s="2">
        <v>0.1411</v>
      </c>
      <c r="G22" s="2">
        <v>0.15559999999999999</v>
      </c>
      <c r="H22" s="2">
        <v>0.15909999999999999</v>
      </c>
      <c r="I22" s="2">
        <v>0.15359999999999999</v>
      </c>
      <c r="J22" s="2">
        <v>0.16550000000000001</v>
      </c>
      <c r="K22" s="2">
        <v>0.15709999999999999</v>
      </c>
      <c r="L22" s="3">
        <v>1</v>
      </c>
      <c r="M22" s="3">
        <v>124</v>
      </c>
      <c r="N22" s="3">
        <v>100</v>
      </c>
      <c r="O22" s="3">
        <v>64</v>
      </c>
      <c r="P22" s="3">
        <v>8</v>
      </c>
      <c r="Q22" s="3">
        <v>3</v>
      </c>
      <c r="R22" s="3">
        <v>0</v>
      </c>
      <c r="S22" s="3">
        <v>0</v>
      </c>
      <c r="T22" s="3">
        <v>0</v>
      </c>
      <c r="U22" s="2">
        <v>36.206000000000003</v>
      </c>
      <c r="V22">
        <v>1.4558470035830215</v>
      </c>
      <c r="W22">
        <v>1.04653828361343</v>
      </c>
      <c r="X22">
        <v>27.010724163899503</v>
      </c>
    </row>
    <row r="23" spans="1:24" x14ac:dyDescent="0.3">
      <c r="A23" s="2">
        <v>1.8127738545274616</v>
      </c>
      <c r="B23" s="2">
        <v>6.8940000000000001</v>
      </c>
      <c r="C23" s="2">
        <v>6.4100000000000004E-2</v>
      </c>
      <c r="D23" s="2">
        <v>0.10340000000000001</v>
      </c>
      <c r="E23" s="2">
        <v>0.1384</v>
      </c>
      <c r="F23" s="2">
        <v>0.15959999999999999</v>
      </c>
      <c r="G23" s="2">
        <v>0.1734</v>
      </c>
      <c r="H23" s="2">
        <v>0.1807</v>
      </c>
      <c r="I23" s="2">
        <v>0.20219999999999999</v>
      </c>
      <c r="J23" s="2">
        <v>0.16</v>
      </c>
      <c r="K23" s="2">
        <v>0.15709999999999999</v>
      </c>
      <c r="L23" s="2">
        <v>51</v>
      </c>
      <c r="M23" s="2">
        <v>291</v>
      </c>
      <c r="N23" s="2">
        <v>756</v>
      </c>
      <c r="O23" s="2">
        <v>387</v>
      </c>
      <c r="P23" s="2">
        <v>55</v>
      </c>
      <c r="Q23" s="2">
        <v>18</v>
      </c>
      <c r="R23" s="2">
        <v>12</v>
      </c>
      <c r="S23" s="2">
        <v>1</v>
      </c>
      <c r="T23" s="2">
        <v>0</v>
      </c>
      <c r="U23" s="2">
        <v>41.856999999999999</v>
      </c>
      <c r="V23">
        <v>1.3361252580584213</v>
      </c>
      <c r="W23">
        <v>1.0895455006906301</v>
      </c>
      <c r="X23">
        <v>33.949892495111619</v>
      </c>
    </row>
    <row r="24" spans="1:24" x14ac:dyDescent="0.3">
      <c r="A24" s="2">
        <v>1.7829508007916874</v>
      </c>
      <c r="B24" s="2">
        <v>18.302999999999997</v>
      </c>
      <c r="C24" s="2">
        <v>6.3299999999999995E-2</v>
      </c>
      <c r="D24" s="2">
        <v>0.10349999999999999</v>
      </c>
      <c r="E24" s="2">
        <v>0.13469999999999999</v>
      </c>
      <c r="F24" s="2">
        <v>0.1598</v>
      </c>
      <c r="G24" s="2">
        <v>0.18360000000000001</v>
      </c>
      <c r="H24" s="2">
        <v>0.19239999999999999</v>
      </c>
      <c r="I24" s="2">
        <v>0.1903</v>
      </c>
      <c r="J24" s="2">
        <v>0.254</v>
      </c>
      <c r="K24" s="2">
        <v>0.15709999999999999</v>
      </c>
      <c r="L24" s="2">
        <v>18</v>
      </c>
      <c r="M24" s="2">
        <v>833</v>
      </c>
      <c r="N24" s="2">
        <v>768</v>
      </c>
      <c r="O24" s="2">
        <v>1146</v>
      </c>
      <c r="P24" s="2">
        <v>361</v>
      </c>
      <c r="Q24" s="2">
        <v>58</v>
      </c>
      <c r="R24" s="2">
        <v>13</v>
      </c>
      <c r="S24" s="2">
        <v>3</v>
      </c>
      <c r="T24" s="2">
        <v>0</v>
      </c>
      <c r="U24" s="2">
        <v>19.481000000000002</v>
      </c>
      <c r="V24">
        <v>0.86978197046698102</v>
      </c>
      <c r="W24">
        <v>0.90276643008648405</v>
      </c>
      <c r="X24">
        <v>32.51730005308324</v>
      </c>
    </row>
    <row r="25" spans="1:24" x14ac:dyDescent="0.3">
      <c r="A25" s="2">
        <v>1.929727006432459</v>
      </c>
      <c r="B25" s="2">
        <v>16.334</v>
      </c>
      <c r="C25" s="2">
        <v>6.1699999999999998E-2</v>
      </c>
      <c r="D25" s="2">
        <v>8.5400000000000004E-2</v>
      </c>
      <c r="E25" s="2">
        <v>0.1235</v>
      </c>
      <c r="F25" s="2">
        <v>0.14899999999999999</v>
      </c>
      <c r="G25" s="2">
        <v>0.17180000000000001</v>
      </c>
      <c r="H25" s="2">
        <v>0.18559999999999999</v>
      </c>
      <c r="I25" s="2">
        <v>0.18360000000000001</v>
      </c>
      <c r="J25" s="2">
        <v>0.2175</v>
      </c>
      <c r="K25" s="2">
        <v>0.23100000000000001</v>
      </c>
      <c r="L25" s="2">
        <v>436</v>
      </c>
      <c r="M25" s="2">
        <v>2379</v>
      </c>
      <c r="N25" s="2">
        <v>1352</v>
      </c>
      <c r="O25" s="2">
        <v>784</v>
      </c>
      <c r="P25" s="2">
        <v>504</v>
      </c>
      <c r="Q25" s="2">
        <v>126</v>
      </c>
      <c r="R25" s="2">
        <v>12</v>
      </c>
      <c r="S25" s="2">
        <v>2</v>
      </c>
      <c r="T25" s="2">
        <v>1</v>
      </c>
      <c r="U25" s="2">
        <v>25.54</v>
      </c>
      <c r="V25">
        <v>0.54336692897952354</v>
      </c>
      <c r="W25">
        <v>0.781418169295517</v>
      </c>
      <c r="X25">
        <v>37.023534058625494</v>
      </c>
    </row>
    <row r="26" spans="1:24" x14ac:dyDescent="0.3">
      <c r="A26" s="2">
        <v>2.0466801583374568</v>
      </c>
      <c r="B26" s="2">
        <v>26.107999999999997</v>
      </c>
      <c r="C26" s="2">
        <v>5.4699999999999999E-2</v>
      </c>
      <c r="D26" s="2">
        <v>9.1899999999999996E-2</v>
      </c>
      <c r="E26" s="2">
        <v>0.128</v>
      </c>
      <c r="F26" s="2">
        <v>0.1653</v>
      </c>
      <c r="G26" s="2">
        <v>0.1893</v>
      </c>
      <c r="H26" s="2">
        <v>0.2069</v>
      </c>
      <c r="I26" s="2">
        <v>0.22009999999999999</v>
      </c>
      <c r="J26" s="2">
        <v>0.24060000000000001</v>
      </c>
      <c r="K26" s="2">
        <v>0.20699999999999999</v>
      </c>
      <c r="L26" s="2">
        <v>60</v>
      </c>
      <c r="M26" s="2">
        <v>5445</v>
      </c>
      <c r="N26" s="2">
        <v>2087</v>
      </c>
      <c r="O26" s="2">
        <v>1255</v>
      </c>
      <c r="P26" s="2">
        <v>863</v>
      </c>
      <c r="Q26" s="2">
        <v>524</v>
      </c>
      <c r="R26" s="2">
        <v>131</v>
      </c>
      <c r="S26" s="2">
        <v>17</v>
      </c>
      <c r="T26" s="2">
        <v>1</v>
      </c>
      <c r="U26" s="2">
        <v>49.149000000000001</v>
      </c>
      <c r="V26">
        <v>0.43366881012090702</v>
      </c>
      <c r="W26">
        <v>0.70965326681318897</v>
      </c>
      <c r="X26">
        <v>64.016532536733209</v>
      </c>
    </row>
    <row r="27" spans="1:24" x14ac:dyDescent="0.3">
      <c r="A27" s="2">
        <v>2.1636333102424543</v>
      </c>
      <c r="B27" s="2">
        <v>38.825000000000003</v>
      </c>
      <c r="C27" s="2">
        <v>5.3600000000000002E-2</v>
      </c>
      <c r="D27" s="2">
        <v>8.7300000000000003E-2</v>
      </c>
      <c r="E27" s="2">
        <v>0.1202</v>
      </c>
      <c r="F27" s="2">
        <v>0.15179999999999999</v>
      </c>
      <c r="G27" s="2">
        <v>0.18110000000000001</v>
      </c>
      <c r="H27" s="2">
        <v>0.1951</v>
      </c>
      <c r="I27" s="2">
        <v>0.2112</v>
      </c>
      <c r="J27" s="2">
        <v>0.2223</v>
      </c>
      <c r="K27" s="2">
        <v>0.18190000000000001</v>
      </c>
      <c r="L27" s="2">
        <v>19</v>
      </c>
      <c r="M27" s="2">
        <v>827</v>
      </c>
      <c r="N27" s="2">
        <v>4861</v>
      </c>
      <c r="O27" s="2">
        <v>2273</v>
      </c>
      <c r="P27" s="2">
        <v>1402</v>
      </c>
      <c r="Q27" s="2">
        <v>833</v>
      </c>
      <c r="R27" s="2">
        <v>284</v>
      </c>
      <c r="S27" s="2">
        <v>44</v>
      </c>
      <c r="T27" s="2">
        <v>1</v>
      </c>
      <c r="U27" s="2">
        <v>65.728999999999999</v>
      </c>
      <c r="V27">
        <v>0.71512651326102172</v>
      </c>
      <c r="W27">
        <v>0.81627021881944395</v>
      </c>
      <c r="X27">
        <v>59.188192146492142</v>
      </c>
    </row>
    <row r="28" spans="1:24" x14ac:dyDescent="0.3">
      <c r="A28" s="2">
        <v>2.2823407594260265</v>
      </c>
      <c r="B28" s="2">
        <v>30.042999999999999</v>
      </c>
      <c r="C28" s="2">
        <v>6.2799999999999995E-2</v>
      </c>
      <c r="D28" s="2">
        <v>8.8400000000000006E-2</v>
      </c>
      <c r="E28" s="2">
        <v>0.12529999999999999</v>
      </c>
      <c r="F28" s="2">
        <v>0.14349999999999999</v>
      </c>
      <c r="G28" s="2">
        <v>0.16930000000000001</v>
      </c>
      <c r="H28" s="2">
        <v>0.18260000000000001</v>
      </c>
      <c r="I28" s="2">
        <v>0.1918</v>
      </c>
      <c r="J28" s="2">
        <v>0.1953</v>
      </c>
      <c r="K28" s="2">
        <v>0.21529999999999999</v>
      </c>
      <c r="L28" s="2">
        <v>37</v>
      </c>
      <c r="M28" s="2">
        <v>850</v>
      </c>
      <c r="N28" s="2">
        <v>2156</v>
      </c>
      <c r="O28" s="2">
        <v>2660</v>
      </c>
      <c r="P28" s="2">
        <v>897</v>
      </c>
      <c r="Q28" s="2">
        <v>345</v>
      </c>
      <c r="R28" s="2">
        <v>131</v>
      </c>
      <c r="S28" s="2">
        <v>24</v>
      </c>
      <c r="T28" s="2">
        <v>4</v>
      </c>
      <c r="U28" s="2">
        <v>58.679000000000002</v>
      </c>
      <c r="V28">
        <v>0.83957056985778755</v>
      </c>
      <c r="W28">
        <v>0.86310275395519098</v>
      </c>
      <c r="X28">
        <v>56.48180481081851</v>
      </c>
    </row>
    <row r="29" spans="1:24" x14ac:dyDescent="0.3">
      <c r="A29" s="2">
        <v>2.2805864621474514</v>
      </c>
      <c r="B29" s="2">
        <v>22.745000000000001</v>
      </c>
      <c r="C29" s="2">
        <v>6.0299999999999999E-2</v>
      </c>
      <c r="D29" s="2">
        <v>7.9799999999999996E-2</v>
      </c>
      <c r="E29" s="2">
        <v>0.1082</v>
      </c>
      <c r="F29" s="2">
        <v>0.13400000000000001</v>
      </c>
      <c r="G29" s="2">
        <v>0.154</v>
      </c>
      <c r="H29" s="2">
        <v>0.17369999999999999</v>
      </c>
      <c r="I29" s="2">
        <v>0.18840000000000001</v>
      </c>
      <c r="J29" s="2">
        <v>0.20380000000000001</v>
      </c>
      <c r="K29" s="2">
        <v>0.22789999999999999</v>
      </c>
      <c r="L29" s="2">
        <v>70</v>
      </c>
      <c r="M29" s="2">
        <v>3338</v>
      </c>
      <c r="N29" s="2">
        <v>1572</v>
      </c>
      <c r="O29" s="2">
        <v>1384</v>
      </c>
      <c r="P29" s="2">
        <v>1699</v>
      </c>
      <c r="Q29" s="2">
        <v>425</v>
      </c>
      <c r="R29" s="2">
        <v>136</v>
      </c>
      <c r="S29" s="2">
        <v>22</v>
      </c>
      <c r="T29" s="2">
        <v>11</v>
      </c>
      <c r="U29" s="2">
        <v>45.606999999999999</v>
      </c>
      <c r="V29">
        <v>0.84738440714997754</v>
      </c>
      <c r="W29">
        <v>0.83471214751439005</v>
      </c>
      <c r="X29">
        <v>50.297360734821147</v>
      </c>
    </row>
    <row r="30" spans="1:24" x14ac:dyDescent="0.3">
      <c r="A30" s="2">
        <v>2.2513481741712025</v>
      </c>
      <c r="B30" s="2">
        <v>18.693999999999999</v>
      </c>
      <c r="C30" s="2">
        <v>6.2100000000000002E-2</v>
      </c>
      <c r="D30" s="2">
        <v>8.3199999999999996E-2</v>
      </c>
      <c r="E30" s="2">
        <v>0.1103</v>
      </c>
      <c r="F30" s="2">
        <v>0.14069999999999999</v>
      </c>
      <c r="G30" s="2">
        <v>0.16639999999999999</v>
      </c>
      <c r="H30" s="2">
        <v>0.18379999999999999</v>
      </c>
      <c r="I30" s="2">
        <v>0.20030000000000001</v>
      </c>
      <c r="J30" s="2">
        <v>0.2014</v>
      </c>
      <c r="K30" s="2">
        <v>0.19220000000000001</v>
      </c>
      <c r="L30" s="2">
        <v>30</v>
      </c>
      <c r="M30" s="2">
        <v>537</v>
      </c>
      <c r="N30" s="2">
        <v>2114</v>
      </c>
      <c r="O30" s="2">
        <v>706</v>
      </c>
      <c r="P30" s="2">
        <v>557</v>
      </c>
      <c r="Q30" s="2">
        <v>414</v>
      </c>
      <c r="R30" s="2">
        <v>71</v>
      </c>
      <c r="S30" s="2">
        <v>22</v>
      </c>
      <c r="T30" s="2">
        <v>5</v>
      </c>
      <c r="U30" s="2">
        <v>68.340999999999994</v>
      </c>
      <c r="V30">
        <v>1.0243862919738858</v>
      </c>
      <c r="W30">
        <v>0.98696498341347405</v>
      </c>
      <c r="X30">
        <v>44.994984999602416</v>
      </c>
    </row>
    <row r="31" spans="1:24" x14ac:dyDescent="0.3">
      <c r="A31" s="2">
        <v>2.2221098861949531</v>
      </c>
      <c r="B31" s="2">
        <v>3.9819999999999998</v>
      </c>
      <c r="C31" s="2">
        <v>5.91E-2</v>
      </c>
      <c r="D31" s="2">
        <v>8.1299999999999997E-2</v>
      </c>
      <c r="E31" s="2">
        <v>0.1072</v>
      </c>
      <c r="F31" s="2">
        <v>0.13070000000000001</v>
      </c>
      <c r="G31" s="2">
        <v>0.15970000000000001</v>
      </c>
      <c r="H31" s="2">
        <v>0.17849999999999999</v>
      </c>
      <c r="I31" s="2">
        <v>0.1923</v>
      </c>
      <c r="J31" s="2">
        <v>0.20830000000000001</v>
      </c>
      <c r="K31" s="2">
        <v>0.2087</v>
      </c>
      <c r="L31" s="2">
        <v>86</v>
      </c>
      <c r="M31" s="2">
        <v>1317</v>
      </c>
      <c r="N31" s="2">
        <v>472</v>
      </c>
      <c r="O31" s="2">
        <v>874</v>
      </c>
      <c r="P31" s="2">
        <v>320</v>
      </c>
      <c r="Q31" s="2">
        <v>247</v>
      </c>
      <c r="R31" s="2">
        <v>117</v>
      </c>
      <c r="S31" s="2">
        <v>17</v>
      </c>
      <c r="T31" s="2">
        <v>4</v>
      </c>
      <c r="U31" s="2">
        <v>62.308</v>
      </c>
      <c r="V31">
        <v>1.1223931450212721</v>
      </c>
      <c r="W31">
        <v>1.07343917017851</v>
      </c>
      <c r="X31">
        <v>47.413671698559511</v>
      </c>
    </row>
    <row r="32" spans="1:24" x14ac:dyDescent="0.3">
      <c r="A32" s="2">
        <v>2.2162622285997031</v>
      </c>
      <c r="B32" s="2">
        <v>8.0890000000000004</v>
      </c>
      <c r="C32" s="2">
        <v>6.0999999999999999E-2</v>
      </c>
      <c r="D32" s="2">
        <v>9.01E-2</v>
      </c>
      <c r="E32" s="2">
        <v>0.1099</v>
      </c>
      <c r="F32" s="2">
        <v>0.13669999999999999</v>
      </c>
      <c r="G32" s="2">
        <v>0.15090000000000001</v>
      </c>
      <c r="H32" s="2">
        <v>0.17549999999999999</v>
      </c>
      <c r="I32" s="2">
        <v>0.18029999999999999</v>
      </c>
      <c r="J32" s="2">
        <v>0.18590000000000001</v>
      </c>
      <c r="K32" s="2">
        <v>0.20519999999999999</v>
      </c>
      <c r="L32" s="2">
        <v>138</v>
      </c>
      <c r="M32" s="2">
        <v>1420</v>
      </c>
      <c r="N32" s="2">
        <v>1232</v>
      </c>
      <c r="O32" s="2">
        <v>475</v>
      </c>
      <c r="P32" s="2">
        <v>614</v>
      </c>
      <c r="Q32" s="2">
        <v>284</v>
      </c>
      <c r="R32" s="2">
        <v>114</v>
      </c>
      <c r="S32" s="2">
        <v>21</v>
      </c>
      <c r="T32" s="2">
        <v>0</v>
      </c>
      <c r="U32" s="2">
        <v>51.929000000000002</v>
      </c>
      <c r="V32">
        <v>1.2147972058006926</v>
      </c>
      <c r="W32">
        <v>1.12183407336171</v>
      </c>
      <c r="X32">
        <v>41.145191928947831</v>
      </c>
    </row>
    <row r="33" spans="1:24" x14ac:dyDescent="0.3">
      <c r="A33" s="2">
        <v>2.2109993367639782</v>
      </c>
      <c r="B33" s="2">
        <v>5.4870000000000001</v>
      </c>
      <c r="C33" s="2">
        <v>7.0999999999999994E-2</v>
      </c>
      <c r="D33" s="2">
        <v>8.9399999999999993E-2</v>
      </c>
      <c r="E33" s="2">
        <v>0.10979999999999999</v>
      </c>
      <c r="F33" s="2">
        <v>0.12559999999999999</v>
      </c>
      <c r="G33" s="2">
        <v>0.14230000000000001</v>
      </c>
      <c r="H33" s="2">
        <v>0.15040000000000001</v>
      </c>
      <c r="I33" s="2">
        <v>0.1714</v>
      </c>
      <c r="J33" s="2">
        <v>0.1799</v>
      </c>
      <c r="K33" s="2">
        <v>0.18609999999999999</v>
      </c>
      <c r="L33" s="2">
        <v>160</v>
      </c>
      <c r="M33" s="2">
        <v>1215</v>
      </c>
      <c r="N33" s="2">
        <v>1504</v>
      </c>
      <c r="O33" s="2">
        <v>1690</v>
      </c>
      <c r="P33" s="2">
        <v>376</v>
      </c>
      <c r="Q33" s="2">
        <v>700</v>
      </c>
      <c r="R33" s="2">
        <v>167</v>
      </c>
      <c r="S33" s="2">
        <v>81</v>
      </c>
      <c r="T33" s="2">
        <v>16</v>
      </c>
      <c r="U33" s="2">
        <v>33.482999999999997</v>
      </c>
      <c r="V33">
        <v>1.2108104095878487</v>
      </c>
      <c r="W33">
        <v>1.1270357981599799</v>
      </c>
      <c r="X33">
        <v>32.157730927889475</v>
      </c>
    </row>
    <row r="34" spans="1:24" x14ac:dyDescent="0.3">
      <c r="A34" s="2">
        <v>2.3390630380999502</v>
      </c>
      <c r="B34" s="2">
        <v>8.5749999999999993</v>
      </c>
      <c r="C34" s="2">
        <v>6.1100000000000002E-2</v>
      </c>
      <c r="D34" s="2">
        <v>9.3799999999999994E-2</v>
      </c>
      <c r="E34" s="2">
        <v>0.11899999999999999</v>
      </c>
      <c r="F34" s="2">
        <v>0.14050000000000001</v>
      </c>
      <c r="G34" s="2">
        <v>0.15529999999999999</v>
      </c>
      <c r="H34" s="2">
        <v>0.16600000000000001</v>
      </c>
      <c r="I34" s="2">
        <v>0.17380000000000001</v>
      </c>
      <c r="J34" s="2">
        <v>0.19539999999999999</v>
      </c>
      <c r="K34" s="2">
        <v>0.19239999999999999</v>
      </c>
      <c r="L34" s="2">
        <v>135</v>
      </c>
      <c r="M34" s="2">
        <v>725</v>
      </c>
      <c r="N34" s="2">
        <v>782</v>
      </c>
      <c r="O34" s="2">
        <v>838</v>
      </c>
      <c r="P34" s="2">
        <v>822</v>
      </c>
      <c r="Q34" s="2">
        <v>179</v>
      </c>
      <c r="R34" s="2">
        <v>229</v>
      </c>
      <c r="S34" s="2">
        <v>36</v>
      </c>
      <c r="T34" s="2">
        <v>30</v>
      </c>
      <c r="U34" s="2">
        <v>16.771000000000001</v>
      </c>
      <c r="V34">
        <v>1.0941241466508351</v>
      </c>
      <c r="W34">
        <v>0.98441633980919296</v>
      </c>
      <c r="X34">
        <v>23.582078137518415</v>
      </c>
    </row>
    <row r="35" spans="1:24" x14ac:dyDescent="0.3">
      <c r="A35" s="2">
        <v>2.397539614052449</v>
      </c>
      <c r="B35" s="2">
        <v>6.5759999999999996</v>
      </c>
      <c r="C35" s="2">
        <v>6.8400000000000002E-2</v>
      </c>
      <c r="D35" s="2">
        <v>0.1003</v>
      </c>
      <c r="E35" s="2">
        <v>0.1298</v>
      </c>
      <c r="F35" s="2">
        <v>0.15310000000000001</v>
      </c>
      <c r="G35" s="2">
        <v>0.16550000000000001</v>
      </c>
      <c r="H35" s="2">
        <v>0.17510000000000001</v>
      </c>
      <c r="I35" s="2">
        <v>0.18490000000000001</v>
      </c>
      <c r="J35" s="2">
        <v>0.18909999999999999</v>
      </c>
      <c r="K35" s="2">
        <v>0.2031</v>
      </c>
      <c r="L35" s="2">
        <v>890</v>
      </c>
      <c r="M35" s="2">
        <v>1283</v>
      </c>
      <c r="N35" s="2">
        <v>475</v>
      </c>
      <c r="O35" s="2">
        <v>395</v>
      </c>
      <c r="P35" s="2">
        <v>511</v>
      </c>
      <c r="Q35" s="2">
        <v>384</v>
      </c>
      <c r="R35" s="2">
        <v>67</v>
      </c>
      <c r="S35" s="2">
        <v>53</v>
      </c>
      <c r="T35" s="2">
        <v>10</v>
      </c>
      <c r="U35" s="2">
        <v>24.087</v>
      </c>
      <c r="V35">
        <v>1.0670764268491366</v>
      </c>
      <c r="W35">
        <v>1.0367152009848599</v>
      </c>
      <c r="X35">
        <v>19.486706812932781</v>
      </c>
    </row>
    <row r="36" spans="1:24" x14ac:dyDescent="0.3">
      <c r="A36" s="2">
        <v>2.4852544779811971</v>
      </c>
      <c r="B36" s="2">
        <v>0.17799999999999999</v>
      </c>
      <c r="C36" s="2">
        <v>6.9000000000000006E-2</v>
      </c>
      <c r="D36" s="2">
        <v>0.1014</v>
      </c>
      <c r="E36" s="2">
        <v>0.13519999999999999</v>
      </c>
      <c r="F36" s="2">
        <v>0.16070000000000001</v>
      </c>
      <c r="G36" s="2">
        <v>0.18190000000000001</v>
      </c>
      <c r="H36" s="2">
        <v>0.18629999999999999</v>
      </c>
      <c r="I36" s="2">
        <v>0.20710000000000001</v>
      </c>
      <c r="J36" s="2">
        <v>0.18479999999999999</v>
      </c>
      <c r="K36" s="2">
        <v>0.20369999999999999</v>
      </c>
      <c r="L36" s="2">
        <v>753</v>
      </c>
      <c r="M36" s="2">
        <v>1695</v>
      </c>
      <c r="N36" s="2">
        <v>446</v>
      </c>
      <c r="O36" s="2">
        <v>114</v>
      </c>
      <c r="P36" s="2">
        <v>83</v>
      </c>
      <c r="Q36" s="2">
        <v>99</v>
      </c>
      <c r="R36" s="2">
        <v>53</v>
      </c>
      <c r="S36" s="2">
        <v>4</v>
      </c>
      <c r="T36" s="2">
        <v>7</v>
      </c>
      <c r="U36" s="2">
        <v>29.59</v>
      </c>
      <c r="V36">
        <v>1.0619889515665961</v>
      </c>
      <c r="W36">
        <v>1.0423090271286499</v>
      </c>
      <c r="X36">
        <v>25.725547052439548</v>
      </c>
    </row>
    <row r="37" spans="1:24" x14ac:dyDescent="0.3">
      <c r="A37" s="2">
        <v>2.5729693419099458</v>
      </c>
      <c r="B37" s="2">
        <v>0.20400000000000001</v>
      </c>
      <c r="C37" s="2">
        <v>6.83E-2</v>
      </c>
      <c r="D37" s="2">
        <v>0.1028</v>
      </c>
      <c r="E37" s="2">
        <v>0.13109999999999999</v>
      </c>
      <c r="F37" s="2">
        <v>0.16009999999999999</v>
      </c>
      <c r="G37" s="2">
        <v>0.18090000000000001</v>
      </c>
      <c r="H37" s="2">
        <v>0.19189999999999999</v>
      </c>
      <c r="I37" s="2">
        <v>0.19839999999999999</v>
      </c>
      <c r="J37" s="2">
        <v>0.20449999999999999</v>
      </c>
      <c r="K37" s="2">
        <v>0.22170000000000001</v>
      </c>
      <c r="L37" s="2">
        <v>157</v>
      </c>
      <c r="M37" s="2">
        <v>2094</v>
      </c>
      <c r="N37" s="2">
        <v>1233</v>
      </c>
      <c r="O37" s="2">
        <v>344</v>
      </c>
      <c r="P37" s="2">
        <v>130</v>
      </c>
      <c r="Q37" s="2">
        <v>93</v>
      </c>
      <c r="R37" s="2">
        <v>73</v>
      </c>
      <c r="S37" s="2">
        <v>24</v>
      </c>
      <c r="T37" s="2">
        <v>3</v>
      </c>
      <c r="U37" s="2">
        <v>39.514000000000003</v>
      </c>
      <c r="V37">
        <v>1.0655012932606727</v>
      </c>
      <c r="W37">
        <v>1.07418247937544</v>
      </c>
      <c r="X37">
        <v>32.715510770582327</v>
      </c>
    </row>
    <row r="38" spans="1:24" x14ac:dyDescent="0.3">
      <c r="A38" s="2">
        <v>2.7103892953983175</v>
      </c>
      <c r="B38" s="2">
        <v>15.933999999999999</v>
      </c>
      <c r="C38" s="2">
        <v>6.88E-2</v>
      </c>
      <c r="D38" s="2">
        <v>0.1022</v>
      </c>
      <c r="E38" s="2">
        <v>0.13669999999999999</v>
      </c>
      <c r="F38" s="2">
        <v>0.1633</v>
      </c>
      <c r="G38" s="2">
        <v>0.18099999999999999</v>
      </c>
      <c r="H38" s="2">
        <v>0.2</v>
      </c>
      <c r="I38" s="2">
        <v>0.20300000000000001</v>
      </c>
      <c r="J38" s="2">
        <v>0.20499999999999999</v>
      </c>
      <c r="K38" s="2">
        <v>0.21010000000000001</v>
      </c>
      <c r="L38" s="2">
        <v>760</v>
      </c>
      <c r="M38" s="2">
        <v>813</v>
      </c>
      <c r="N38" s="2">
        <v>1759</v>
      </c>
      <c r="O38" s="2">
        <v>1351</v>
      </c>
      <c r="P38" s="2">
        <v>376</v>
      </c>
      <c r="Q38" s="2">
        <v>132</v>
      </c>
      <c r="R38" s="2">
        <v>81</v>
      </c>
      <c r="S38" s="2">
        <v>56</v>
      </c>
      <c r="T38" s="2">
        <v>20</v>
      </c>
      <c r="U38" s="2">
        <v>16.858000000000001</v>
      </c>
      <c r="V38">
        <v>0.84680087781570701</v>
      </c>
      <c r="W38">
        <v>0.90541171266822196</v>
      </c>
      <c r="X38">
        <v>24.822012290937256</v>
      </c>
    </row>
    <row r="39" spans="1:24" x14ac:dyDescent="0.3">
      <c r="A39" s="2">
        <v>2.7483990697674416</v>
      </c>
      <c r="B39" s="2">
        <v>9.7240000000000002</v>
      </c>
      <c r="C39" s="2">
        <v>6.7900000000000002E-2</v>
      </c>
      <c r="D39" s="2">
        <v>0.1033</v>
      </c>
      <c r="E39" s="2">
        <v>0.13020000000000001</v>
      </c>
      <c r="F39" s="2">
        <v>0.15970000000000001</v>
      </c>
      <c r="G39" s="2">
        <v>0.17749999999999999</v>
      </c>
      <c r="H39" s="2">
        <v>0.19520000000000001</v>
      </c>
      <c r="I39" s="2">
        <v>0.2019</v>
      </c>
      <c r="J39" s="2">
        <v>0.20619999999999999</v>
      </c>
      <c r="K39" s="2">
        <v>0.21440000000000001</v>
      </c>
      <c r="L39" s="2">
        <v>191</v>
      </c>
      <c r="M39" s="2">
        <v>4575</v>
      </c>
      <c r="N39" s="2">
        <v>606</v>
      </c>
      <c r="O39" s="2">
        <v>1304</v>
      </c>
      <c r="P39" s="2">
        <v>883</v>
      </c>
      <c r="Q39" s="2">
        <v>273</v>
      </c>
      <c r="R39" s="2">
        <v>70</v>
      </c>
      <c r="S39" s="2">
        <v>39</v>
      </c>
      <c r="T39" s="2">
        <v>18</v>
      </c>
      <c r="U39" s="2">
        <v>46.241999999999997</v>
      </c>
      <c r="V39">
        <v>0.88954045627063039</v>
      </c>
      <c r="W39">
        <v>0.90787822706813304</v>
      </c>
      <c r="X39">
        <v>50.945462174691706</v>
      </c>
    </row>
    <row r="40" spans="1:24" x14ac:dyDescent="0.3">
      <c r="A40" s="2">
        <v>2.8068756457199404</v>
      </c>
      <c r="B40" s="2">
        <v>13.289</v>
      </c>
      <c r="C40" s="2">
        <v>6.4399999999999999E-2</v>
      </c>
      <c r="D40" s="2">
        <v>9.6799999999999997E-2</v>
      </c>
      <c r="E40" s="2">
        <v>0.127</v>
      </c>
      <c r="F40" s="2">
        <v>0.14879999999999999</v>
      </c>
      <c r="G40" s="2">
        <v>0.17069999999999999</v>
      </c>
      <c r="H40" s="2">
        <v>0.1875</v>
      </c>
      <c r="I40" s="2">
        <v>0.1933</v>
      </c>
      <c r="J40" s="2">
        <v>0.1966</v>
      </c>
      <c r="K40" s="2">
        <v>0.21199999999999999</v>
      </c>
      <c r="L40" s="2">
        <v>146</v>
      </c>
      <c r="M40" s="2">
        <v>904</v>
      </c>
      <c r="N40" s="2">
        <v>3690</v>
      </c>
      <c r="O40" s="2">
        <v>418</v>
      </c>
      <c r="P40" s="2">
        <v>580</v>
      </c>
      <c r="Q40" s="2">
        <v>295</v>
      </c>
      <c r="R40" s="2">
        <v>45</v>
      </c>
      <c r="S40" s="2">
        <v>14</v>
      </c>
      <c r="T40" s="2">
        <v>2</v>
      </c>
      <c r="U40" s="2">
        <v>47.718000000000004</v>
      </c>
      <c r="V40">
        <v>0.91611973321038065</v>
      </c>
      <c r="W40">
        <v>0.96213155543437601</v>
      </c>
      <c r="X40">
        <v>43.681017393475841</v>
      </c>
    </row>
    <row r="41" spans="1:24" x14ac:dyDescent="0.3">
      <c r="A41" s="2">
        <v>2.8653522216724392</v>
      </c>
      <c r="B41" s="2">
        <v>9.8490000000000002</v>
      </c>
      <c r="C41" s="2">
        <v>6.2E-2</v>
      </c>
      <c r="D41" s="2">
        <v>0.1008</v>
      </c>
      <c r="E41" s="2">
        <v>0.1295</v>
      </c>
      <c r="F41" s="2">
        <v>0.1542</v>
      </c>
      <c r="G41" s="2">
        <v>0.1721</v>
      </c>
      <c r="H41" s="2">
        <v>0.18809999999999999</v>
      </c>
      <c r="I41" s="2">
        <v>0.1993</v>
      </c>
      <c r="J41" s="2">
        <v>0.21479999999999999</v>
      </c>
      <c r="K41" s="2">
        <v>0.19670000000000001</v>
      </c>
      <c r="L41" s="2">
        <v>33</v>
      </c>
      <c r="M41" s="2">
        <v>1862</v>
      </c>
      <c r="N41" s="2">
        <v>884</v>
      </c>
      <c r="O41" s="2">
        <v>3540</v>
      </c>
      <c r="P41" s="2">
        <v>344</v>
      </c>
      <c r="Q41" s="2">
        <v>452</v>
      </c>
      <c r="R41" s="2">
        <v>136</v>
      </c>
      <c r="S41" s="2">
        <v>19</v>
      </c>
      <c r="T41" s="2">
        <v>6</v>
      </c>
      <c r="U41" s="2">
        <v>46.97</v>
      </c>
      <c r="V41">
        <v>0.97122497074567726</v>
      </c>
      <c r="W41">
        <v>0.990341143432103</v>
      </c>
      <c r="X41">
        <v>44.596979750385955</v>
      </c>
    </row>
    <row r="42" spans="1:24" x14ac:dyDescent="0.3">
      <c r="A42" s="2">
        <v>3.0407819495299355</v>
      </c>
      <c r="B42" s="2">
        <v>8.6349999999999998</v>
      </c>
      <c r="C42" s="2">
        <v>6.6199999999999995E-2</v>
      </c>
      <c r="D42" s="2">
        <v>9.4200000000000006E-2</v>
      </c>
      <c r="E42" s="2">
        <v>0.1235</v>
      </c>
      <c r="F42" s="2">
        <v>0.14119999999999999</v>
      </c>
      <c r="G42" s="2">
        <v>0.1608</v>
      </c>
      <c r="H42" s="2">
        <v>0.17730000000000001</v>
      </c>
      <c r="I42" s="2">
        <v>0.18579999999999999</v>
      </c>
      <c r="J42" s="2">
        <v>0.1978</v>
      </c>
      <c r="K42" s="2">
        <v>0.20649999999999999</v>
      </c>
      <c r="L42" s="2">
        <v>482</v>
      </c>
      <c r="M42" s="2">
        <v>1566</v>
      </c>
      <c r="N42" s="2">
        <v>1568</v>
      </c>
      <c r="O42" s="2">
        <v>821</v>
      </c>
      <c r="P42" s="2">
        <v>2643</v>
      </c>
      <c r="Q42" s="2">
        <v>248</v>
      </c>
      <c r="R42" s="2">
        <v>279</v>
      </c>
      <c r="S42" s="2">
        <v>50</v>
      </c>
      <c r="T42" s="2">
        <v>3</v>
      </c>
      <c r="U42" s="2">
        <v>30.052</v>
      </c>
      <c r="V42">
        <v>0.93938761371895618</v>
      </c>
      <c r="W42">
        <v>0.95525737507949304</v>
      </c>
      <c r="X42">
        <v>32.477872927573813</v>
      </c>
    </row>
    <row r="43" spans="1:24" x14ac:dyDescent="0.3">
      <c r="A43" s="2">
        <v>3.1378530656110835</v>
      </c>
      <c r="B43" s="2">
        <v>3.7130000000000001</v>
      </c>
      <c r="C43" s="2">
        <v>6.8599999999999994E-2</v>
      </c>
      <c r="D43" s="2">
        <v>0.1007</v>
      </c>
      <c r="E43" s="2">
        <v>0.12559999999999999</v>
      </c>
      <c r="F43" s="2">
        <v>0.14929999999999999</v>
      </c>
      <c r="G43" s="2">
        <v>0.1638</v>
      </c>
      <c r="H43" s="2">
        <v>0.17730000000000001</v>
      </c>
      <c r="I43" s="2">
        <v>0.1875</v>
      </c>
      <c r="J43" s="2">
        <v>0.1973</v>
      </c>
      <c r="K43" s="2">
        <v>0.2051</v>
      </c>
      <c r="L43" s="2">
        <v>97</v>
      </c>
      <c r="M43" s="2">
        <v>2895</v>
      </c>
      <c r="N43" s="2">
        <v>705</v>
      </c>
      <c r="O43" s="2">
        <v>974</v>
      </c>
      <c r="P43" s="2">
        <v>437</v>
      </c>
      <c r="Q43" s="2">
        <v>1183</v>
      </c>
      <c r="R43" s="2">
        <v>142</v>
      </c>
      <c r="S43" s="2">
        <v>87</v>
      </c>
      <c r="T43" s="2">
        <v>15</v>
      </c>
      <c r="U43" s="2">
        <v>42.366</v>
      </c>
      <c r="V43">
        <v>0.9898884166824673</v>
      </c>
      <c r="W43">
        <v>0.98860646079737402</v>
      </c>
      <c r="X43">
        <v>38.905345531876371</v>
      </c>
    </row>
    <row r="44" spans="1:24" x14ac:dyDescent="0.3">
      <c r="A44" s="2">
        <v>2.923828797624938</v>
      </c>
      <c r="B44" s="2">
        <v>5.6120000000000001</v>
      </c>
      <c r="C44" s="2">
        <v>6.8500000000000005E-2</v>
      </c>
      <c r="D44" s="2">
        <v>9.7299999999999998E-2</v>
      </c>
      <c r="E44" s="2">
        <v>0.1217</v>
      </c>
      <c r="F44" s="2">
        <v>0.1406</v>
      </c>
      <c r="G44" s="2">
        <v>0.1593</v>
      </c>
      <c r="H44" s="2">
        <v>0.1694</v>
      </c>
      <c r="I44" s="2">
        <v>0.1784</v>
      </c>
      <c r="J44" s="2">
        <v>0.18729999999999999</v>
      </c>
      <c r="K44" s="2">
        <v>0.19769999999999999</v>
      </c>
      <c r="L44" s="2">
        <v>214</v>
      </c>
      <c r="M44" s="2">
        <v>1528</v>
      </c>
      <c r="N44" s="2">
        <v>2255</v>
      </c>
      <c r="O44" s="2">
        <v>380</v>
      </c>
      <c r="P44" s="2">
        <v>416</v>
      </c>
      <c r="Q44" s="2">
        <v>226</v>
      </c>
      <c r="R44" s="2">
        <v>423</v>
      </c>
      <c r="S44" s="2">
        <v>51</v>
      </c>
      <c r="T44" s="2">
        <v>31</v>
      </c>
      <c r="U44" s="2">
        <v>36.918999999999997</v>
      </c>
      <c r="V44">
        <v>0.91301843259776461</v>
      </c>
      <c r="W44">
        <v>1.0081175933223601</v>
      </c>
      <c r="X44">
        <v>35.424727643685927</v>
      </c>
    </row>
    <row r="45" spans="1:24" x14ac:dyDescent="0.3">
      <c r="A45" s="2">
        <v>2.7103892953983175</v>
      </c>
      <c r="B45" s="2">
        <v>6.0389999999999997</v>
      </c>
      <c r="C45" s="2">
        <v>6.4799999999999996E-2</v>
      </c>
      <c r="D45" s="2">
        <v>9.4700000000000006E-2</v>
      </c>
      <c r="E45" s="2">
        <v>0.11940000000000001</v>
      </c>
      <c r="F45" s="2">
        <v>0.13589999999999999</v>
      </c>
      <c r="G45" s="2">
        <v>0.14979999999999999</v>
      </c>
      <c r="H45" s="2">
        <v>0.1605</v>
      </c>
      <c r="I45" s="2">
        <v>0.16420000000000001</v>
      </c>
      <c r="J45" s="2">
        <v>0.17480000000000001</v>
      </c>
      <c r="K45" s="2">
        <v>0.1779</v>
      </c>
      <c r="L45" s="2">
        <v>183</v>
      </c>
      <c r="M45" s="2">
        <v>1396</v>
      </c>
      <c r="N45" s="2">
        <v>1648</v>
      </c>
      <c r="O45" s="2">
        <v>2202</v>
      </c>
      <c r="P45" s="2">
        <v>524</v>
      </c>
      <c r="Q45" s="2">
        <v>318</v>
      </c>
      <c r="R45" s="2">
        <v>334</v>
      </c>
      <c r="S45" s="2">
        <v>98</v>
      </c>
      <c r="T45" s="2">
        <v>15</v>
      </c>
      <c r="U45" s="2">
        <v>25.248999999999999</v>
      </c>
      <c r="V45">
        <v>0.86280428975808232</v>
      </c>
      <c r="W45">
        <v>0.92503218718190094</v>
      </c>
      <c r="X45">
        <v>31.563708343682581</v>
      </c>
    </row>
    <row r="46" spans="1:24" x14ac:dyDescent="0.3">
      <c r="A46" s="2">
        <v>2.923828797624938</v>
      </c>
      <c r="B46" s="2">
        <v>1.9510000000000001</v>
      </c>
      <c r="C46" s="2">
        <v>6.9900000000000004E-2</v>
      </c>
      <c r="D46" s="2">
        <v>9.7900000000000001E-2</v>
      </c>
      <c r="E46" s="2">
        <v>0.1221</v>
      </c>
      <c r="F46" s="2">
        <v>0.14380000000000001</v>
      </c>
      <c r="G46" s="2">
        <v>0.16020000000000001</v>
      </c>
      <c r="H46" s="2">
        <v>0.17530000000000001</v>
      </c>
      <c r="I46" s="2">
        <v>0.1822</v>
      </c>
      <c r="J46" s="2">
        <v>0.189</v>
      </c>
      <c r="K46" s="2">
        <v>0.18629999999999999</v>
      </c>
      <c r="L46" s="2">
        <v>40</v>
      </c>
      <c r="M46" s="2">
        <v>646</v>
      </c>
      <c r="N46" s="2">
        <v>1200</v>
      </c>
      <c r="O46" s="2">
        <v>1023</v>
      </c>
      <c r="P46" s="2">
        <v>1277</v>
      </c>
      <c r="Q46" s="2">
        <v>334</v>
      </c>
      <c r="R46" s="2">
        <v>220</v>
      </c>
      <c r="S46" s="2">
        <v>155</v>
      </c>
      <c r="T46" s="2">
        <v>35</v>
      </c>
      <c r="U46" s="2">
        <v>27.128</v>
      </c>
      <c r="V46">
        <v>0.81632211915537511</v>
      </c>
      <c r="W46">
        <v>0.89090042912115297</v>
      </c>
      <c r="X46">
        <v>30.65409144048073</v>
      </c>
    </row>
    <row r="47" spans="1:24" x14ac:dyDescent="0.3">
      <c r="A47" s="2">
        <v>3.2162116773874319</v>
      </c>
      <c r="B47" s="2">
        <v>0.79100000000000004</v>
      </c>
      <c r="C47" s="2">
        <v>7.0000000000000007E-2</v>
      </c>
      <c r="D47" s="2">
        <v>8.5800000000000001E-2</v>
      </c>
      <c r="E47" s="2">
        <v>0.1159</v>
      </c>
      <c r="F47" s="2">
        <v>0.13600000000000001</v>
      </c>
      <c r="G47" s="2">
        <v>0.15129999999999999</v>
      </c>
      <c r="H47" s="2">
        <v>0.1643</v>
      </c>
      <c r="I47" s="2">
        <v>0.1759</v>
      </c>
      <c r="J47" s="2">
        <v>0.18090000000000001</v>
      </c>
      <c r="K47" s="2">
        <v>0.18990000000000001</v>
      </c>
      <c r="L47" s="2">
        <v>1122</v>
      </c>
      <c r="M47" s="2">
        <v>1537</v>
      </c>
      <c r="N47" s="2">
        <v>907</v>
      </c>
      <c r="O47" s="2">
        <v>1412</v>
      </c>
      <c r="P47" s="2">
        <v>928</v>
      </c>
      <c r="Q47" s="2">
        <v>955</v>
      </c>
      <c r="R47" s="2">
        <v>203</v>
      </c>
      <c r="S47" s="2">
        <v>84</v>
      </c>
      <c r="T47" s="2">
        <v>60</v>
      </c>
      <c r="U47" s="2">
        <v>33.121000000000002</v>
      </c>
      <c r="V47">
        <v>0.9695650159791589</v>
      </c>
      <c r="W47">
        <v>0.94788686543135403</v>
      </c>
      <c r="X47">
        <v>27.94151914812312</v>
      </c>
    </row>
    <row r="48" spans="1:24" x14ac:dyDescent="0.3">
      <c r="A48" s="2">
        <v>3.5085945571499257</v>
      </c>
      <c r="B48" s="2">
        <v>6.6559999999999997</v>
      </c>
      <c r="C48" s="2">
        <v>6.4199999999999993E-2</v>
      </c>
      <c r="D48" s="2">
        <v>9.1399999999999995E-2</v>
      </c>
      <c r="E48" s="2">
        <v>0.1052</v>
      </c>
      <c r="F48" s="2">
        <v>0.13150000000000001</v>
      </c>
      <c r="G48" s="2">
        <v>0.14940000000000001</v>
      </c>
      <c r="H48" s="2">
        <v>0.16089999999999999</v>
      </c>
      <c r="I48" s="2">
        <v>0.1759</v>
      </c>
      <c r="J48" s="2">
        <v>0.1729</v>
      </c>
      <c r="K48" s="2">
        <v>0.17929999999999999</v>
      </c>
      <c r="L48" s="2">
        <v>144</v>
      </c>
      <c r="M48" s="2">
        <v>4068</v>
      </c>
      <c r="N48" s="2">
        <v>478</v>
      </c>
      <c r="O48" s="2">
        <v>268</v>
      </c>
      <c r="P48" s="2">
        <v>395</v>
      </c>
      <c r="Q48" s="2">
        <v>293</v>
      </c>
      <c r="R48" s="2">
        <v>197</v>
      </c>
      <c r="S48" s="2">
        <v>32</v>
      </c>
      <c r="T48" s="2">
        <v>20</v>
      </c>
      <c r="U48" s="2">
        <v>45.362000000000002</v>
      </c>
      <c r="V48">
        <v>0.98733776183540967</v>
      </c>
      <c r="W48">
        <v>1.0168324596621201</v>
      </c>
      <c r="X48">
        <v>34.000699764130403</v>
      </c>
    </row>
    <row r="49" spans="1:24" x14ac:dyDescent="0.3">
      <c r="A49" s="2">
        <v>3.8512672922315683</v>
      </c>
      <c r="B49" s="2">
        <v>6.984</v>
      </c>
      <c r="C49" s="2">
        <v>5.8599999999999999E-2</v>
      </c>
      <c r="D49" s="2">
        <v>7.9799999999999996E-2</v>
      </c>
      <c r="E49" s="2">
        <v>0.10390000000000001</v>
      </c>
      <c r="F49" s="2">
        <v>0.1132</v>
      </c>
      <c r="G49" s="2">
        <v>0.13220000000000001</v>
      </c>
      <c r="H49" s="2">
        <v>0.14280000000000001</v>
      </c>
      <c r="I49" s="2">
        <v>0.14990000000000001</v>
      </c>
      <c r="J49" s="2">
        <v>0.15579999999999999</v>
      </c>
      <c r="K49" s="2">
        <v>0.15509999999999999</v>
      </c>
      <c r="L49" s="2">
        <v>119</v>
      </c>
      <c r="M49" s="2">
        <v>1154</v>
      </c>
      <c r="N49" s="2">
        <v>3499</v>
      </c>
      <c r="O49" s="2">
        <v>435</v>
      </c>
      <c r="P49" s="2">
        <v>236</v>
      </c>
      <c r="Q49" s="2">
        <v>353</v>
      </c>
      <c r="R49" s="2">
        <v>209</v>
      </c>
      <c r="S49" s="2">
        <v>110</v>
      </c>
      <c r="T49" s="2">
        <v>37</v>
      </c>
      <c r="U49" s="2">
        <v>41.011000000000003</v>
      </c>
      <c r="V49">
        <v>1.2899716490405368</v>
      </c>
      <c r="W49">
        <v>1.15719046557566</v>
      </c>
      <c r="X49">
        <v>25.699068789151788</v>
      </c>
    </row>
    <row r="50" spans="1:24" x14ac:dyDescent="0.3">
      <c r="A50" s="2">
        <v>4.0933603166749135</v>
      </c>
      <c r="B50" s="2">
        <v>4.3729999999999993</v>
      </c>
      <c r="C50" s="2">
        <v>5.3800000000000001E-2</v>
      </c>
      <c r="D50" s="2">
        <v>8.3199999999999996E-2</v>
      </c>
      <c r="E50" s="2">
        <v>9.9099999999999994E-2</v>
      </c>
      <c r="F50" s="2">
        <v>0.1195</v>
      </c>
      <c r="G50" s="2">
        <v>0.12570000000000001</v>
      </c>
      <c r="H50" s="2">
        <v>0.14399999999999999</v>
      </c>
      <c r="I50" s="2">
        <v>0.15210000000000001</v>
      </c>
      <c r="J50" s="2">
        <v>0.16339999999999999</v>
      </c>
      <c r="K50" s="2">
        <v>0.15679999999999999</v>
      </c>
      <c r="L50" s="2">
        <v>70</v>
      </c>
      <c r="M50" s="2">
        <v>969</v>
      </c>
      <c r="N50" s="2">
        <v>1150</v>
      </c>
      <c r="O50" s="2">
        <v>2168</v>
      </c>
      <c r="P50" s="2">
        <v>484</v>
      </c>
      <c r="Q50" s="2">
        <v>156</v>
      </c>
      <c r="R50" s="2">
        <v>94</v>
      </c>
      <c r="S50" s="2">
        <v>43</v>
      </c>
      <c r="T50" s="2">
        <v>17</v>
      </c>
      <c r="U50" s="2">
        <v>19.734000000000002</v>
      </c>
      <c r="V50">
        <v>1.1750787150915634</v>
      </c>
      <c r="W50">
        <v>1.12855005475259</v>
      </c>
      <c r="X50">
        <v>20.837616454759711</v>
      </c>
    </row>
    <row r="51" spans="1:24" x14ac:dyDescent="0.3">
      <c r="A51" s="2">
        <v>4.3857431964374065</v>
      </c>
      <c r="B51" s="2">
        <v>1.6259999999999999</v>
      </c>
      <c r="C51" s="2">
        <v>5.7599999999999998E-2</v>
      </c>
      <c r="D51" s="2">
        <v>8.6400000000000005E-2</v>
      </c>
      <c r="E51" s="2">
        <v>0.10730000000000001</v>
      </c>
      <c r="F51" s="2">
        <v>0.13020000000000001</v>
      </c>
      <c r="G51" s="2">
        <v>0.14680000000000001</v>
      </c>
      <c r="H51" s="2">
        <v>0.15920000000000001</v>
      </c>
      <c r="I51" s="2">
        <v>0.16209999999999999</v>
      </c>
      <c r="J51" s="2">
        <v>0.17069999999999999</v>
      </c>
      <c r="K51" s="2">
        <v>0.17849999999999999</v>
      </c>
      <c r="L51" s="2">
        <v>278</v>
      </c>
      <c r="M51" s="2">
        <v>1118</v>
      </c>
      <c r="N51" s="2">
        <v>976</v>
      </c>
      <c r="O51" s="2">
        <v>1018</v>
      </c>
      <c r="P51" s="2">
        <v>1616</v>
      </c>
      <c r="Q51" s="2">
        <v>216</v>
      </c>
      <c r="R51" s="2">
        <v>76</v>
      </c>
      <c r="S51" s="2">
        <v>44</v>
      </c>
      <c r="T51" s="2">
        <v>12</v>
      </c>
      <c r="U51" s="2">
        <v>12.798999999999999</v>
      </c>
      <c r="V51">
        <v>1.0449803630752623</v>
      </c>
      <c r="W51">
        <v>1.00694504282241</v>
      </c>
      <c r="X51">
        <v>17.166017723030969</v>
      </c>
    </row>
    <row r="52" spans="1:24" x14ac:dyDescent="0.3">
      <c r="A52" s="2">
        <v>4.6781260761999004</v>
      </c>
      <c r="B52" s="2">
        <v>0</v>
      </c>
      <c r="C52" s="2">
        <v>6.59E-2</v>
      </c>
      <c r="D52" s="2">
        <v>8.8499999999999995E-2</v>
      </c>
      <c r="E52" s="2">
        <v>0.1074</v>
      </c>
      <c r="F52" s="2">
        <v>0.1242</v>
      </c>
      <c r="G52" s="2">
        <v>0.14080000000000001</v>
      </c>
      <c r="H52" s="2">
        <v>0.15640000000000001</v>
      </c>
      <c r="I52" s="2">
        <v>0.15629999999999999</v>
      </c>
      <c r="J52" s="2">
        <v>0.14779999999999999</v>
      </c>
      <c r="K52" s="2">
        <v>0.18579999999999999</v>
      </c>
      <c r="L52" s="2">
        <v>165</v>
      </c>
      <c r="M52" s="2">
        <v>1074</v>
      </c>
      <c r="N52" s="2">
        <v>475</v>
      </c>
      <c r="O52" s="2">
        <v>197</v>
      </c>
      <c r="P52" s="2">
        <v>178</v>
      </c>
      <c r="Q52" s="2">
        <v>222</v>
      </c>
      <c r="R52" s="2">
        <v>31</v>
      </c>
      <c r="S52" s="2">
        <v>5</v>
      </c>
      <c r="T52" s="2">
        <v>5</v>
      </c>
      <c r="U52" s="2">
        <v>13.414</v>
      </c>
      <c r="V52">
        <v>0.95205998562782046</v>
      </c>
      <c r="W52">
        <v>0.925192469271366</v>
      </c>
      <c r="X52">
        <v>16.456391513703945</v>
      </c>
    </row>
    <row r="53" spans="1:24" x14ac:dyDescent="0.3">
      <c r="A53" s="2">
        <v>5.1348281343889157</v>
      </c>
      <c r="B53" s="2">
        <v>0.82099999999999995</v>
      </c>
      <c r="C53" s="2">
        <v>6.1800000000000001E-2</v>
      </c>
      <c r="D53" s="2">
        <v>8.3900000000000002E-2</v>
      </c>
      <c r="E53" s="2">
        <v>0.1032</v>
      </c>
      <c r="F53" s="2">
        <v>0.1249</v>
      </c>
      <c r="G53" s="2">
        <v>0.14399999999999999</v>
      </c>
      <c r="H53" s="2">
        <v>0.15659999999999999</v>
      </c>
      <c r="I53" s="2">
        <v>0.1704</v>
      </c>
      <c r="J53" s="2">
        <v>0.18679999999999999</v>
      </c>
      <c r="K53" s="2">
        <v>0.218</v>
      </c>
      <c r="L53" s="2">
        <v>368</v>
      </c>
      <c r="M53" s="2">
        <v>2662</v>
      </c>
      <c r="N53" s="2">
        <v>1191</v>
      </c>
      <c r="O53" s="2">
        <v>525</v>
      </c>
      <c r="P53" s="2">
        <v>222</v>
      </c>
      <c r="Q53" s="2">
        <v>267</v>
      </c>
      <c r="R53" s="2">
        <v>251</v>
      </c>
      <c r="S53" s="2">
        <v>27</v>
      </c>
      <c r="T53" s="2">
        <v>3</v>
      </c>
      <c r="U53" s="2">
        <v>21.242000000000001</v>
      </c>
      <c r="V53">
        <v>1.0090268772278086</v>
      </c>
      <c r="W53">
        <v>0.96461546175794799</v>
      </c>
      <c r="X53">
        <v>19.462148095707651</v>
      </c>
    </row>
    <row r="54" spans="1:24" x14ac:dyDescent="0.3">
      <c r="A54" s="2">
        <v>5.2628918357248882</v>
      </c>
      <c r="B54" s="2">
        <v>3.516</v>
      </c>
      <c r="C54" s="2">
        <v>6.0900000000000003E-2</v>
      </c>
      <c r="D54" s="2">
        <v>9.3399999999999997E-2</v>
      </c>
      <c r="E54" s="2">
        <v>0.1031</v>
      </c>
      <c r="F54" s="2">
        <v>0.1207</v>
      </c>
      <c r="G54" s="2">
        <v>0.13869999999999999</v>
      </c>
      <c r="H54" s="2">
        <v>0.15440000000000001</v>
      </c>
      <c r="I54" s="2">
        <v>0.17630000000000001</v>
      </c>
      <c r="J54" s="2">
        <v>0.16700000000000001</v>
      </c>
      <c r="K54" s="2">
        <v>0.192</v>
      </c>
      <c r="L54" s="2">
        <v>96</v>
      </c>
      <c r="M54" s="2">
        <v>2206</v>
      </c>
      <c r="N54" s="2">
        <v>2141</v>
      </c>
      <c r="O54" s="2">
        <v>908</v>
      </c>
      <c r="P54" s="2">
        <v>277</v>
      </c>
      <c r="Q54" s="2">
        <v>139</v>
      </c>
      <c r="R54" s="2">
        <v>145</v>
      </c>
      <c r="S54" s="2">
        <v>90</v>
      </c>
      <c r="T54" s="2">
        <v>8</v>
      </c>
      <c r="U54" s="2">
        <v>31.396999999999998</v>
      </c>
      <c r="V54">
        <v>1.1375359281539659</v>
      </c>
      <c r="W54">
        <v>1.09181668964603</v>
      </c>
      <c r="X54">
        <v>22.609129483282164</v>
      </c>
    </row>
    <row r="55" spans="1:24" x14ac:dyDescent="0.3">
      <c r="A55" s="2">
        <v>5.8476575952498759</v>
      </c>
      <c r="B55" s="2">
        <v>4.4540000000000006</v>
      </c>
      <c r="C55" s="2">
        <v>6.3500000000000001E-2</v>
      </c>
      <c r="D55" s="2">
        <v>8.1500000000000003E-2</v>
      </c>
      <c r="E55" s="2">
        <v>0.1027</v>
      </c>
      <c r="F55" s="2">
        <v>0.11</v>
      </c>
      <c r="G55" s="2">
        <v>0.1242</v>
      </c>
      <c r="H55" s="2">
        <v>0.13400000000000001</v>
      </c>
      <c r="I55" s="2">
        <v>0.15570000000000001</v>
      </c>
      <c r="J55" s="2">
        <v>0.16569999999999999</v>
      </c>
      <c r="K55" s="2">
        <v>0.127</v>
      </c>
      <c r="L55" s="2">
        <v>391</v>
      </c>
      <c r="M55" s="2">
        <v>1321</v>
      </c>
      <c r="N55" s="2">
        <v>2629</v>
      </c>
      <c r="O55" s="2">
        <v>1158</v>
      </c>
      <c r="P55" s="2">
        <v>444</v>
      </c>
      <c r="Q55" s="2">
        <v>156</v>
      </c>
      <c r="R55" s="2">
        <v>45</v>
      </c>
      <c r="S55" s="2">
        <v>25</v>
      </c>
      <c r="T55" s="2">
        <v>6</v>
      </c>
      <c r="U55" s="2">
        <v>16.431999999999999</v>
      </c>
      <c r="V55">
        <v>1.1575321591362187</v>
      </c>
      <c r="W55">
        <v>1.1113558200678899</v>
      </c>
      <c r="X55">
        <v>15.614110893880664</v>
      </c>
    </row>
    <row r="56" spans="1:24" x14ac:dyDescent="0.3">
      <c r="A56" s="2">
        <v>6.4324233547748637</v>
      </c>
      <c r="B56" s="2">
        <v>4.2690000000000001</v>
      </c>
      <c r="C56" s="2">
        <v>5.5899999999999998E-2</v>
      </c>
      <c r="D56" s="2">
        <v>7.5499999999999998E-2</v>
      </c>
      <c r="E56" s="2">
        <v>9.1300000000000006E-2</v>
      </c>
      <c r="F56" s="2">
        <v>0.11219999999999999</v>
      </c>
      <c r="G56" s="2">
        <v>0.12039999999999999</v>
      </c>
      <c r="H56" s="2">
        <v>0.13320000000000001</v>
      </c>
      <c r="I56" s="2">
        <v>0.13750000000000001</v>
      </c>
      <c r="J56" s="2">
        <v>0.1525</v>
      </c>
      <c r="K56" s="2">
        <v>0.13700000000000001</v>
      </c>
      <c r="L56" s="2">
        <v>157</v>
      </c>
      <c r="M56" s="2">
        <v>1659</v>
      </c>
      <c r="N56" s="2">
        <v>993</v>
      </c>
      <c r="O56" s="2">
        <v>974</v>
      </c>
      <c r="P56" s="2">
        <v>380</v>
      </c>
      <c r="Q56" s="2">
        <v>132</v>
      </c>
      <c r="R56" s="2">
        <v>34</v>
      </c>
      <c r="S56" s="2">
        <v>3</v>
      </c>
      <c r="T56" s="2">
        <v>5</v>
      </c>
      <c r="U56" s="2">
        <v>9.6639999999999997</v>
      </c>
      <c r="V56">
        <v>1.1926721659389283</v>
      </c>
      <c r="W56">
        <v>1.10335894766846</v>
      </c>
      <c r="X56">
        <v>8.5889524665751864</v>
      </c>
    </row>
    <row r="57" spans="1:24" x14ac:dyDescent="0.3">
      <c r="A57" s="2">
        <v>6.9177789351806025</v>
      </c>
      <c r="B57" s="2">
        <v>0</v>
      </c>
      <c r="C57" s="2">
        <v>5.4800000000000001E-2</v>
      </c>
      <c r="D57" s="2">
        <v>6.93E-2</v>
      </c>
      <c r="E57" s="2">
        <v>8.77E-2</v>
      </c>
      <c r="F57" s="2">
        <v>0.10199999999999999</v>
      </c>
      <c r="G57" s="2">
        <v>0.1169</v>
      </c>
      <c r="H57" s="2">
        <v>0.1103</v>
      </c>
      <c r="I57" s="2">
        <v>0.128</v>
      </c>
      <c r="J57" s="2">
        <v>0.16400000000000001</v>
      </c>
      <c r="K57" s="2">
        <v>0.17199999999999999</v>
      </c>
      <c r="L57" s="2">
        <v>174</v>
      </c>
      <c r="M57" s="2">
        <v>430</v>
      </c>
      <c r="N57" s="2">
        <v>387</v>
      </c>
      <c r="O57" s="2">
        <v>91</v>
      </c>
      <c r="P57" s="2">
        <v>62</v>
      </c>
      <c r="Q57" s="2">
        <v>9</v>
      </c>
      <c r="R57" s="2">
        <v>1</v>
      </c>
      <c r="S57" s="2">
        <v>0</v>
      </c>
      <c r="T57" s="2">
        <v>0</v>
      </c>
      <c r="U57" s="2">
        <v>2.875</v>
      </c>
      <c r="V57">
        <v>0.89539760345706021</v>
      </c>
      <c r="W57">
        <v>0.98368456421772199</v>
      </c>
      <c r="X57">
        <v>3.1288597562274978</v>
      </c>
    </row>
    <row r="58" spans="1:24" x14ac:dyDescent="0.3">
      <c r="A58" s="2">
        <v>6.7248062345373576</v>
      </c>
      <c r="B58" s="2">
        <v>0</v>
      </c>
      <c r="C58" s="2">
        <v>5.4600000000000003E-2</v>
      </c>
      <c r="D58" s="2">
        <v>7.2700000000000001E-2</v>
      </c>
      <c r="E58" s="2">
        <v>8.0500000000000002E-2</v>
      </c>
      <c r="F58" s="2">
        <v>9.2399999999999996E-2</v>
      </c>
      <c r="G58" s="2">
        <v>9.8100000000000007E-2</v>
      </c>
      <c r="H58" s="2">
        <v>0.13120000000000001</v>
      </c>
      <c r="I58" s="2">
        <v>0.15359999999999999</v>
      </c>
      <c r="J58" s="2">
        <v>0.16719999999999999</v>
      </c>
      <c r="K58" s="2">
        <v>0.16919999999999999</v>
      </c>
      <c r="L58" s="2">
        <v>7</v>
      </c>
      <c r="M58" s="2">
        <v>303</v>
      </c>
      <c r="N58" s="2">
        <v>211</v>
      </c>
      <c r="O58" s="2">
        <v>66</v>
      </c>
      <c r="P58" s="2">
        <v>11</v>
      </c>
      <c r="Q58" s="2">
        <v>4</v>
      </c>
      <c r="R58" s="2">
        <v>0</v>
      </c>
      <c r="S58" s="2">
        <v>0</v>
      </c>
      <c r="T58" s="2">
        <v>0</v>
      </c>
      <c r="U58" s="2">
        <v>2.246</v>
      </c>
      <c r="V58">
        <v>0.6663116178665659</v>
      </c>
      <c r="W58">
        <v>0.91792404765896995</v>
      </c>
      <c r="X58">
        <v>2.7234461423533327</v>
      </c>
    </row>
    <row r="59" spans="1:24" x14ac:dyDescent="0.3">
      <c r="A59" s="2">
        <v>6.5610718218703603</v>
      </c>
      <c r="B59" s="2">
        <v>0</v>
      </c>
      <c r="C59" s="2">
        <v>5.6500000000000002E-2</v>
      </c>
      <c r="D59" s="2">
        <v>6.0299999999999999E-2</v>
      </c>
      <c r="E59" s="2">
        <v>8.77E-2</v>
      </c>
      <c r="F59" s="2">
        <v>0.10340000000000001</v>
      </c>
      <c r="G59" s="2">
        <v>0.11559999999999999</v>
      </c>
      <c r="H59" s="2">
        <v>0.13150000000000001</v>
      </c>
      <c r="I59" s="2">
        <v>0.14499999999999999</v>
      </c>
      <c r="J59" s="2">
        <v>0.13900000000000001</v>
      </c>
      <c r="K59" s="2">
        <v>0.16200000000000001</v>
      </c>
      <c r="L59" s="2">
        <v>54</v>
      </c>
      <c r="M59" s="2">
        <v>255</v>
      </c>
      <c r="N59" s="2">
        <v>559</v>
      </c>
      <c r="O59" s="2">
        <v>119</v>
      </c>
      <c r="P59" s="2">
        <v>32</v>
      </c>
      <c r="Q59" s="2">
        <v>8</v>
      </c>
      <c r="R59" s="2">
        <v>6</v>
      </c>
      <c r="S59" s="2">
        <v>1</v>
      </c>
      <c r="T59" s="2">
        <v>1</v>
      </c>
      <c r="U59" s="2">
        <v>2.7389999999999999</v>
      </c>
      <c r="V59">
        <v>0.68833204701557549</v>
      </c>
      <c r="W59">
        <v>0.971575541351546</v>
      </c>
      <c r="X59">
        <v>2.9855768814513159</v>
      </c>
    </row>
    <row r="60" spans="1:24" x14ac:dyDescent="0.3">
      <c r="A60" s="2">
        <v>7.3095719940623454</v>
      </c>
      <c r="B60" s="2">
        <v>0</v>
      </c>
      <c r="C60" s="2">
        <v>4.6100000000000002E-2</v>
      </c>
      <c r="D60" s="2">
        <v>7.5300000000000006E-2</v>
      </c>
      <c r="E60" s="2">
        <v>7.7700000000000005E-2</v>
      </c>
      <c r="F60" s="2">
        <v>0.1038</v>
      </c>
      <c r="G60" s="2">
        <v>0.1101</v>
      </c>
      <c r="H60" s="2">
        <v>0.1138</v>
      </c>
      <c r="I60" s="2">
        <v>0.1439</v>
      </c>
      <c r="J60" s="2">
        <v>0.15770000000000001</v>
      </c>
      <c r="K60" s="2">
        <v>0.15340000000000001</v>
      </c>
      <c r="L60" s="2">
        <v>44</v>
      </c>
      <c r="M60" s="2">
        <v>1204</v>
      </c>
      <c r="N60" s="2">
        <v>284</v>
      </c>
      <c r="O60" s="2">
        <v>230</v>
      </c>
      <c r="P60" s="2">
        <v>41</v>
      </c>
      <c r="Q60" s="2">
        <v>10</v>
      </c>
      <c r="R60" s="2">
        <v>0</v>
      </c>
      <c r="S60" s="2">
        <v>0</v>
      </c>
      <c r="T60" s="2">
        <v>0</v>
      </c>
      <c r="U60" s="2">
        <v>10.606999999999999</v>
      </c>
      <c r="V60">
        <v>0.91637839117738618</v>
      </c>
      <c r="W60">
        <v>1.0769964428960199</v>
      </c>
      <c r="X60">
        <v>7.210057486830757</v>
      </c>
    </row>
    <row r="61" spans="1:24" x14ac:dyDescent="0.3">
      <c r="A61" s="2">
        <v>8.2726811999999992</v>
      </c>
      <c r="B61" s="2">
        <v>0</v>
      </c>
      <c r="C61" s="2">
        <v>4.3999999999999997E-2</v>
      </c>
      <c r="D61" s="2">
        <v>7.0999999999999994E-2</v>
      </c>
      <c r="E61" s="2">
        <v>8.5400000000000004E-2</v>
      </c>
      <c r="F61" s="2">
        <v>9.2299999999999993E-2</v>
      </c>
      <c r="G61" s="2">
        <v>0.1065</v>
      </c>
      <c r="H61" s="2">
        <v>0.11700000000000001</v>
      </c>
      <c r="I61" s="2">
        <v>0.1095</v>
      </c>
      <c r="J61" s="2">
        <v>0.15609999999999999</v>
      </c>
      <c r="K61" s="2">
        <v>0.15870000000000001</v>
      </c>
      <c r="L61" s="2">
        <v>356</v>
      </c>
      <c r="M61" s="2">
        <v>597</v>
      </c>
      <c r="N61" s="2">
        <v>859</v>
      </c>
      <c r="O61" s="2">
        <v>105</v>
      </c>
      <c r="P61" s="2">
        <v>91</v>
      </c>
      <c r="Q61" s="2">
        <v>14</v>
      </c>
      <c r="R61" s="2">
        <v>2</v>
      </c>
      <c r="S61" s="2">
        <v>0</v>
      </c>
      <c r="T61" s="2">
        <v>0</v>
      </c>
      <c r="U61" s="2">
        <v>2.464</v>
      </c>
      <c r="V61">
        <v>0.63329806512621767</v>
      </c>
      <c r="W61">
        <v>0.94695969999726504</v>
      </c>
      <c r="X61">
        <v>3.2967181865799349</v>
      </c>
    </row>
    <row r="62" spans="1:24" x14ac:dyDescent="0.3">
      <c r="A62" s="2">
        <v>8.771486392874813</v>
      </c>
      <c r="B62" s="2">
        <v>0</v>
      </c>
      <c r="C62" s="2">
        <v>4.5699999999999998E-2</v>
      </c>
      <c r="D62" s="2">
        <v>6.5799999999999997E-2</v>
      </c>
      <c r="E62" s="2">
        <v>7.2099999999999997E-2</v>
      </c>
      <c r="F62" s="2">
        <v>9.6299999999999997E-2</v>
      </c>
      <c r="G62" s="2">
        <v>9.8699999999999996E-2</v>
      </c>
      <c r="H62" s="2">
        <v>0.1123</v>
      </c>
      <c r="I62" s="2">
        <v>0.13600000000000001</v>
      </c>
      <c r="J62" s="2">
        <v>0.15679999999999999</v>
      </c>
      <c r="K62" s="2">
        <v>0.16309999999999999</v>
      </c>
      <c r="L62" s="2">
        <v>62</v>
      </c>
      <c r="M62" s="2">
        <v>806</v>
      </c>
      <c r="N62" s="2">
        <v>270</v>
      </c>
      <c r="O62" s="2">
        <v>123</v>
      </c>
      <c r="P62" s="2">
        <v>12</v>
      </c>
      <c r="Q62" s="2">
        <v>6</v>
      </c>
      <c r="R62" s="2">
        <v>0</v>
      </c>
      <c r="S62" s="2">
        <v>0</v>
      </c>
      <c r="T62" s="2">
        <v>0</v>
      </c>
      <c r="U62" s="2">
        <v>9.6630000000000003</v>
      </c>
      <c r="V62">
        <v>0.6710605085039808</v>
      </c>
      <c r="W62">
        <v>0.98006060620452495</v>
      </c>
      <c r="X62">
        <v>8.6330777907797547</v>
      </c>
    </row>
    <row r="63" spans="1:24" x14ac:dyDescent="0.3">
      <c r="A63" s="2">
        <v>9.3562521523998008</v>
      </c>
      <c r="B63" s="2">
        <v>0</v>
      </c>
      <c r="C63" s="2">
        <v>5.1799999999999999E-2</v>
      </c>
      <c r="D63" s="2">
        <v>7.8399999999999997E-2</v>
      </c>
      <c r="E63" s="2">
        <v>8.7499999999999994E-2</v>
      </c>
      <c r="F63" s="2">
        <v>9.8900000000000002E-2</v>
      </c>
      <c r="G63" s="2">
        <v>0.11020000000000001</v>
      </c>
      <c r="H63" s="2">
        <v>0.1167</v>
      </c>
      <c r="I63" s="2">
        <v>0.12230000000000001</v>
      </c>
      <c r="J63" s="2">
        <v>0.15529999999999999</v>
      </c>
      <c r="K63" s="2">
        <v>0.1613</v>
      </c>
      <c r="L63" s="2">
        <v>19</v>
      </c>
      <c r="M63" s="2">
        <v>168</v>
      </c>
      <c r="N63" s="2">
        <v>561</v>
      </c>
      <c r="O63" s="2">
        <v>93</v>
      </c>
      <c r="P63" s="2">
        <v>53</v>
      </c>
      <c r="Q63" s="2">
        <v>6</v>
      </c>
      <c r="R63" s="2">
        <v>3</v>
      </c>
      <c r="S63" s="2">
        <v>0</v>
      </c>
      <c r="T63" s="2">
        <v>0</v>
      </c>
      <c r="U63" s="2">
        <v>5.407</v>
      </c>
      <c r="V63">
        <v>0.54349510758628705</v>
      </c>
      <c r="W63">
        <v>0.92491687537281397</v>
      </c>
      <c r="X63">
        <v>7.2606251833259572</v>
      </c>
    </row>
    <row r="64" spans="1:24" x14ac:dyDescent="0.3">
      <c r="A64" s="2">
        <v>10.269071503018308</v>
      </c>
      <c r="B64" s="2">
        <v>0</v>
      </c>
      <c r="C64" s="2">
        <v>5.6399999999999999E-2</v>
      </c>
      <c r="D64" s="2">
        <v>7.8899999999999998E-2</v>
      </c>
      <c r="E64" s="2">
        <v>9.3899999999999997E-2</v>
      </c>
      <c r="F64" s="2">
        <v>0.105</v>
      </c>
      <c r="G64" s="2">
        <v>0.1207</v>
      </c>
      <c r="H64" s="2">
        <v>0.1225</v>
      </c>
      <c r="I64" s="2">
        <v>0.13400000000000001</v>
      </c>
      <c r="J64" s="2">
        <v>0.153</v>
      </c>
      <c r="K64" s="2">
        <v>0.15970000000000001</v>
      </c>
      <c r="L64" s="2">
        <v>15</v>
      </c>
      <c r="M64" s="2">
        <v>106</v>
      </c>
      <c r="N64" s="2">
        <v>66</v>
      </c>
      <c r="O64" s="2">
        <v>209</v>
      </c>
      <c r="P64" s="2">
        <v>22</v>
      </c>
      <c r="Q64" s="2">
        <v>20</v>
      </c>
      <c r="R64" s="2">
        <v>2</v>
      </c>
      <c r="S64" s="2">
        <v>0</v>
      </c>
      <c r="T64" s="2">
        <v>0</v>
      </c>
      <c r="U64" s="2">
        <v>12.257999999999999</v>
      </c>
      <c r="V64">
        <v>0.8974871629442589</v>
      </c>
      <c r="W64">
        <v>0.98348079674239297</v>
      </c>
      <c r="X64">
        <v>11.005720502320194</v>
      </c>
    </row>
    <row r="65" spans="1:24" x14ac:dyDescent="0.3">
      <c r="A65" s="2">
        <v>10.885215793199405</v>
      </c>
      <c r="B65" s="2">
        <v>0</v>
      </c>
      <c r="C65" s="2">
        <v>5.8700000000000002E-2</v>
      </c>
      <c r="D65" s="2">
        <v>8.0699999999999994E-2</v>
      </c>
      <c r="E65" s="2">
        <v>9.5600000000000004E-2</v>
      </c>
      <c r="F65" s="2">
        <v>0.1245</v>
      </c>
      <c r="G65" s="2">
        <v>0.1401</v>
      </c>
      <c r="H65" s="2">
        <v>0.15</v>
      </c>
      <c r="I65" s="2">
        <v>0.12920000000000001</v>
      </c>
      <c r="J65" s="2">
        <v>0.16400000000000001</v>
      </c>
      <c r="K65" s="2">
        <v>0.15920000000000001</v>
      </c>
      <c r="L65" s="2">
        <v>8</v>
      </c>
      <c r="M65" s="2">
        <v>209</v>
      </c>
      <c r="N65" s="2">
        <v>41</v>
      </c>
      <c r="O65" s="2">
        <v>8</v>
      </c>
      <c r="P65" s="2">
        <v>9</v>
      </c>
      <c r="Q65" s="2">
        <v>2</v>
      </c>
      <c r="R65" s="2">
        <v>0</v>
      </c>
      <c r="S65" s="2">
        <v>1</v>
      </c>
      <c r="T65" s="2">
        <v>0</v>
      </c>
      <c r="U65" s="2">
        <v>13.936999999999999</v>
      </c>
      <c r="V65">
        <v>0.89460648993570036</v>
      </c>
      <c r="W65">
        <v>0.966212691912124</v>
      </c>
      <c r="X65">
        <v>15.062813824651748</v>
      </c>
    </row>
    <row r="66" spans="1:24" x14ac:dyDescent="0.3">
      <c r="A66" s="2">
        <v>11.538328740791371</v>
      </c>
      <c r="B66" s="2">
        <v>0</v>
      </c>
      <c r="C66" s="2">
        <v>5.9799999999999999E-2</v>
      </c>
      <c r="D66" s="2">
        <v>7.5399999999999995E-2</v>
      </c>
      <c r="E66" s="2">
        <v>8.6400000000000005E-2</v>
      </c>
      <c r="F66" s="2">
        <v>9.7699999999999995E-2</v>
      </c>
      <c r="G66" s="2">
        <v>0.1022</v>
      </c>
      <c r="H66" s="2">
        <v>0.1086</v>
      </c>
      <c r="I66" s="2">
        <v>0.10780000000000001</v>
      </c>
      <c r="J66" s="2">
        <v>0.157</v>
      </c>
      <c r="K66" s="2">
        <v>0.13</v>
      </c>
      <c r="L66" s="2">
        <v>217</v>
      </c>
      <c r="M66" s="2">
        <v>368</v>
      </c>
      <c r="N66" s="2">
        <v>781</v>
      </c>
      <c r="O66" s="2">
        <v>105</v>
      </c>
      <c r="P66" s="2">
        <v>27</v>
      </c>
      <c r="Q66" s="2">
        <v>43</v>
      </c>
      <c r="R66" s="2">
        <v>6</v>
      </c>
      <c r="S66" s="2">
        <v>0</v>
      </c>
      <c r="T66" s="2">
        <v>1</v>
      </c>
      <c r="U66" s="2">
        <v>11.323</v>
      </c>
      <c r="V66">
        <v>0.84911064594111529</v>
      </c>
      <c r="W66">
        <v>0.95707760411956899</v>
      </c>
      <c r="X66">
        <v>12.325530897489257</v>
      </c>
    </row>
    <row r="67" spans="1:24" x14ac:dyDescent="0.3">
      <c r="A67" s="2">
        <v>12.230628465238853</v>
      </c>
      <c r="B67" s="2">
        <v>0</v>
      </c>
      <c r="C67" s="2">
        <v>6.3299999999999995E-2</v>
      </c>
      <c r="D67" s="2">
        <v>7.6999999999999999E-2</v>
      </c>
      <c r="E67" s="2">
        <v>8.2400000000000001E-2</v>
      </c>
      <c r="F67" s="2">
        <v>9.1999999999999998E-2</v>
      </c>
      <c r="G67" s="2">
        <v>9.4500000000000001E-2</v>
      </c>
      <c r="H67" s="2">
        <v>0.12130000000000001</v>
      </c>
      <c r="I67" s="2">
        <v>0.13539999999999999</v>
      </c>
      <c r="J67" s="2">
        <v>0.14599999999999999</v>
      </c>
      <c r="K67" s="2">
        <v>0.1547</v>
      </c>
      <c r="L67" s="2">
        <v>46</v>
      </c>
      <c r="M67" s="2">
        <v>754</v>
      </c>
      <c r="N67" s="2">
        <v>195</v>
      </c>
      <c r="O67" s="2">
        <v>144</v>
      </c>
      <c r="P67" s="2">
        <v>16</v>
      </c>
      <c r="Q67" s="2">
        <v>3</v>
      </c>
      <c r="R67" s="2">
        <v>5</v>
      </c>
      <c r="S67" s="2">
        <v>1</v>
      </c>
      <c r="T67" s="2">
        <v>0</v>
      </c>
      <c r="U67" s="2">
        <v>20.527999999999999</v>
      </c>
      <c r="V67">
        <v>0.76672047224906259</v>
      </c>
      <c r="W67">
        <v>0.91884979015986101</v>
      </c>
      <c r="X67">
        <v>23.866992340226432</v>
      </c>
    </row>
    <row r="68" spans="1:24" x14ac:dyDescent="0.3">
      <c r="A68" s="2">
        <v>12.964466173153186</v>
      </c>
      <c r="B68" s="2">
        <v>0</v>
      </c>
      <c r="C68" s="2">
        <v>6.54E-2</v>
      </c>
      <c r="D68" s="2">
        <v>8.1000000000000003E-2</v>
      </c>
      <c r="E68" s="2">
        <v>9.4600000000000004E-2</v>
      </c>
      <c r="F68" s="2">
        <v>0.10199999999999999</v>
      </c>
      <c r="G68" s="2">
        <v>0.1099</v>
      </c>
      <c r="H68" s="2">
        <v>0.11890000000000001</v>
      </c>
      <c r="I68" s="2">
        <v>0.13650000000000001</v>
      </c>
      <c r="J68" s="2">
        <v>0.121</v>
      </c>
      <c r="K68" s="2">
        <v>0.153</v>
      </c>
      <c r="L68" s="2">
        <v>27</v>
      </c>
      <c r="M68" s="2">
        <v>81</v>
      </c>
      <c r="N68" s="2">
        <v>703</v>
      </c>
      <c r="O68" s="2">
        <v>140</v>
      </c>
      <c r="P68" s="2">
        <v>87</v>
      </c>
      <c r="Q68" s="2">
        <v>17</v>
      </c>
      <c r="R68" s="2">
        <v>2</v>
      </c>
      <c r="S68" s="2">
        <v>2</v>
      </c>
      <c r="T68" s="2">
        <v>0</v>
      </c>
      <c r="U68" s="2">
        <v>16.475999999999999</v>
      </c>
      <c r="V68">
        <v>0.64076910855703095</v>
      </c>
      <c r="W68">
        <v>0.879821791878582</v>
      </c>
      <c r="X68">
        <v>22.179275036404238</v>
      </c>
    </row>
    <row r="69" spans="1:24" x14ac:dyDescent="0.3">
      <c r="A69" s="2">
        <v>13.742334143542378</v>
      </c>
      <c r="B69" s="2">
        <v>0</v>
      </c>
      <c r="C69" s="2">
        <v>6.3E-2</v>
      </c>
      <c r="D69" s="2">
        <v>8.6900000000000005E-2</v>
      </c>
      <c r="E69" s="2">
        <v>0.1028</v>
      </c>
      <c r="F69" s="2">
        <v>0.11600000000000001</v>
      </c>
      <c r="G69" s="2">
        <v>0.1198</v>
      </c>
      <c r="H69" s="2">
        <v>0.12859999999999999</v>
      </c>
      <c r="I69" s="2">
        <v>0.13370000000000001</v>
      </c>
      <c r="J69" s="2">
        <v>0.14369999999999999</v>
      </c>
      <c r="K69" s="2">
        <v>0.15129999999999999</v>
      </c>
      <c r="L69" s="2">
        <v>73</v>
      </c>
      <c r="M69" s="2">
        <v>182</v>
      </c>
      <c r="N69" s="2">
        <v>149</v>
      </c>
      <c r="O69" s="2">
        <v>775</v>
      </c>
      <c r="P69" s="2">
        <v>132</v>
      </c>
      <c r="Q69" s="2">
        <v>48</v>
      </c>
      <c r="R69" s="2">
        <v>7</v>
      </c>
      <c r="S69" s="2">
        <v>3</v>
      </c>
      <c r="T69" s="2">
        <v>0</v>
      </c>
      <c r="U69" s="2">
        <v>28.106999999999999</v>
      </c>
      <c r="V69">
        <v>0.78236075707756925</v>
      </c>
      <c r="W69">
        <v>0.98392403605616996</v>
      </c>
      <c r="X69">
        <v>22.449344222135842</v>
      </c>
    </row>
    <row r="70" spans="1:24" x14ac:dyDescent="0.3">
      <c r="A70" s="2">
        <v>14.15460416784865</v>
      </c>
      <c r="B70" s="2">
        <v>0</v>
      </c>
      <c r="C70" s="2">
        <v>6.1499999999999999E-2</v>
      </c>
      <c r="D70" s="2">
        <v>8.1199999999999994E-2</v>
      </c>
      <c r="E70" s="2">
        <v>9.7299999999999998E-2</v>
      </c>
      <c r="F70" s="2">
        <v>0.1154</v>
      </c>
      <c r="G70" s="2">
        <v>0.13139999999999999</v>
      </c>
      <c r="H70" s="2">
        <v>0.13500000000000001</v>
      </c>
      <c r="I70" s="2">
        <v>0.1399</v>
      </c>
      <c r="J70" s="2">
        <v>0.14099999999999999</v>
      </c>
      <c r="K70" s="2">
        <v>0.14960000000000001</v>
      </c>
      <c r="L70" s="2">
        <v>63</v>
      </c>
      <c r="M70" s="2">
        <v>575</v>
      </c>
      <c r="N70" s="2">
        <v>111</v>
      </c>
      <c r="O70" s="2">
        <v>56</v>
      </c>
      <c r="P70" s="2">
        <v>265</v>
      </c>
      <c r="Q70" s="2">
        <v>46</v>
      </c>
      <c r="R70" s="2">
        <v>21</v>
      </c>
      <c r="S70" s="2">
        <v>3</v>
      </c>
      <c r="T70" s="2">
        <v>0</v>
      </c>
      <c r="U70" s="2">
        <v>17.03</v>
      </c>
      <c r="V70">
        <v>0.72724432769699732</v>
      </c>
      <c r="W70">
        <v>0.93736869565788505</v>
      </c>
      <c r="X70">
        <v>20.06189144091724</v>
      </c>
    </row>
    <row r="71" spans="1:24" x14ac:dyDescent="0.3">
      <c r="A71" s="2">
        <v>14.579242292884109</v>
      </c>
      <c r="B71" s="2">
        <v>0</v>
      </c>
      <c r="C71" s="2">
        <v>5.8799999999999998E-2</v>
      </c>
      <c r="D71" s="2">
        <v>7.6799999999999993E-2</v>
      </c>
      <c r="E71" s="2">
        <v>0.1033</v>
      </c>
      <c r="F71" s="2">
        <v>0.11459999999999999</v>
      </c>
      <c r="G71" s="2">
        <v>0.1358</v>
      </c>
      <c r="H71" s="2">
        <v>0.13980000000000001</v>
      </c>
      <c r="I71" s="2">
        <v>0.14249999999999999</v>
      </c>
      <c r="J71" s="2">
        <v>0.14069999999999999</v>
      </c>
      <c r="K71" s="2">
        <v>0.1477</v>
      </c>
      <c r="L71" s="2">
        <v>177</v>
      </c>
      <c r="M71" s="2">
        <v>270</v>
      </c>
      <c r="N71" s="2">
        <v>340</v>
      </c>
      <c r="O71" s="2">
        <v>46</v>
      </c>
      <c r="P71" s="2">
        <v>24</v>
      </c>
      <c r="Q71" s="2">
        <v>98</v>
      </c>
      <c r="R71" s="2">
        <v>22</v>
      </c>
      <c r="S71" s="2">
        <v>4</v>
      </c>
      <c r="T71" s="2">
        <v>0</v>
      </c>
      <c r="U71" s="2">
        <v>18.760999999999999</v>
      </c>
      <c r="V71">
        <v>0.80566946997563305</v>
      </c>
      <c r="W71">
        <v>0.95820942745641302</v>
      </c>
      <c r="X71">
        <v>18.582133475597725</v>
      </c>
    </row>
    <row r="72" spans="1:24" x14ac:dyDescent="0.3">
      <c r="A72" s="2">
        <v>15.016619561670632</v>
      </c>
      <c r="B72" s="2">
        <v>0</v>
      </c>
      <c r="C72" s="2">
        <v>4.4499999999999998E-2</v>
      </c>
      <c r="D72" s="2">
        <v>7.6600000000000001E-2</v>
      </c>
      <c r="E72" s="2">
        <v>9.0300000000000005E-2</v>
      </c>
      <c r="F72" s="2">
        <v>0.1111</v>
      </c>
      <c r="G72" s="2">
        <v>0.1149</v>
      </c>
      <c r="H72" s="2">
        <v>0.1419</v>
      </c>
      <c r="I72" s="2">
        <v>0.14549999999999999</v>
      </c>
      <c r="J72" s="2">
        <v>0.128</v>
      </c>
      <c r="K72" s="2">
        <v>0.1295</v>
      </c>
      <c r="L72" s="2">
        <v>177</v>
      </c>
      <c r="M72" s="2">
        <v>545</v>
      </c>
      <c r="N72" s="2">
        <v>139</v>
      </c>
      <c r="O72" s="2">
        <v>121</v>
      </c>
      <c r="P72" s="2">
        <v>14</v>
      </c>
      <c r="Q72" s="2">
        <v>9</v>
      </c>
      <c r="R72" s="2">
        <v>13</v>
      </c>
      <c r="S72" s="2">
        <v>3</v>
      </c>
      <c r="T72" s="2">
        <v>2</v>
      </c>
      <c r="U72" s="2">
        <v>29.338999999999999</v>
      </c>
      <c r="V72">
        <v>0.90001129456862872</v>
      </c>
      <c r="W72">
        <v>0.99655528867002796</v>
      </c>
      <c r="X72">
        <v>25.839845622891826</v>
      </c>
    </row>
    <row r="73" spans="1:24" x14ac:dyDescent="0.3">
      <c r="A73" s="2">
        <v>15.467118148520752</v>
      </c>
      <c r="B73" s="2">
        <v>0</v>
      </c>
      <c r="C73" s="2">
        <v>5.9799999999999999E-2</v>
      </c>
      <c r="D73" s="2">
        <v>7.9600000000000004E-2</v>
      </c>
      <c r="E73" s="2">
        <v>9.9699999999999997E-2</v>
      </c>
      <c r="F73" s="2">
        <v>0.1129</v>
      </c>
      <c r="G73" s="2">
        <v>0.12870000000000001</v>
      </c>
      <c r="H73" s="2">
        <v>0.1525</v>
      </c>
      <c r="I73" s="2">
        <v>0.16</v>
      </c>
      <c r="J73" s="2">
        <v>0.17</v>
      </c>
      <c r="K73" s="2">
        <v>0.20699999999999999</v>
      </c>
      <c r="L73" s="2">
        <v>57</v>
      </c>
      <c r="M73" s="2">
        <v>227</v>
      </c>
      <c r="N73" s="2">
        <v>339</v>
      </c>
      <c r="O73" s="2">
        <v>69</v>
      </c>
      <c r="P73" s="2">
        <v>75</v>
      </c>
      <c r="Q73" s="2">
        <v>4</v>
      </c>
      <c r="R73" s="2">
        <v>1</v>
      </c>
      <c r="S73" s="2">
        <v>4</v>
      </c>
      <c r="T73" s="2">
        <v>1</v>
      </c>
      <c r="U73" s="2">
        <v>23.707000000000001</v>
      </c>
      <c r="V73">
        <v>0.99999899951918736</v>
      </c>
      <c r="W73">
        <v>1</v>
      </c>
      <c r="X73">
        <v>24.581510711883027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relm fit</vt:lpstr>
      <vt:lpstr>WCVI2022data</vt:lpstr>
      <vt:lpstr>like_cat_dm</vt:lpstr>
      <vt:lpstr>neffective</vt:lpstr>
      <vt:lpstr>qspawn</vt:lpstr>
      <vt:lpstr>Relm</vt:lpstr>
      <vt:lpstr>'relm fit'!spq</vt:lpstr>
      <vt:lpstr>'relm fit'!SSLQmult</vt:lpstr>
      <vt:lpstr>Ssrelm</vt:lpstr>
      <vt:lpstr>Ssspawn</vt:lpstr>
      <vt:lpstr>sstot_dm</vt:lpstr>
      <vt:lpstr>sstot_mult</vt:lpstr>
      <vt:lpstr>'relm fit'!Su</vt:lpstr>
      <vt:lpstr>'relm fit'!tanasMsl</vt:lpstr>
      <vt:lpstr>theta_dm</vt:lpstr>
      <vt:lpstr>'relm fit'!va</vt:lpstr>
      <vt:lpstr>varrelm</vt:lpstr>
      <vt:lpstr>varssb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Walters, Carl</dc:creator>
  <cp:lastModifiedBy>Rho L</cp:lastModifiedBy>
  <dcterms:created xsi:type="dcterms:W3CDTF">2023-04-22T16:12:40Z</dcterms:created>
  <dcterms:modified xsi:type="dcterms:W3CDTF">2026-03-19T04:46:17Z</dcterms:modified>
</cp:coreProperties>
</file>